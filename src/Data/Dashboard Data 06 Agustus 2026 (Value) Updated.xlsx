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J&amp;T data\"/>
    </mc:Choice>
  </mc:AlternateContent>
  <xr:revisionPtr revIDLastSave="0" documentId="13_ncr:1_{39706DB2-90E9-4188-AC13-F023281987A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06.30, 07.30, &amp; 12.00" sheetId="7" r:id="rId1"/>
    <sheet name="R-2, TPTW, Persentase TTD" sheetId="5" r:id="rId2"/>
    <sheet name="Pickup &amp; Retur Non Ecom" sheetId="8" r:id="rId3"/>
    <sheet name="ALL DP DATA" sheetId="21" r:id="rId4"/>
    <sheet name="Fr&amp;Ag" sheetId="22" r:id="rId5"/>
  </sheets>
  <externalReferences>
    <externalReference r:id="rId6"/>
  </externalReferences>
  <definedNames>
    <definedName name="_xlnm._FilterDatabase" localSheetId="3" hidden="1">'ALL DP DATA'!$C$8:$AV$1684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8" l="1"/>
  <c r="L4" i="8"/>
  <c r="K4" i="8"/>
  <c r="H4" i="8"/>
  <c r="G4" i="8"/>
  <c r="F4" i="8"/>
  <c r="R4" i="5"/>
  <c r="Q4" i="5"/>
  <c r="P4" i="5"/>
  <c r="M4" i="5"/>
  <c r="L4" i="5"/>
  <c r="K4" i="5"/>
  <c r="H4" i="5"/>
  <c r="G4" i="5"/>
  <c r="F4" i="5"/>
  <c r="R4" i="7"/>
  <c r="Q4" i="7"/>
  <c r="P4" i="7"/>
  <c r="M4" i="7"/>
  <c r="L4" i="7"/>
  <c r="K4" i="7"/>
  <c r="H4" i="7"/>
  <c r="G4" i="7"/>
  <c r="AU8" i="21"/>
  <c r="AT8" i="21"/>
  <c r="AS8" i="21"/>
  <c r="AP8" i="21"/>
  <c r="AO8" i="21"/>
  <c r="AN8" i="21"/>
  <c r="AK8" i="21"/>
  <c r="AJ8" i="21"/>
  <c r="AI8" i="21"/>
  <c r="AF8" i="21"/>
  <c r="AE8" i="21"/>
  <c r="AD8" i="21"/>
  <c r="AA8" i="21"/>
  <c r="Z8" i="21"/>
  <c r="Y8" i="21"/>
  <c r="V8" i="21"/>
  <c r="U8" i="21"/>
  <c r="T8" i="21"/>
  <c r="Q8" i="21"/>
  <c r="P8" i="21"/>
  <c r="O8" i="21"/>
  <c r="L8" i="21"/>
  <c r="K8" i="21"/>
  <c r="J8" i="21"/>
  <c r="AZ7" i="21"/>
  <c r="BA3" i="21"/>
  <c r="AZ3" i="21"/>
  <c r="BG2" i="21"/>
  <c r="BF2" i="21"/>
  <c r="BE2" i="21"/>
  <c r="BA2" i="21"/>
  <c r="B1" i="21"/>
</calcChain>
</file>

<file path=xl/sharedStrings.xml><?xml version="1.0" encoding="utf-8"?>
<sst xmlns="http://schemas.openxmlformats.org/spreadsheetml/2006/main" count="16821" uniqueCount="1739">
  <si>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</si>
  <si>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</si>
  <si>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</si>
  <si>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</si>
  <si>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</si>
  <si>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</si>
  <si>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</si>
  <si>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Target</t>
  </si>
  <si>
    <t>Pencapaian Bulanan</t>
  </si>
  <si>
    <t>Jawa - Bali</t>
  </si>
  <si>
    <t>TANGERANG</t>
  </si>
  <si>
    <t>AGENT12</t>
  </si>
  <si>
    <t>BEKASI</t>
  </si>
  <si>
    <t>AGENT13</t>
  </si>
  <si>
    <t>BOGOR</t>
  </si>
  <si>
    <t>AGENT14</t>
  </si>
  <si>
    <t>DEPOK</t>
  </si>
  <si>
    <t>AGENT15</t>
  </si>
  <si>
    <t>BANDUNG</t>
  </si>
  <si>
    <t>AGENT16</t>
  </si>
  <si>
    <t>SEMARANG</t>
  </si>
  <si>
    <t>AGENT17</t>
  </si>
  <si>
    <t>YOGYAKARTA</t>
  </si>
  <si>
    <t>AGENT18</t>
  </si>
  <si>
    <t>SURABAYA</t>
  </si>
  <si>
    <t>AGENT19</t>
  </si>
  <si>
    <t>BALI</t>
  </si>
  <si>
    <t>AGENT21</t>
  </si>
  <si>
    <t>JAKARTA</t>
  </si>
  <si>
    <t>AGENT40</t>
  </si>
  <si>
    <t>合计 Total</t>
  </si>
  <si>
    <t>-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</si>
  <si>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</si>
  <si>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</si>
  <si>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</si>
  <si>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</si>
  <si>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</si>
  <si>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PICKUP NON-ECOMMERCE</t>
  </si>
  <si>
    <t>RETUR COD NON-ECOMMERCE</t>
  </si>
  <si>
    <t>目标
Target</t>
  </si>
  <si>
    <t>代理区 
Agent</t>
  </si>
  <si>
    <t>代理区编码 Kode Agent</t>
  </si>
  <si>
    <t>网点
Nama Drop point</t>
  </si>
  <si>
    <t>Nama agent</t>
  </si>
  <si>
    <t>一派质量达成
Penilaian Kualitas Delivery Ritase Pertama</t>
  </si>
  <si>
    <t>二派质量达成
Penilaian Kualitas Delivery Ritase Kedua</t>
  </si>
  <si>
    <r>
      <rPr>
        <b/>
        <sz val="11"/>
        <color rgb="FFFFFFFF"/>
        <rFont val="SimSun"/>
      </rPr>
      <t>全天收派质量达成</t>
    </r>
    <r>
      <rPr>
        <b/>
        <sz val="11"/>
        <color rgb="FFFFFFFF"/>
        <rFont val="Aptos"/>
        <family val="2"/>
      </rPr>
      <t xml:space="preserve">
Pencapaian Kualitas Operasional Harian</t>
    </r>
  </si>
  <si>
    <t xml:space="preserve">快递员出勤准点率
Tingkat Ketepatan Waktu Kehadiran Spirnter </t>
  </si>
  <si>
    <t>0730出仓率
Persenase Keluar Gudang 0730</t>
  </si>
  <si>
    <r>
      <rPr>
        <b/>
        <sz val="11"/>
        <color rgb="FFFFFFFF"/>
        <rFont val="Aptos"/>
        <family val="2"/>
      </rPr>
      <t>1200</t>
    </r>
    <r>
      <rPr>
        <b/>
        <sz val="11"/>
        <color rgb="FFFFFFFF"/>
        <rFont val="SimSun"/>
      </rPr>
      <t>签收率</t>
    </r>
    <r>
      <rPr>
        <b/>
        <sz val="11"/>
        <color rgb="FFFFFFFF"/>
        <rFont val="Aptos"/>
        <family val="2"/>
      </rPr>
      <t xml:space="preserve">
Persentase TTD 1200</t>
    </r>
  </si>
  <si>
    <r>
      <rPr>
        <b/>
        <sz val="11"/>
        <color rgb="FFFFFFFF"/>
        <rFont val="Microsoft YaHei"/>
        <family val="2"/>
      </rPr>
      <t xml:space="preserve">二派签收率
</t>
    </r>
    <r>
      <rPr>
        <b/>
        <sz val="11"/>
        <color rgb="FFFFFFFF"/>
        <rFont val="Aptos"/>
        <family val="2"/>
      </rPr>
      <t>Persentase TTD Delivery Kedua</t>
    </r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</si>
  <si>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</si>
  <si>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</si>
  <si>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</si>
  <si>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</si>
  <si>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月度达成
Pencapaian Bulanan</t>
  </si>
  <si>
    <t>JAKARTA雅加达</t>
  </si>
  <si>
    <t>CP_PLUIT_PERMAI</t>
  </si>
  <si>
    <t>CP_DANAUSUNTER_UTARA</t>
  </si>
  <si>
    <t>KAMAL_MUARA</t>
  </si>
  <si>
    <t>TELUK_GONG</t>
  </si>
  <si>
    <t>CP_TELUK_GONG_RAYA</t>
  </si>
  <si>
    <t>CP_PADEMANGAN_4</t>
  </si>
  <si>
    <t>CP_ANCOL_SELATAN_1</t>
  </si>
  <si>
    <t>KEPULAUAN_SERIBU</t>
  </si>
  <si>
    <t>TANAH_ABANG</t>
  </si>
  <si>
    <t>SENEN</t>
  </si>
  <si>
    <t>CP_PINANGSIA_RAYA</t>
  </si>
  <si>
    <t>JOHAR_BARU_01</t>
  </si>
  <si>
    <t>CP_ZAINUL_ARIFIN</t>
  </si>
  <si>
    <t>CP_MANGGA_BESAR_2</t>
  </si>
  <si>
    <t>CP_CEGER</t>
  </si>
  <si>
    <t>KAMPUNG_TENGAH</t>
  </si>
  <si>
    <t>CP_CIJANTUNG</t>
  </si>
  <si>
    <t>DC_MAKASAR</t>
  </si>
  <si>
    <t>DC_CIRACAS</t>
  </si>
  <si>
    <t>CP_RAYA_KELAPA</t>
  </si>
  <si>
    <t>CP_PONDOK_BAMBU</t>
  </si>
  <si>
    <t>DC_JATINEGARA</t>
  </si>
  <si>
    <t>SETIABUDI</t>
  </si>
  <si>
    <t>KLENDER</t>
  </si>
  <si>
    <t>CP_JATINEGARA_BARAT</t>
  </si>
  <si>
    <t>TEBET</t>
  </si>
  <si>
    <t>CP_HAJI_NAMAN_1</t>
  </si>
  <si>
    <t>PULOGEBANG_01</t>
  </si>
  <si>
    <t>DC_PULO_GADUNG</t>
  </si>
  <si>
    <t>ROROTAN</t>
  </si>
  <si>
    <t>DC_UJUNG_MENTENG</t>
  </si>
  <si>
    <t>CP_UTAN_KAYU</t>
  </si>
  <si>
    <t>KALIBARU_01</t>
  </si>
  <si>
    <t>DC_CAKUNG</t>
  </si>
  <si>
    <t>KEDOYA_UTARA</t>
  </si>
  <si>
    <t>DC_GAMBIR</t>
  </si>
  <si>
    <t>TAMBORA</t>
  </si>
  <si>
    <t>CP_ANGGREK_2</t>
  </si>
  <si>
    <t>CP_KEBON_JERUK_RAYA</t>
  </si>
  <si>
    <t>CP_KEMBANGAN</t>
  </si>
  <si>
    <t>CP_ANGKE_INDAH</t>
  </si>
  <si>
    <t>DC_KEBAYORAN_BARU</t>
  </si>
  <si>
    <t>JATIPADANG_01</t>
  </si>
  <si>
    <t>DC_KALIBATA_UTARA</t>
  </si>
  <si>
    <t>CP_BANGKA</t>
  </si>
  <si>
    <t>CP_TANJUNG_BARAT</t>
  </si>
  <si>
    <t>CP_SRENGSENG_SAWAH</t>
  </si>
  <si>
    <t>DC_PASAR_MINGGU</t>
  </si>
  <si>
    <t>CP_CIGANJUR</t>
  </si>
  <si>
    <t>CP_TEGAL_PARANG</t>
  </si>
  <si>
    <t>DC_PALMERAH</t>
  </si>
  <si>
    <t>CP_KEBAYORAN_2</t>
  </si>
  <si>
    <t>CP_PONDOK_PINANG_2</t>
  </si>
  <si>
    <t>DC_GELORA</t>
  </si>
  <si>
    <t>DC_PESANGGRAHAN</t>
  </si>
  <si>
    <t>CP_LEBAK_BULUS</t>
  </si>
  <si>
    <t>GUNUNG_SAHARI_01</t>
  </si>
  <si>
    <t>CP_KEDOYA_RAYA_2</t>
  </si>
  <si>
    <t>GADING_GRIYA_L</t>
  </si>
  <si>
    <t>DC_KELAPA_GADING</t>
  </si>
  <si>
    <t>DC_KEMAYORAN</t>
  </si>
  <si>
    <t>CP_KOJA_1</t>
  </si>
  <si>
    <t>CP_TANJUNG_DUREN_2</t>
  </si>
  <si>
    <t>CP_KOSAMBI_BARU_1</t>
  </si>
  <si>
    <t>CP_RAWA_BUAYA_2</t>
  </si>
  <si>
    <t>CP_PERMATA_PALEM_1</t>
  </si>
  <si>
    <t>CP_KALIDERES</t>
  </si>
  <si>
    <t>CP_NEW_KAPUK</t>
  </si>
  <si>
    <t>KAPUK_RAYA</t>
  </si>
  <si>
    <t>DC_PEGADUNGAN</t>
  </si>
  <si>
    <t>TANGERANG唐格朗</t>
  </si>
  <si>
    <t>SERANG_JAYA</t>
  </si>
  <si>
    <t>KASEMEN_JAYA</t>
  </si>
  <si>
    <t>KALODRAN_CIRUAS</t>
  </si>
  <si>
    <t>CIPOCOK_JAYA</t>
  </si>
  <si>
    <t>PEJATEN_MAS</t>
  </si>
  <si>
    <t>PELABUHAN_MERAK</t>
  </si>
  <si>
    <t>PERUMNAS_RAYA</t>
  </si>
  <si>
    <t>PALKA_CIOMAS</t>
  </si>
  <si>
    <t>CITANGKIL</t>
  </si>
  <si>
    <t>DP_PANGGUNGRAWI</t>
  </si>
  <si>
    <t>PONTANG_RAYA</t>
  </si>
  <si>
    <t>CIL05B</t>
  </si>
  <si>
    <t>PANTAI_ANYER</t>
  </si>
  <si>
    <t>CIWANDAN</t>
  </si>
  <si>
    <t>TAKTAKAN_JAYA</t>
  </si>
  <si>
    <t>UNYUR_JAYA</t>
  </si>
  <si>
    <t>SURADITA_CISAUK</t>
  </si>
  <si>
    <t>BAKTI_JAYA</t>
  </si>
  <si>
    <t>RODA_HIAS</t>
  </si>
  <si>
    <t>TERAS_KOTA</t>
  </si>
  <si>
    <t>PONDOK_PUCUNG</t>
  </si>
  <si>
    <t>PONDOKJAYA</t>
  </si>
  <si>
    <t>PAKOJAN</t>
  </si>
  <si>
    <t>SENTRA_JATIUWUNG</t>
  </si>
  <si>
    <t>TGR54B</t>
  </si>
  <si>
    <t>CIMONE_RAYA</t>
  </si>
  <si>
    <t>CIBODAS_RAYA</t>
  </si>
  <si>
    <t>BUARAN_INDAH</t>
  </si>
  <si>
    <t>MODERN_PARK</t>
  </si>
  <si>
    <t>KAVLING_KENANGA</t>
  </si>
  <si>
    <t>TANGCITY_MALL</t>
  </si>
  <si>
    <t>ARCADIA_BATUCEPER</t>
  </si>
  <si>
    <t>BAL01C</t>
  </si>
  <si>
    <t>HUSEIN_SASTRANEGARA</t>
  </si>
  <si>
    <t>SALEMBARAN</t>
  </si>
  <si>
    <t>PINANG_CIPONDOH</t>
  </si>
  <si>
    <t>RKS08B</t>
  </si>
  <si>
    <t>DC_LABUAN</t>
  </si>
  <si>
    <t>BAYAH</t>
  </si>
  <si>
    <t>PANIMBANG</t>
  </si>
  <si>
    <t>CIBALIUNG</t>
  </si>
  <si>
    <t>CIKEUSIK</t>
  </si>
  <si>
    <t>CILANGKAHAN</t>
  </si>
  <si>
    <t>SUDIRMAN_LABUAN</t>
  </si>
  <si>
    <t>GAJRUG</t>
  </si>
  <si>
    <t>LEUWIDAMAR</t>
  </si>
  <si>
    <t>SUKANAGARA_JAYA</t>
  </si>
  <si>
    <t>MAJASARI_PANDEGLANG</t>
  </si>
  <si>
    <t>BANJAR_KENCANA</t>
  </si>
  <si>
    <t>CIKULUR</t>
  </si>
  <si>
    <t>CITRA_MAJA</t>
  </si>
  <si>
    <t>CILELES_KENCANA</t>
  </si>
  <si>
    <t>WARUNG_BANTEN</t>
  </si>
  <si>
    <t>MUNJUL_FLAMBOYANT</t>
  </si>
  <si>
    <t>CIGADUNG_INOVASI</t>
  </si>
  <si>
    <t>MANDALA_RANGKAS</t>
  </si>
  <si>
    <t>CIMANUK</t>
  </si>
  <si>
    <t>WANASALAM</t>
  </si>
  <si>
    <t>MENES</t>
  </si>
  <si>
    <t>INFINITY_BIZPARK</t>
  </si>
  <si>
    <t>WANAKERTA_SINJAY</t>
  </si>
  <si>
    <t>PANGKALAN_TELUKNAGA</t>
  </si>
  <si>
    <t>DC_SEPATAN</t>
  </si>
  <si>
    <t>RAJEG</t>
  </si>
  <si>
    <t>MAUK_2</t>
  </si>
  <si>
    <t>PAKUHAJI</t>
  </si>
  <si>
    <t>BAL15E</t>
  </si>
  <si>
    <t>BAL15D</t>
  </si>
  <si>
    <t>SEPATAN</t>
  </si>
  <si>
    <t>TGR05D</t>
  </si>
  <si>
    <t>PIK_2_RIVERSIDE</t>
  </si>
  <si>
    <t>PERIUK</t>
  </si>
  <si>
    <t>TERITI_KUTABUMI</t>
  </si>
  <si>
    <t>CANGKUDU</t>
  </si>
  <si>
    <t>CISOKA</t>
  </si>
  <si>
    <t>CIKUPA_RAYA</t>
  </si>
  <si>
    <t>KATOMAS_RAYA</t>
  </si>
  <si>
    <t>KIBIN_RAYA</t>
  </si>
  <si>
    <t>CIKANDE_RAYA</t>
  </si>
  <si>
    <t>HARENDONG</t>
  </si>
  <si>
    <t>JAMBE_RAYA</t>
  </si>
  <si>
    <t>DP_PETIR</t>
  </si>
  <si>
    <t>KRAGILAN</t>
  </si>
  <si>
    <t>DUKUH_RAYA</t>
  </si>
  <si>
    <t>TALAGA_PASGAD</t>
  </si>
  <si>
    <t>PANONGAN_RAYA</t>
  </si>
  <si>
    <t>TUNJUNG_TEJA</t>
  </si>
  <si>
    <t>JAYANTI</t>
  </si>
  <si>
    <t>MATAGARA</t>
  </si>
  <si>
    <t>TANAH_TINGAL</t>
  </si>
  <si>
    <t>ALAM_SEGAR</t>
  </si>
  <si>
    <t>CIPUTAT_TIMUR</t>
  </si>
  <si>
    <t>GAPLEK</t>
  </si>
  <si>
    <t>DIAN_MANSION</t>
  </si>
  <si>
    <t>LARANGAN_2</t>
  </si>
  <si>
    <t>RADEN_SALEH</t>
  </si>
  <si>
    <t>SERUA_INDAH_CIPUTAT</t>
  </si>
  <si>
    <t>PONDOK_BETUNG</t>
  </si>
  <si>
    <t>CURUG_RAYA</t>
  </si>
  <si>
    <t>GRAHA_SUTERA</t>
  </si>
  <si>
    <t>GADING_KELAPA_DUA</t>
  </si>
  <si>
    <t>EDISON</t>
  </si>
  <si>
    <t>EAST_FORESTA</t>
  </si>
  <si>
    <t>PRIMA_JAYA</t>
  </si>
  <si>
    <t>KADU_JAYA</t>
  </si>
  <si>
    <t>TUGU_LEGOK</t>
  </si>
  <si>
    <t>GADING_CARTENZ</t>
  </si>
  <si>
    <t>SP_ALAM_SUTERA</t>
  </si>
  <si>
    <t>BEKASI勿加西</t>
  </si>
  <si>
    <t>DC_BEKASI_UTARA_01</t>
  </si>
  <si>
    <t>KALIABANG_TENGAH_02</t>
  </si>
  <si>
    <t>HARAPAN_BARU</t>
  </si>
  <si>
    <t>JATI_SAMPURNA</t>
  </si>
  <si>
    <t>PONDOK_GEDE_01</t>
  </si>
  <si>
    <t>JATIBENING_01</t>
  </si>
  <si>
    <t>JATIBENING_02</t>
  </si>
  <si>
    <t>BEKASI_BARAT_01</t>
  </si>
  <si>
    <t>BINTARA_JAYA_01</t>
  </si>
  <si>
    <t>BANTAR_GEBANG</t>
  </si>
  <si>
    <t>MANGUNJAYA_01</t>
  </si>
  <si>
    <t>TAMBUN_SELATAN_01</t>
  </si>
  <si>
    <t>DC_CIBITUNG_01</t>
  </si>
  <si>
    <t>CIBUNTU_01</t>
  </si>
  <si>
    <t>DP_MUKTIWARI_01</t>
  </si>
  <si>
    <t>HARAPAN_INDAH</t>
  </si>
  <si>
    <t>TAMBUN_UTARA</t>
  </si>
  <si>
    <t>DP_BABELAN_KOTA_01</t>
  </si>
  <si>
    <t>BABELAN</t>
  </si>
  <si>
    <t>DC_TAMBUN</t>
  </si>
  <si>
    <t>DC_JATIASIH</t>
  </si>
  <si>
    <t>DC_MUSTIKA_JAYA</t>
  </si>
  <si>
    <t>DC_PONDOK_MELATI</t>
  </si>
  <si>
    <t>DC_BEKASI_TIMUR</t>
  </si>
  <si>
    <t>DC_MEDAN_SATRIA</t>
  </si>
  <si>
    <t>DC_BEKASI_SELATAN</t>
  </si>
  <si>
    <t>TAMBUN_UTARA_02</t>
  </si>
  <si>
    <t>TARUMAJAYA_02</t>
  </si>
  <si>
    <t>BABELAN_02</t>
  </si>
  <si>
    <t>SETU_02</t>
  </si>
  <si>
    <t>RAWALUMBU_02</t>
  </si>
  <si>
    <t>CIKARANG</t>
  </si>
  <si>
    <t>DELTA_MAS</t>
  </si>
  <si>
    <t>SUKATANI</t>
  </si>
  <si>
    <t>KEDUNG_WARINGIN</t>
  </si>
  <si>
    <t>SERANG_BARU_01</t>
  </si>
  <si>
    <t>CIBARUSAH_JAYA</t>
  </si>
  <si>
    <t>PASIR_GOMBONG</t>
  </si>
  <si>
    <t>TELAGA_MURNI</t>
  </si>
  <si>
    <t>KARANG_BAHAGIA</t>
  </si>
  <si>
    <t>DC_CIKARANG_SELATAN</t>
  </si>
  <si>
    <t>DC_CIKARANG_BARAT</t>
  </si>
  <si>
    <t>DC_CIKARANG_UTARA</t>
  </si>
  <si>
    <t>DC_CIBARUSAH</t>
  </si>
  <si>
    <t>DC_CIKARANG_PUSAT</t>
  </si>
  <si>
    <t>JATI_WANGI</t>
  </si>
  <si>
    <t>CABANG_BUNGIN</t>
  </si>
  <si>
    <t>BOGOR茂物</t>
  </si>
  <si>
    <t>CIB11A</t>
  </si>
  <si>
    <t>CIBATOK</t>
  </si>
  <si>
    <t>DC_CIGUDEG</t>
  </si>
  <si>
    <t>DC_DRAMAGA</t>
  </si>
  <si>
    <t>DC_JASINGA</t>
  </si>
  <si>
    <t>CIAMPEA</t>
  </si>
  <si>
    <t>DC_NANGGUNG</t>
  </si>
  <si>
    <t>DRAMAGA_2</t>
  </si>
  <si>
    <t>CIBATOK_RAYA</t>
  </si>
  <si>
    <t>LEUWILIANG1</t>
  </si>
  <si>
    <t>CP_PAMIJAHAN</t>
  </si>
  <si>
    <t>DRAMAGA_CANTIK</t>
  </si>
  <si>
    <t>LEUWISADENG</t>
  </si>
  <si>
    <t>TENJOLAYA</t>
  </si>
  <si>
    <t>BGR06D</t>
  </si>
  <si>
    <t>DC_BOGOR_KOTA</t>
  </si>
  <si>
    <t>BOGOR_UTARA</t>
  </si>
  <si>
    <t>CILEBUT_RAYA</t>
  </si>
  <si>
    <t>AIR_MANCUR</t>
  </si>
  <si>
    <t>GUNUNG_BATU</t>
  </si>
  <si>
    <t>SAWOJAJAR</t>
  </si>
  <si>
    <t>SEMPLAK_RAYA</t>
  </si>
  <si>
    <t>TAMAN_CIMANGGU</t>
  </si>
  <si>
    <t>CP_BCC</t>
  </si>
  <si>
    <t>MARGAJAYA</t>
  </si>
  <si>
    <t>SINDANG_BARANG</t>
  </si>
  <si>
    <t>YASMIN</t>
  </si>
  <si>
    <t>CIOMAS</t>
  </si>
  <si>
    <t>DC_CIOMAS</t>
  </si>
  <si>
    <t>TAJUR_4</t>
  </si>
  <si>
    <t>MUARASARI</t>
  </si>
  <si>
    <t>CILEUNGSI_2</t>
  </si>
  <si>
    <t>DC_CILEUNGSI</t>
  </si>
  <si>
    <t>DC_JONGGOL</t>
  </si>
  <si>
    <t>GUNUNG_PUTRI_4</t>
  </si>
  <si>
    <t>PASAR_GANDOANG</t>
  </si>
  <si>
    <t>CARIU_2</t>
  </si>
  <si>
    <t>GUNUNG_PUTRI</t>
  </si>
  <si>
    <t>BOJONG_KULUR</t>
  </si>
  <si>
    <t>CILEUNGSI</t>
  </si>
  <si>
    <t>JONGGOL</t>
  </si>
  <si>
    <t>GUNUNG_PUTRI_RAYA</t>
  </si>
  <si>
    <t>METLAND_TRANSYOGI</t>
  </si>
  <si>
    <t>CITEUREUP</t>
  </si>
  <si>
    <t>PAKANSARI_2</t>
  </si>
  <si>
    <t>DC_GUNUNG_SINDUR</t>
  </si>
  <si>
    <t>DC_KEMANG</t>
  </si>
  <si>
    <t>DC_PARUNG</t>
  </si>
  <si>
    <t>KEMANG_2</t>
  </si>
  <si>
    <t>PARUNG_PANJANG</t>
  </si>
  <si>
    <t>SASAK_PANJANG</t>
  </si>
  <si>
    <t>PARUNG</t>
  </si>
  <si>
    <t>CISEENG</t>
  </si>
  <si>
    <t>CP_PEMBANGUNAN</t>
  </si>
  <si>
    <t>JAMPANG</t>
  </si>
  <si>
    <t>KEMANG_TONJONG</t>
  </si>
  <si>
    <t>SALABENDA</t>
  </si>
  <si>
    <t>RUMPIN_1</t>
  </si>
  <si>
    <t>KEDUNG_HALANG</t>
  </si>
  <si>
    <t>SUKARAJA_1</t>
  </si>
  <si>
    <t>DC_PAKANSARI</t>
  </si>
  <si>
    <t>GAPERI_BOJONG</t>
  </si>
  <si>
    <t>KARADENAN_RAYA</t>
  </si>
  <si>
    <t>CITAYAM_PABUARAN</t>
  </si>
  <si>
    <t>CIB01F</t>
  </si>
  <si>
    <t>RAGAJAYA</t>
  </si>
  <si>
    <t>PABUARAN_ASRI</t>
  </si>
  <si>
    <t>WON_CIMANDALA</t>
  </si>
  <si>
    <t>PAKANSARI_3</t>
  </si>
  <si>
    <t>BABAKAN_MANDANG</t>
  </si>
  <si>
    <t>CP_MAYOR_OKING</t>
  </si>
  <si>
    <t>PAKANSARI_4</t>
  </si>
  <si>
    <t>DC_CISARUA</t>
  </si>
  <si>
    <t>DC_TAJUR</t>
  </si>
  <si>
    <t>DC_CIAWI</t>
  </si>
  <si>
    <t>DC_MEGAMENDUNG</t>
  </si>
  <si>
    <t>CIGOMBONG</t>
  </si>
  <si>
    <t>CP_CARINGIN_1</t>
  </si>
  <si>
    <t>MAYOR_KH</t>
  </si>
  <si>
    <t>PUNCAK_CISARUA</t>
  </si>
  <si>
    <t>CIBEDUG</t>
  </si>
  <si>
    <t>CIJERUK</t>
  </si>
  <si>
    <t>BOGOR_SELATAN</t>
  </si>
  <si>
    <t>CIAPUS_RAYA</t>
  </si>
  <si>
    <t>PAHLAWAN_SUKSES</t>
  </si>
  <si>
    <t>PAMOYANAN_BOGOR</t>
  </si>
  <si>
    <t>CP_BNR</t>
  </si>
  <si>
    <t>DEPOK德波</t>
  </si>
  <si>
    <t>MAMPANG_DEPOK</t>
  </si>
  <si>
    <t>RANGKAPAN_JAYA</t>
  </si>
  <si>
    <t>CISALAK_PASAR</t>
  </si>
  <si>
    <t>TUGU_DEPOK</t>
  </si>
  <si>
    <t>SAWANGAN_LAMA</t>
  </si>
  <si>
    <t>ABADIJAYA</t>
  </si>
  <si>
    <t>MEKARJAYA</t>
  </si>
  <si>
    <t>GROGOL_DEPOK</t>
  </si>
  <si>
    <t>TANAH_BARU</t>
  </si>
  <si>
    <t>MARGONDA_RAYA_BARU</t>
  </si>
  <si>
    <t>SUKAMAJU_BARU</t>
  </si>
  <si>
    <t>CINERE_BARU</t>
  </si>
  <si>
    <t>PANGKALAN_JATI_BARU</t>
  </si>
  <si>
    <t>JATIMULYA</t>
  </si>
  <si>
    <t>CILODONG_BARU</t>
  </si>
  <si>
    <t>BOJONGSARI_LAMA</t>
  </si>
  <si>
    <t>SERUA_DEPOK</t>
  </si>
  <si>
    <t>PONDOK_JAYA_DEPOK</t>
  </si>
  <si>
    <t>CP_ARIF_RAHMAN_HAKIM</t>
  </si>
  <si>
    <t>CP_CINERE</t>
  </si>
  <si>
    <t>CP_CIPAYUNG_JAYA</t>
  </si>
  <si>
    <t>CP_PENGASINAN</t>
  </si>
  <si>
    <t>DEPOK_SALES</t>
  </si>
  <si>
    <t>BANDUNG万隆</t>
  </si>
  <si>
    <t>KADIPATEN_2</t>
  </si>
  <si>
    <t>MJA13C</t>
  </si>
  <si>
    <t>MJA20B</t>
  </si>
  <si>
    <t>JATIWANGI_2</t>
  </si>
  <si>
    <t>RAJAGALUH_2</t>
  </si>
  <si>
    <t>MJA22A</t>
  </si>
  <si>
    <t>MJA19A</t>
  </si>
  <si>
    <t>MJA07B</t>
  </si>
  <si>
    <t>TELAGA_2</t>
  </si>
  <si>
    <t>MAJALENGKA_2</t>
  </si>
  <si>
    <t>MJA02B</t>
  </si>
  <si>
    <t>JATITUJUH_2</t>
  </si>
  <si>
    <t>MJA14A</t>
  </si>
  <si>
    <t>SARIJADI</t>
  </si>
  <si>
    <t>DC_CIMAHI_TENGAH</t>
  </si>
  <si>
    <t>DC_DUNGUS_CARIANG</t>
  </si>
  <si>
    <t>DC_SARIWANGI</t>
  </si>
  <si>
    <t>DC_CIMAHI_UTARA</t>
  </si>
  <si>
    <t>DC_CIDADAP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</si>
  <si>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</si>
  <si>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</si>
  <si>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</si>
  <si>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</si>
  <si>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</si>
  <si>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</si>
  <si>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</si>
  <si>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</si>
  <si>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</si>
  <si>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</si>
  <si>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</si>
  <si>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</si>
  <si>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</si>
  <si>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</si>
  <si>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</si>
  <si>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</si>
  <si>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</si>
  <si>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</si>
  <si>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</si>
  <si>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</si>
  <si>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</si>
  <si>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</si>
  <si>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</si>
  <si>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</si>
  <si>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</si>
  <si>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</si>
  <si>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</si>
  <si>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</si>
  <si>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</si>
  <si>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</si>
  <si>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</si>
  <si>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</si>
  <si>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</si>
  <si>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</si>
  <si>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</si>
  <si>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</si>
  <si>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</si>
  <si>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</si>
  <si>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</si>
  <si>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BABAKAN_CIPARAY_2</t>
  </si>
  <si>
    <t>KUTAWARINGIN_2</t>
  </si>
  <si>
    <t>DC_HOLIS</t>
  </si>
  <si>
    <t>WARGALUYU</t>
  </si>
  <si>
    <t>PENGALENGAN_CIPINANG</t>
  </si>
  <si>
    <t>CILUNCAT</t>
  </si>
  <si>
    <t>DC_BOJONGLOA_KALER</t>
  </si>
  <si>
    <t>DC_MARGAHAYU_SELATAN</t>
  </si>
  <si>
    <t>DC_BANDUNG_SELATAN</t>
  </si>
  <si>
    <t>WARNASARI</t>
  </si>
  <si>
    <t>DC_KATAPANG</t>
  </si>
  <si>
    <t>DC_CIBADUYUT_RAYA</t>
  </si>
  <si>
    <t>SOG25C</t>
  </si>
  <si>
    <t>CIWIDEY</t>
  </si>
  <si>
    <t>DC_MARGAASIH</t>
  </si>
  <si>
    <t>SOG31E</t>
  </si>
  <si>
    <t>CANGKUANG_3</t>
  </si>
  <si>
    <t>DC_KARAWANG_BARAT</t>
  </si>
  <si>
    <t>PANGKAL_PERJUANGAN</t>
  </si>
  <si>
    <t>TEMPURAN</t>
  </si>
  <si>
    <t>PULOJAYA</t>
  </si>
  <si>
    <t>KARAWANG_WETAN</t>
  </si>
  <si>
    <t>CIBUAYA</t>
  </si>
  <si>
    <t>LOJI_2</t>
  </si>
  <si>
    <t>DC_KOSAMBI</t>
  </si>
  <si>
    <t>CIAMPEL</t>
  </si>
  <si>
    <t>NAGASARI_3</t>
  </si>
  <si>
    <t>TELUK_JAMBE_BARAT</t>
  </si>
  <si>
    <t>DC_MAJA</t>
  </si>
  <si>
    <t>KRW20F</t>
  </si>
  <si>
    <t>DC_GALUH_MAS</t>
  </si>
  <si>
    <t>SUKAHARJA_KRW</t>
  </si>
  <si>
    <t>BATUJAYA</t>
  </si>
  <si>
    <t>KRW17A</t>
  </si>
  <si>
    <t>TELAGASARI</t>
  </si>
  <si>
    <t>DAUWAN_T</t>
  </si>
  <si>
    <t>CKM_CITY</t>
  </si>
  <si>
    <t>DC_BATULAYANG</t>
  </si>
  <si>
    <t>CIKAMUNING</t>
  </si>
  <si>
    <t>NGP05B</t>
  </si>
  <si>
    <t>NGP09A</t>
  </si>
  <si>
    <t>CIPONGKOR</t>
  </si>
  <si>
    <t>SIRNAJAYA</t>
  </si>
  <si>
    <t>DC_LEMBANG</t>
  </si>
  <si>
    <t>DC_PADALARANG</t>
  </si>
  <si>
    <t>CISARUA</t>
  </si>
  <si>
    <t>NGP02E</t>
  </si>
  <si>
    <t>NGP07A</t>
  </si>
  <si>
    <t>CIPATAT</t>
  </si>
  <si>
    <t>CITAPEN</t>
  </si>
  <si>
    <t>NGP16B</t>
  </si>
  <si>
    <t>DC_NGAMPRAH</t>
  </si>
  <si>
    <t>BANJAR_PATROMAN</t>
  </si>
  <si>
    <t>PGR01C</t>
  </si>
  <si>
    <t>LANGENSARI_3</t>
  </si>
  <si>
    <t>PGR04B</t>
  </si>
  <si>
    <t>CIAMIS</t>
  </si>
  <si>
    <t>CMI01B</t>
  </si>
  <si>
    <t>PARUNGLESANG_3</t>
  </si>
  <si>
    <t>PANUMBANGAN</t>
  </si>
  <si>
    <t>SINDANGKASIH</t>
  </si>
  <si>
    <t>WINDURAJA</t>
  </si>
  <si>
    <t>CMI13C</t>
  </si>
  <si>
    <t>BJA04A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</si>
  <si>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</si>
  <si>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</si>
  <si>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</si>
  <si>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</si>
  <si>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</si>
  <si>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</si>
  <si>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</si>
  <si>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</si>
  <si>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</si>
  <si>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</si>
  <si>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</si>
  <si>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</si>
  <si>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</si>
  <si>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</si>
  <si>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</si>
  <si>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</si>
  <si>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</si>
  <si>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SUKARAJA</t>
  </si>
  <si>
    <t>DC_CITAMIANG</t>
  </si>
  <si>
    <t>DC_PONDOKASO_LANDEUH</t>
  </si>
  <si>
    <t>SMI17B</t>
  </si>
  <si>
    <t>CICANTAYAN</t>
  </si>
  <si>
    <t>SMI02A</t>
  </si>
  <si>
    <t>CIBADAK</t>
  </si>
  <si>
    <t>PER06C</t>
  </si>
  <si>
    <t>SMI29B</t>
  </si>
  <si>
    <t>DC_BOJONG_KEMBAR</t>
  </si>
  <si>
    <t>SMI09B</t>
  </si>
  <si>
    <t>DC_CIKOLE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</si>
  <si>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</si>
  <si>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</si>
  <si>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</si>
  <si>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</si>
  <si>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</si>
  <si>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</si>
  <si>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</si>
  <si>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</si>
  <si>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</si>
  <si>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</si>
  <si>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</si>
  <si>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</si>
  <si>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</si>
  <si>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DC_CISAAT</t>
  </si>
  <si>
    <t>SMI35A</t>
  </si>
  <si>
    <t>SMI20A</t>
  </si>
  <si>
    <t>TANGGULUN_BARAT_2</t>
  </si>
  <si>
    <t>SBG16A</t>
  </si>
  <si>
    <t>GEMBOR_4</t>
  </si>
  <si>
    <t>SUKAMANDIJAYA_2</t>
  </si>
  <si>
    <t>PUSAKARATU_4</t>
  </si>
  <si>
    <t>KALIANGSANA_2</t>
  </si>
  <si>
    <t>SBG01B</t>
  </si>
  <si>
    <t>LENGKONGJAYA_2</t>
  </si>
  <si>
    <t>SBG21B</t>
  </si>
  <si>
    <t>SBG29A</t>
  </si>
  <si>
    <t>SBG08C</t>
  </si>
  <si>
    <t>CIBOGO_SBG</t>
  </si>
  <si>
    <t>SOKLAT_4</t>
  </si>
  <si>
    <t>PATOKBEUSI_2</t>
  </si>
  <si>
    <t>CISALAK_4</t>
  </si>
  <si>
    <t>SUKARESMI_3</t>
  </si>
  <si>
    <t>SBG27A</t>
  </si>
  <si>
    <t>CIEUNDEUR</t>
  </si>
  <si>
    <t>CJR22A</t>
  </si>
  <si>
    <t>CJR16B</t>
  </si>
  <si>
    <t>CIRANJANG</t>
  </si>
  <si>
    <t>CJR26B</t>
  </si>
  <si>
    <t>CJR09B</t>
  </si>
  <si>
    <t>CJR13B</t>
  </si>
  <si>
    <t>CILAKU</t>
  </si>
  <si>
    <t>CJR06A</t>
  </si>
  <si>
    <t>CJR04A</t>
  </si>
  <si>
    <t>DC_SOLOKPANDAN</t>
  </si>
  <si>
    <t>CJR17A</t>
  </si>
  <si>
    <t>CJR14B</t>
  </si>
  <si>
    <t>SADAMAYA</t>
  </si>
  <si>
    <t>MUKA</t>
  </si>
  <si>
    <t>CIPANAS</t>
  </si>
  <si>
    <t>PACET_CJR_2</t>
  </si>
  <si>
    <t>CJR18C</t>
  </si>
  <si>
    <t>CJR07B</t>
  </si>
  <si>
    <t>PWK05B</t>
  </si>
  <si>
    <t>JATISARI_BARU</t>
  </si>
  <si>
    <t>PWK01B</t>
  </si>
  <si>
    <t>PASAR_PERMAI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</si>
  <si>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</si>
  <si>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</si>
  <si>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</si>
  <si>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</si>
  <si>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</si>
  <si>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</si>
  <si>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</si>
  <si>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</si>
  <si>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</si>
  <si>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</si>
  <si>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DC_KOTABARU</t>
  </si>
  <si>
    <t>KRW28B</t>
  </si>
  <si>
    <t>PWK07D</t>
  </si>
  <si>
    <t>PWK15M</t>
  </si>
  <si>
    <t>MANONJAYA</t>
  </si>
  <si>
    <t>SIN03A</t>
  </si>
  <si>
    <t>SIN07A</t>
  </si>
  <si>
    <t>TARAJU_2</t>
  </si>
  <si>
    <t>TSK03E</t>
  </si>
  <si>
    <t>KAWALU</t>
  </si>
  <si>
    <t>DC_KAMASAN</t>
  </si>
  <si>
    <t>TAMANSARI</t>
  </si>
  <si>
    <t>CIKATOMAS</t>
  </si>
  <si>
    <t>SINGAPARNA</t>
  </si>
  <si>
    <t>SALAWU_2</t>
  </si>
  <si>
    <t>TASIKMALAYA</t>
  </si>
  <si>
    <t>INDIHIANG_2</t>
  </si>
  <si>
    <t>SINDANGRERET</t>
  </si>
  <si>
    <t>CIPEDES_4</t>
  </si>
  <si>
    <t>SIN31</t>
  </si>
  <si>
    <t>SIN29B</t>
  </si>
  <si>
    <t>SIN20</t>
  </si>
  <si>
    <t>CIBEUREUM_2</t>
  </si>
  <si>
    <t>SUKAMANTRI_CIAWI</t>
  </si>
  <si>
    <t>DC_ARGASARI</t>
  </si>
  <si>
    <t>SIN26A</t>
  </si>
  <si>
    <t>CIGANITRI</t>
  </si>
  <si>
    <t>RANCAMANYAR_3</t>
  </si>
  <si>
    <t>DC_SAMOJA</t>
  </si>
  <si>
    <t>BEC</t>
  </si>
  <si>
    <t>DC_ANTAPANI_WETAN</t>
  </si>
  <si>
    <t>SOG07A</t>
  </si>
  <si>
    <t>DC_BALEENDAH</t>
  </si>
  <si>
    <t>DC_MAJALAYA</t>
  </si>
  <si>
    <t>SOG05A</t>
  </si>
  <si>
    <t>PACET</t>
  </si>
  <si>
    <t>DC_BURANGRANG</t>
  </si>
  <si>
    <t>DC_CIJAGRA</t>
  </si>
  <si>
    <t>DC_BINONG</t>
  </si>
  <si>
    <t>PARAKAN_SAAT</t>
  </si>
  <si>
    <t>SERANGMEKAR_2</t>
  </si>
  <si>
    <t>CIRENDANG</t>
  </si>
  <si>
    <t>KOJENGKANG</t>
  </si>
  <si>
    <t>KADUGEDE</t>
  </si>
  <si>
    <t>KNG18</t>
  </si>
  <si>
    <t>KNG03A</t>
  </si>
  <si>
    <t>INDANGKERTA</t>
  </si>
  <si>
    <t>KNG26</t>
  </si>
  <si>
    <t>DC_PANAWUAN</t>
  </si>
  <si>
    <t>SOG12E</t>
  </si>
  <si>
    <t>DC_RANCASARI</t>
  </si>
  <si>
    <t>DC_CIBIRU</t>
  </si>
  <si>
    <t>SOG02C</t>
  </si>
  <si>
    <t>SOG13C</t>
  </si>
  <si>
    <t>DC_MARGACINTA</t>
  </si>
  <si>
    <t>DC_PANYAWANGAN</t>
  </si>
  <si>
    <t>SOG11E</t>
  </si>
  <si>
    <t>DC_PEUNDEUY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</si>
  <si>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</si>
  <si>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</si>
  <si>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</si>
  <si>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</si>
  <si>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</si>
  <si>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</si>
  <si>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</si>
  <si>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</si>
  <si>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</si>
  <si>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</si>
  <si>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</si>
  <si>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</si>
  <si>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</si>
  <si>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DC_CIREBON_BARAT</t>
  </si>
  <si>
    <t>SMB03C</t>
  </si>
  <si>
    <t>SMB28C</t>
  </si>
  <si>
    <t>SEMARANG三宝垄</t>
  </si>
  <si>
    <t>BANJARNEGARA</t>
  </si>
  <si>
    <t>KLAMPOK</t>
  </si>
  <si>
    <t>KARANG_KOBAR</t>
  </si>
  <si>
    <t>BAWANG</t>
  </si>
  <si>
    <t>WANADADI</t>
  </si>
  <si>
    <t>SIGALUH</t>
  </si>
  <si>
    <t>PUNGGELAN01</t>
  </si>
  <si>
    <t>MANDIRAJA01</t>
  </si>
  <si>
    <t>PEJAWARAN</t>
  </si>
  <si>
    <t>KAJEN</t>
  </si>
  <si>
    <t>BOJONG</t>
  </si>
  <si>
    <t>KARANGSARI_KAJEN</t>
  </si>
  <si>
    <t>DORO</t>
  </si>
  <si>
    <t>PANINGGARAN</t>
  </si>
  <si>
    <t>TIRTO01</t>
  </si>
  <si>
    <t>KESESI01</t>
  </si>
  <si>
    <t>WONOPRINGGO01</t>
  </si>
  <si>
    <t>KEDUNGWUNI01</t>
  </si>
  <si>
    <t>KARANGDADAP01</t>
  </si>
  <si>
    <t>TEMANGGUNG</t>
  </si>
  <si>
    <t>NGADIREJO</t>
  </si>
  <si>
    <t>CANDIROTO</t>
  </si>
  <si>
    <t>PARAKAN</t>
  </si>
  <si>
    <t>KRANGGAN</t>
  </si>
  <si>
    <t>KEDU</t>
  </si>
  <si>
    <t>WADAS</t>
  </si>
  <si>
    <t>PRINGSURAT_TIMUR</t>
  </si>
  <si>
    <t>BLORA</t>
  </si>
  <si>
    <t>NGAWEN</t>
  </si>
  <si>
    <t>JEPON</t>
  </si>
  <si>
    <t>KUNDURAN</t>
  </si>
  <si>
    <t>CEPU</t>
  </si>
  <si>
    <t>RANDUBLATUNG</t>
  </si>
  <si>
    <t>KEDUNGTUBAN</t>
  </si>
  <si>
    <t>TUNJUNGAN</t>
  </si>
  <si>
    <t>JATI_BLORA</t>
  </si>
  <si>
    <t>SAMBONG</t>
  </si>
  <si>
    <t>SUMOWONO</t>
  </si>
  <si>
    <t>AMBARAWA</t>
  </si>
  <si>
    <t>UNGARAN</t>
  </si>
  <si>
    <t>BAWEN</t>
  </si>
  <si>
    <t>BERGAS</t>
  </si>
  <si>
    <t>BANYUBIRU</t>
  </si>
  <si>
    <t>CANDIREJO</t>
  </si>
  <si>
    <t>PRINGAPUS</t>
  </si>
  <si>
    <t>SALATIGA</t>
  </si>
  <si>
    <t>SURUH</t>
  </si>
  <si>
    <t>BRINGIN</t>
  </si>
  <si>
    <t>TINGKIR</t>
  </si>
  <si>
    <t>TENGARAN</t>
  </si>
  <si>
    <t>AJIBARANG</t>
  </si>
  <si>
    <t>BANYUMAS</t>
  </si>
  <si>
    <t>PATIKRAJA</t>
  </si>
  <si>
    <t>SUMPIUH</t>
  </si>
  <si>
    <t>WANGON</t>
  </si>
  <si>
    <t>KEMBARAN</t>
  </si>
  <si>
    <t>KARANGLEWAS</t>
  </si>
  <si>
    <t>CILONGOK</t>
  </si>
  <si>
    <t>RAWALO</t>
  </si>
  <si>
    <t>SOMAGEDE</t>
  </si>
  <si>
    <t>PURWOKERTO_UTARA</t>
  </si>
  <si>
    <t>PEKUNCEN</t>
  </si>
  <si>
    <t>SUMBANG01</t>
  </si>
  <si>
    <t>KEMRANJEN01</t>
  </si>
  <si>
    <t>KARANGRAYUNG</t>
  </si>
  <si>
    <t>PURWODADI</t>
  </si>
  <si>
    <t>GODONG</t>
  </si>
  <si>
    <t>WIROSARI</t>
  </si>
  <si>
    <t>GUBUG</t>
  </si>
  <si>
    <t>KRADENAN</t>
  </si>
  <si>
    <t>GROBOGAN</t>
  </si>
  <si>
    <t>TEGOWANU</t>
  </si>
  <si>
    <t>PULOKULON</t>
  </si>
  <si>
    <t>PENAWANGAN</t>
  </si>
  <si>
    <t>TANGGUNGHARJO01</t>
  </si>
  <si>
    <t>GEYER</t>
  </si>
  <si>
    <t>GEMUH</t>
  </si>
  <si>
    <t>KENDAL</t>
  </si>
  <si>
    <t>WELERI</t>
  </si>
  <si>
    <t>BOJA</t>
  </si>
  <si>
    <t>SUKOREJO</t>
  </si>
  <si>
    <t>KALIWUNGU</t>
  </si>
  <si>
    <t>BRANGSONG</t>
  </si>
  <si>
    <t>TAMPINGAN</t>
  </si>
  <si>
    <t>PAGERUYUNG</t>
  </si>
  <si>
    <t>MEJOBO</t>
  </si>
  <si>
    <t>KUDUS</t>
  </si>
  <si>
    <t>JEKULO</t>
  </si>
  <si>
    <t>JATI</t>
  </si>
  <si>
    <t>DAWE</t>
  </si>
  <si>
    <t>UNDAAN</t>
  </si>
  <si>
    <t>KALIWUNGU_KUDUS</t>
  </si>
  <si>
    <t>GEBOG</t>
  </si>
  <si>
    <t>REJOSARI_KUDUS</t>
  </si>
  <si>
    <t>KEDUNG</t>
  </si>
  <si>
    <t>JEPARA</t>
  </si>
  <si>
    <t>BANGSRI</t>
  </si>
  <si>
    <t>PECANGAAN</t>
  </si>
  <si>
    <t>WONOREJO</t>
  </si>
  <si>
    <t>MAYONG</t>
  </si>
  <si>
    <t>TAHUNAN</t>
  </si>
  <si>
    <t>KELET</t>
  </si>
  <si>
    <t>WELAHAN</t>
  </si>
  <si>
    <t>KALINYAMATAN</t>
  </si>
  <si>
    <t>SENENAN</t>
  </si>
  <si>
    <t>NALUMSARI</t>
  </si>
  <si>
    <t>TULIS</t>
  </si>
  <si>
    <t>WARUNGASEM</t>
  </si>
  <si>
    <t>REBAN</t>
  </si>
  <si>
    <t>GRINGSING_LAMA</t>
  </si>
  <si>
    <t>BATANG_UTARA</t>
  </si>
  <si>
    <t>BATANG01</t>
  </si>
  <si>
    <t>BANDAR01</t>
  </si>
  <si>
    <t>LIMPUNG01</t>
  </si>
  <si>
    <t>SUBAH01</t>
  </si>
  <si>
    <t>TERSONO</t>
  </si>
  <si>
    <t>BLADO01</t>
  </si>
  <si>
    <t>PEKALONGAN</t>
  </si>
  <si>
    <t>WIRADESA</t>
  </si>
  <si>
    <t>BUARAN</t>
  </si>
  <si>
    <t>JATILONDO</t>
  </si>
  <si>
    <t>WONOKERTO</t>
  </si>
  <si>
    <t>KLEGO</t>
  </si>
  <si>
    <t>MEDONO</t>
  </si>
  <si>
    <t>KURIPAN</t>
  </si>
  <si>
    <t>PANJANG01</t>
  </si>
  <si>
    <t>GUNUNG_PATI</t>
  </si>
  <si>
    <t>TUGU</t>
  </si>
  <si>
    <t>MIJEN</t>
  </si>
  <si>
    <t>PLALANGAN</t>
  </si>
  <si>
    <t>BRINGIN_SEMARANG</t>
  </si>
  <si>
    <t>SILAYUR</t>
  </si>
  <si>
    <t>SEMARANG_TENGAH</t>
  </si>
  <si>
    <t>HASANUDIN</t>
  </si>
  <si>
    <t>ANJASMORO</t>
  </si>
  <si>
    <t>S_PARMAN</t>
  </si>
  <si>
    <t>SIMONGAN</t>
  </si>
  <si>
    <t>GRAHAPADMA_01</t>
  </si>
  <si>
    <t>PATI</t>
  </si>
  <si>
    <t>JUWANA</t>
  </si>
  <si>
    <t>TAMBAKROMO</t>
  </si>
  <si>
    <t>MARGOYOSO</t>
  </si>
  <si>
    <t>TAYU</t>
  </si>
  <si>
    <t>JAKENAN</t>
  </si>
  <si>
    <t>KAYEN</t>
  </si>
  <si>
    <t>WEDARIJAKSA</t>
  </si>
  <si>
    <t>BATANGAN</t>
  </si>
  <si>
    <t>TLOGOWUNGU_PTI</t>
  </si>
  <si>
    <t>WINONG</t>
  </si>
  <si>
    <t>DUKUHSETI</t>
  </si>
  <si>
    <t>PATI_KIDUL</t>
  </si>
  <si>
    <t>SUKOLILO</t>
  </si>
  <si>
    <t>TRANGKIL</t>
  </si>
  <si>
    <t>GABUS</t>
  </si>
  <si>
    <t>CLUWAK</t>
  </si>
  <si>
    <t>JUWANA_TIMUR</t>
  </si>
  <si>
    <t>REMBANG</t>
  </si>
  <si>
    <t>LASEM</t>
  </si>
  <si>
    <t>KRAGAN</t>
  </si>
  <si>
    <t>PAMOTAN</t>
  </si>
  <si>
    <t>SEDAN</t>
  </si>
  <si>
    <t>BULU</t>
  </si>
  <si>
    <t>SLUKE</t>
  </si>
  <si>
    <t>SARANG</t>
  </si>
  <si>
    <t>PANCUR</t>
  </si>
  <si>
    <t>BANYUMANIK</t>
  </si>
  <si>
    <t>TENTARA_PELAJAR</t>
  </si>
  <si>
    <t>SENDANGMULYO</t>
  </si>
  <si>
    <t>KETILENG_RAYA</t>
  </si>
  <si>
    <t>SUPRIYADI_FNC</t>
  </si>
  <si>
    <t>TLOGOSARI_FNC</t>
  </si>
  <si>
    <t>WOLTER_FNC</t>
  </si>
  <si>
    <t>SIDODADI</t>
  </si>
  <si>
    <t>GENUK</t>
  </si>
  <si>
    <t>PURBALINGGA</t>
  </si>
  <si>
    <t>BOBOTSARI</t>
  </si>
  <si>
    <t>KALIGONDANG</t>
  </si>
  <si>
    <t>BOJONGSARI</t>
  </si>
  <si>
    <t>SUMAMPIR</t>
  </si>
  <si>
    <t>PURBALINGGA_LOR</t>
  </si>
  <si>
    <t>KEMANGKON01</t>
  </si>
  <si>
    <t>KARANGREJA01</t>
  </si>
  <si>
    <t>MOJOTENGAH</t>
  </si>
  <si>
    <t>KEJAJAR</t>
  </si>
  <si>
    <t>KALIWIRO</t>
  </si>
  <si>
    <t>MADUKORO_01</t>
  </si>
  <si>
    <t>SELOMERTO_01</t>
  </si>
  <si>
    <t>SAPURAN_01</t>
  </si>
  <si>
    <t>KALIKAJAR</t>
  </si>
  <si>
    <t>SLAWI</t>
  </si>
  <si>
    <t>SURADADI</t>
  </si>
  <si>
    <t>BUMIJAWA</t>
  </si>
  <si>
    <t>SLAWI_KULON</t>
  </si>
  <si>
    <t>MARGASARI</t>
  </si>
  <si>
    <t>KRAMAT_SLAWI</t>
  </si>
  <si>
    <t>BALAPULANG</t>
  </si>
  <si>
    <t>TALANG</t>
  </si>
  <si>
    <t>TARUB</t>
  </si>
  <si>
    <t>DUKUHWARU</t>
  </si>
  <si>
    <t>KEDUNGBANTENG</t>
  </si>
  <si>
    <t>BANDARSARI</t>
  </si>
  <si>
    <t>WONOSALAM</t>
  </si>
  <si>
    <t>DEMAK</t>
  </si>
  <si>
    <t>MRANGGEN</t>
  </si>
  <si>
    <t>GAJAH</t>
  </si>
  <si>
    <t>WEDUNG</t>
  </si>
  <si>
    <t>DEMPET</t>
  </si>
  <si>
    <t>SAYUNG</t>
  </si>
  <si>
    <t>BATURSARI</t>
  </si>
  <si>
    <t>GUNTUR</t>
  </si>
  <si>
    <t>BONANG</t>
  </si>
  <si>
    <t>KARANGANYAR</t>
  </si>
  <si>
    <t>BREBES</t>
  </si>
  <si>
    <t>BUMIAYU</t>
  </si>
  <si>
    <t>KETANGGUNGAN</t>
  </si>
  <si>
    <t>LOSARI</t>
  </si>
  <si>
    <t>JATIBARANG_KIDUL</t>
  </si>
  <si>
    <t>BULAKAMBA</t>
  </si>
  <si>
    <t>LARANGAN_BREBES</t>
  </si>
  <si>
    <t>WANASARI_BREBES</t>
  </si>
  <si>
    <t>BANJARHARJO</t>
  </si>
  <si>
    <t>TONJONG</t>
  </si>
  <si>
    <t>SALEM</t>
  </si>
  <si>
    <t>BANTARKAWUNG</t>
  </si>
  <si>
    <t>PAGUYANGAN</t>
  </si>
  <si>
    <t>TANJUNG_BREBES</t>
  </si>
  <si>
    <t>SIRAMPOG01</t>
  </si>
  <si>
    <t>PEMALANG</t>
  </si>
  <si>
    <t>RANDUDONGKAL</t>
  </si>
  <si>
    <t>COMAL</t>
  </si>
  <si>
    <t>AMBOKULON</t>
  </si>
  <si>
    <t>KEBANGGAN</t>
  </si>
  <si>
    <t>BANJARDAWA</t>
  </si>
  <si>
    <t>PETARUKAN</t>
  </si>
  <si>
    <t>BODEH</t>
  </si>
  <si>
    <t>BELIK</t>
  </si>
  <si>
    <t>WATUKUMPUL</t>
  </si>
  <si>
    <t>BANTARBOLANG</t>
  </si>
  <si>
    <t>MULYOHARJO01</t>
  </si>
  <si>
    <t>TEGAL</t>
  </si>
  <si>
    <t>MARGADANA</t>
  </si>
  <si>
    <t>TEGAL_BARAT</t>
  </si>
  <si>
    <t>DUKUHTURI</t>
  </si>
  <si>
    <t>PURWOKERTO</t>
  </si>
  <si>
    <t>KEBASEN</t>
  </si>
  <si>
    <t>SRG_SALES</t>
  </si>
  <si>
    <t>PROTOMULYO</t>
  </si>
  <si>
    <t>NGALIYAN</t>
  </si>
  <si>
    <t>BSB_SEMARANG</t>
  </si>
  <si>
    <t>GAJAHMUNGKUR</t>
  </si>
  <si>
    <t>PANGGUNG_LOR</t>
  </si>
  <si>
    <t>PUDAKPAYUNG</t>
  </si>
  <si>
    <t>TEMBALANG</t>
  </si>
  <si>
    <t>BUGANGAN</t>
  </si>
  <si>
    <t>DEBONG</t>
  </si>
  <si>
    <t>YOGYAKARTA日惹</t>
  </si>
  <si>
    <t>BANTUL</t>
  </si>
  <si>
    <t>KASIHAN</t>
  </si>
  <si>
    <t>SEWON</t>
  </si>
  <si>
    <t>DIRO</t>
  </si>
  <si>
    <t>GOSE</t>
  </si>
  <si>
    <t>PERWITA</t>
  </si>
  <si>
    <t>TAMANAN</t>
  </si>
  <si>
    <t>WONOCATUR</t>
  </si>
  <si>
    <t>SITIMULYO</t>
  </si>
  <si>
    <t>BOYOLALI</t>
  </si>
  <si>
    <t>TERAS</t>
  </si>
  <si>
    <t>AMPEL</t>
  </si>
  <si>
    <t>BYL03A</t>
  </si>
  <si>
    <t>SIMO</t>
  </si>
  <si>
    <t>BYL04A</t>
  </si>
  <si>
    <t>NGEMPLAK</t>
  </si>
  <si>
    <t>PULISEN</t>
  </si>
  <si>
    <t>ANDONG</t>
  </si>
  <si>
    <t>SAWIT</t>
  </si>
  <si>
    <t>KARANGGEDE</t>
  </si>
  <si>
    <t>BYL12</t>
  </si>
  <si>
    <t>CILACAP</t>
  </si>
  <si>
    <t>MAJENANG</t>
  </si>
  <si>
    <t>KROYA</t>
  </si>
  <si>
    <t>CLP03A</t>
  </si>
  <si>
    <t>SIDAREJA</t>
  </si>
  <si>
    <t>ADIPALA</t>
  </si>
  <si>
    <t>KAWUNGANTEN</t>
  </si>
  <si>
    <t>CIMANGGU</t>
  </si>
  <si>
    <t>MERTASINGA</t>
  </si>
  <si>
    <t>SALIWANGI</t>
  </si>
  <si>
    <t>NUSAWUNGU</t>
  </si>
  <si>
    <t>CLP13A</t>
  </si>
  <si>
    <t>WANAREJA</t>
  </si>
  <si>
    <t>UMBULHARJO</t>
  </si>
  <si>
    <t>KATAMSO</t>
  </si>
  <si>
    <t>SURYOWIJAYAN</t>
  </si>
  <si>
    <t>GEDONG_KUNING</t>
  </si>
  <si>
    <t>GIWANGAN</t>
  </si>
  <si>
    <t>COLOMADU</t>
  </si>
  <si>
    <t>TASIKMADU</t>
  </si>
  <si>
    <t>GONDANGREJO</t>
  </si>
  <si>
    <t>KARANG_PANDAN</t>
  </si>
  <si>
    <t>MATESI</t>
  </si>
  <si>
    <t>BEJEN</t>
  </si>
  <si>
    <t>NGRINGO</t>
  </si>
  <si>
    <t>MOJOGEDANG</t>
  </si>
  <si>
    <t>TUGU_BOTO</t>
  </si>
  <si>
    <t>JUMAPOLO</t>
  </si>
  <si>
    <t>KEBAKKRAMAT</t>
  </si>
  <si>
    <t>GOMBONG</t>
  </si>
  <si>
    <t>KBM02A</t>
  </si>
  <si>
    <t>PREMBUN</t>
  </si>
  <si>
    <t>KEBUMEN_KOTA</t>
  </si>
  <si>
    <t>AYAH</t>
  </si>
  <si>
    <t>PETANAHAN</t>
  </si>
  <si>
    <t>KUTOWINANGUN</t>
  </si>
  <si>
    <t>CANDI_KEBUMEN</t>
  </si>
  <si>
    <t>KBM17</t>
  </si>
  <si>
    <t>WATES</t>
  </si>
  <si>
    <t>SENTOLO</t>
  </si>
  <si>
    <t>KULONPROGO</t>
  </si>
  <si>
    <t>NANGGULAN</t>
  </si>
  <si>
    <t>KLATEN_SELATAN</t>
  </si>
  <si>
    <t>PRAMBANAN</t>
  </si>
  <si>
    <t>DELANGGU</t>
  </si>
  <si>
    <t>BELANG_WETAN</t>
  </si>
  <si>
    <t>PEDAN</t>
  </si>
  <si>
    <t>KLATEN_TENGAH</t>
  </si>
  <si>
    <t>KARANGDOWO</t>
  </si>
  <si>
    <t>DC_KLATEN</t>
  </si>
  <si>
    <t>MOJAYAN</t>
  </si>
  <si>
    <t>MAYUNGAN</t>
  </si>
  <si>
    <t>TULUNG</t>
  </si>
  <si>
    <t>KLT26</t>
  </si>
  <si>
    <t>MAGELANG</t>
  </si>
  <si>
    <t>KUPATAN</t>
  </si>
  <si>
    <t>MUNGKID</t>
  </si>
  <si>
    <t>GRABAG</t>
  </si>
  <si>
    <t>SALAM</t>
  </si>
  <si>
    <t>SECANG</t>
  </si>
  <si>
    <t>MERTOYUDAN</t>
  </si>
  <si>
    <t>BOROBUDUR</t>
  </si>
  <si>
    <t>KEDUNGDOWO</t>
  </si>
  <si>
    <t>TEGALREJO</t>
  </si>
  <si>
    <t>TEMPURAN_MUNGKID</t>
  </si>
  <si>
    <t>PURWOREJO</t>
  </si>
  <si>
    <t>LOANO</t>
  </si>
  <si>
    <t>BUTUH</t>
  </si>
  <si>
    <t>BAGELEN</t>
  </si>
  <si>
    <t>WIRUN</t>
  </si>
  <si>
    <t>DC_BANYUURIP</t>
  </si>
  <si>
    <t>SLEMAN</t>
  </si>
  <si>
    <t>GODEAN</t>
  </si>
  <si>
    <t>NGAGLIK</t>
  </si>
  <si>
    <t>SLM03A</t>
  </si>
  <si>
    <t>DENGGUNG</t>
  </si>
  <si>
    <t>MAGUWOHARJO</t>
  </si>
  <si>
    <t>CATUR_TUNGGAL</t>
  </si>
  <si>
    <t>SETURAN</t>
  </si>
  <si>
    <t>KALASAN</t>
  </si>
  <si>
    <t>SLM10A</t>
  </si>
  <si>
    <t>BERJO</t>
  </si>
  <si>
    <t>GEJAYAN</t>
  </si>
  <si>
    <t>PALAGAN</t>
  </si>
  <si>
    <t>SLM17A</t>
  </si>
  <si>
    <t>JOMBOR</t>
  </si>
  <si>
    <t>TRIDADI</t>
  </si>
  <si>
    <t>GAMPING</t>
  </si>
  <si>
    <t>KENTUNGAN</t>
  </si>
  <si>
    <t>SOLO</t>
  </si>
  <si>
    <t>KARTASURA</t>
  </si>
  <si>
    <t>SERENGAN</t>
  </si>
  <si>
    <t>MOJOSONGO</t>
  </si>
  <si>
    <t>SUMBER_BANJARSARI</t>
  </si>
  <si>
    <t>TIPES</t>
  </si>
  <si>
    <t>JAGALAN</t>
  </si>
  <si>
    <t>BETENG</t>
  </si>
  <si>
    <t>TIMURAN</t>
  </si>
  <si>
    <t>SEMANGGI</t>
  </si>
  <si>
    <t>DANUKUSUMAN</t>
  </si>
  <si>
    <t>BUMI_LAWEYAN</t>
  </si>
  <si>
    <t>SEKIP_KADIPIRO</t>
  </si>
  <si>
    <t>DC_SOLO_BARAT</t>
  </si>
  <si>
    <t>IR_SUTAMI</t>
  </si>
  <si>
    <t>SAMPANGAN_SOLO</t>
  </si>
  <si>
    <t>SRAGEN</t>
  </si>
  <si>
    <t>GEMOLONG</t>
  </si>
  <si>
    <t>MASARAN</t>
  </si>
  <si>
    <t>GONDANG</t>
  </si>
  <si>
    <t>PILANGSARI</t>
  </si>
  <si>
    <t>TANON</t>
  </si>
  <si>
    <t>TUGU_GADING_MASARAN</t>
  </si>
  <si>
    <t>KARANGMALANG</t>
  </si>
  <si>
    <t>LANGENHARJO</t>
  </si>
  <si>
    <t>POLOKARTO</t>
  </si>
  <si>
    <t>BAKI</t>
  </si>
  <si>
    <t>TAWANGSARI</t>
  </si>
  <si>
    <t>PUCANGAN</t>
  </si>
  <si>
    <t>SLAMET_RIYADI_BARAT</t>
  </si>
  <si>
    <t>MOJOLABAN</t>
  </si>
  <si>
    <t>TELUKAN</t>
  </si>
  <si>
    <t>JETIS</t>
  </si>
  <si>
    <t>WONOGIRI</t>
  </si>
  <si>
    <t>BATURETNO</t>
  </si>
  <si>
    <t>NGADIROJO</t>
  </si>
  <si>
    <t>WURYANTORO</t>
  </si>
  <si>
    <t>SLOGOHIMO</t>
  </si>
  <si>
    <t>SELOGIRI</t>
  </si>
  <si>
    <t>PURWANTORO</t>
  </si>
  <si>
    <t>NGUNTORONADI</t>
  </si>
  <si>
    <t>JATISRONO_WGI</t>
  </si>
  <si>
    <t>WONOSARI</t>
  </si>
  <si>
    <t>NGLIPAR</t>
  </si>
  <si>
    <t>KARANGMOJO</t>
  </si>
  <si>
    <t>SURABAYA泗水</t>
  </si>
  <si>
    <t>PADANGAN</t>
  </si>
  <si>
    <t>KALITIDU</t>
  </si>
  <si>
    <t>SUMBEREJO</t>
  </si>
  <si>
    <t>DC_SRATU</t>
  </si>
  <si>
    <t>DC_KLANGON</t>
  </si>
  <si>
    <t>GAYAM</t>
  </si>
  <si>
    <t>NGRAHO</t>
  </si>
  <si>
    <t>DANDER</t>
  </si>
  <si>
    <t>BALEN_1</t>
  </si>
  <si>
    <t>KEDUNGADEM_1</t>
  </si>
  <si>
    <t>TUBAN</t>
  </si>
  <si>
    <t>JATIROGO</t>
  </si>
  <si>
    <t>KEREK</t>
  </si>
  <si>
    <t>PLUMPANG</t>
  </si>
  <si>
    <t>PARENGAN</t>
  </si>
  <si>
    <t>TAMBAKBOYO</t>
  </si>
  <si>
    <t>RENGEL_1</t>
  </si>
  <si>
    <t>MERAKURAK_1</t>
  </si>
  <si>
    <t>TUBAN_1</t>
  </si>
  <si>
    <t>PALANG_1</t>
  </si>
  <si>
    <t>DRIYOREJO</t>
  </si>
  <si>
    <t>PANCENG</t>
  </si>
  <si>
    <t>MANYAR_2</t>
  </si>
  <si>
    <t>BAWEAN</t>
  </si>
  <si>
    <t>CERME</t>
  </si>
  <si>
    <t>KEBON</t>
  </si>
  <si>
    <t>MENGANTI</t>
  </si>
  <si>
    <t>KEDAMEAN</t>
  </si>
  <si>
    <t>BUNGAH_1</t>
  </si>
  <si>
    <t>DUKUN_2</t>
  </si>
  <si>
    <t>WRINGINANOM</t>
  </si>
  <si>
    <t>KEBOMAS_1</t>
  </si>
  <si>
    <t>BALONGPANGGANG_1</t>
  </si>
  <si>
    <t>DUDUKSAMPEYAN_1</t>
  </si>
  <si>
    <t>BABAT</t>
  </si>
  <si>
    <t>KEDUNGPRING_2</t>
  </si>
  <si>
    <t>PACIRAN</t>
  </si>
  <si>
    <t>MANTUP_1</t>
  </si>
  <si>
    <t>KARANGGENENG</t>
  </si>
  <si>
    <t>LAMONGAN_2</t>
  </si>
  <si>
    <t>RAYA_PACIRAN</t>
  </si>
  <si>
    <t>MOROPELANG</t>
  </si>
  <si>
    <t>SAMBENG</t>
  </si>
  <si>
    <t>SUGIO_1</t>
  </si>
  <si>
    <t>GLAGAH_LMG_1</t>
  </si>
  <si>
    <t>TIKUNG_2</t>
  </si>
  <si>
    <t>BANGKALAN</t>
  </si>
  <si>
    <t>BLEGA</t>
  </si>
  <si>
    <t>BANGKALAN_KOTA</t>
  </si>
  <si>
    <t>SEPULU</t>
  </si>
  <si>
    <t>TANAH_MERAH_1</t>
  </si>
  <si>
    <t>BURNEH_1</t>
  </si>
  <si>
    <t>TANJUNG_BUMI_1</t>
  </si>
  <si>
    <t>KAMAL_1</t>
  </si>
  <si>
    <t>AROSBAYA_1</t>
  </si>
  <si>
    <t>GALIS_1</t>
  </si>
  <si>
    <t>PAMEKASAN</t>
  </si>
  <si>
    <t>PROPPO</t>
  </si>
  <si>
    <t>PAKONG</t>
  </si>
  <si>
    <t>LARANGAN_PAMEKASAN</t>
  </si>
  <si>
    <t>PALENGAAN_1</t>
  </si>
  <si>
    <t>PEGANTENAN</t>
  </si>
  <si>
    <t>PASEAN_1</t>
  </si>
  <si>
    <t>SUMENEP</t>
  </si>
  <si>
    <t>ARJASA</t>
  </si>
  <si>
    <t>AMBUNTEN</t>
  </si>
  <si>
    <t>BATUAN_1</t>
  </si>
  <si>
    <t>KALIANGET_1</t>
  </si>
  <si>
    <t>BLUTO_1</t>
  </si>
  <si>
    <t>GAPURA_1</t>
  </si>
  <si>
    <t>PRAGAAN_1</t>
  </si>
  <si>
    <t>KOTA_SUMENEP_1</t>
  </si>
  <si>
    <t>GUNUNG_SEKAR</t>
  </si>
  <si>
    <t>CAMPLONG</t>
  </si>
  <si>
    <t>KEDUNGDUNG_1</t>
  </si>
  <si>
    <t>SAMPANG_UTARA</t>
  </si>
  <si>
    <t>SOKOBANAH</t>
  </si>
  <si>
    <t>TORJUN_RAYA</t>
  </si>
  <si>
    <t>KARANGPENANG_1</t>
  </si>
  <si>
    <t>ROBATAL</t>
  </si>
  <si>
    <t>BANYUATES_1</t>
  </si>
  <si>
    <t>OMBEN_1</t>
  </si>
  <si>
    <t>TAMBELANGAN_1</t>
  </si>
  <si>
    <t>MADIUN_1</t>
  </si>
  <si>
    <t>MEJAYAN</t>
  </si>
  <si>
    <t>DOLOPO</t>
  </si>
  <si>
    <t>JIWAN</t>
  </si>
  <si>
    <t>TAMAN_PRAJA</t>
  </si>
  <si>
    <t>MUNENG</t>
  </si>
  <si>
    <t>DC_TUGU_PENDEKAR</t>
  </si>
  <si>
    <t>MAGETAN_2</t>
  </si>
  <si>
    <t>MAOSPATI_1</t>
  </si>
  <si>
    <t>TAKERAN_1</t>
  </si>
  <si>
    <t>PLAOSAN_2</t>
  </si>
  <si>
    <t>NGAWI</t>
  </si>
  <si>
    <t>WALIKUKUN</t>
  </si>
  <si>
    <t>DC_KARTONYONO</t>
  </si>
  <si>
    <t>PARON</t>
  </si>
  <si>
    <t>PACITAN</t>
  </si>
  <si>
    <t>BALEHARJO</t>
  </si>
  <si>
    <t>NGADIROJO_1</t>
  </si>
  <si>
    <t>ARJOSARI_2</t>
  </si>
  <si>
    <t>PONOROGO</t>
  </si>
  <si>
    <t>SUMOROTO</t>
  </si>
  <si>
    <t>BALONG</t>
  </si>
  <si>
    <t>BABADAN_RAYA</t>
  </si>
  <si>
    <t>SAMBIT_1</t>
  </si>
  <si>
    <t>KEDIRI</t>
  </si>
  <si>
    <t>GROGOL</t>
  </si>
  <si>
    <t>TOSAREN</t>
  </si>
  <si>
    <t>NGADILUWIH</t>
  </si>
  <si>
    <t>TIRTO_UDAN</t>
  </si>
  <si>
    <t>PLOSOKLATEN</t>
  </si>
  <si>
    <t>PAPAR</t>
  </si>
  <si>
    <t>DC_KEDIRI</t>
  </si>
  <si>
    <t>KDR_NGASEM_2</t>
  </si>
  <si>
    <t>MOJO</t>
  </si>
  <si>
    <t>KEPUNG_2</t>
  </si>
  <si>
    <t>RINGINREJO</t>
  </si>
  <si>
    <t>PARE_4</t>
  </si>
  <si>
    <t>PLEMAHAN_3</t>
  </si>
  <si>
    <t>TULUNG_AGUNG</t>
  </si>
  <si>
    <t>CAMPUR_DARAT</t>
  </si>
  <si>
    <t>NGUNUT</t>
  </si>
  <si>
    <t>KAUMAN</t>
  </si>
  <si>
    <t>BOYOLANGU</t>
  </si>
  <si>
    <t>GONDANGRAYA</t>
  </si>
  <si>
    <t>DC_TULUNG_AGUNG</t>
  </si>
  <si>
    <t>TRENGGALEK</t>
  </si>
  <si>
    <t>GANDUSARI_1</t>
  </si>
  <si>
    <t>POGALAN</t>
  </si>
  <si>
    <t>KARANGAN_1</t>
  </si>
  <si>
    <t>DIWEK_1</t>
  </si>
  <si>
    <t>MOJOAGUNG</t>
  </si>
  <si>
    <t>PERAK</t>
  </si>
  <si>
    <t>JOMBANG_2</t>
  </si>
  <si>
    <t>TEMBELANG_1</t>
  </si>
  <si>
    <t>KABUH</t>
  </si>
  <si>
    <t>MOJOWARNO</t>
  </si>
  <si>
    <t>NGANJUK_3</t>
  </si>
  <si>
    <t>KERTOSONO</t>
  </si>
  <si>
    <t>LOCERET</t>
  </si>
  <si>
    <t>WARUJAYENG</t>
  </si>
  <si>
    <t>PRAMBON</t>
  </si>
  <si>
    <t>NGANJUK_1</t>
  </si>
  <si>
    <t>MOJOSARI</t>
  </si>
  <si>
    <t>DC_MAJAPAHIT</t>
  </si>
  <si>
    <t>BRANGKAL</t>
  </si>
  <si>
    <t>DLANGGU</t>
  </si>
  <si>
    <t>TROWULAN</t>
  </si>
  <si>
    <t>JETIS_1</t>
  </si>
  <si>
    <t>KEMLAGI_1</t>
  </si>
  <si>
    <t>NGORO</t>
  </si>
  <si>
    <t>BANGSAL</t>
  </si>
  <si>
    <t>DC_GAJAH_MADA</t>
  </si>
  <si>
    <t>TEGALSARI_4</t>
  </si>
  <si>
    <t>BULAK_1</t>
  </si>
  <si>
    <t>DC_KENJERAN</t>
  </si>
  <si>
    <t>DUKUH_SETRO_2</t>
  </si>
  <si>
    <t>GUBENG_3</t>
  </si>
  <si>
    <t>SUB_GENTENG</t>
  </si>
  <si>
    <t>KARANG_EMPAT_BESAR_2</t>
  </si>
  <si>
    <t>GUBENG_2</t>
  </si>
  <si>
    <t>TAMBAKSARI_2</t>
  </si>
  <si>
    <t>ARIEF_RAHMAN_HAKIM</t>
  </si>
  <si>
    <t>DC_SUKOLILO</t>
  </si>
  <si>
    <t>KENJERAN_3</t>
  </si>
  <si>
    <t>KEPUTIH_2</t>
  </si>
  <si>
    <t>MULYOREJO</t>
  </si>
  <si>
    <t>MULYOREJO_1</t>
  </si>
  <si>
    <t>ABDUL_KARIM</t>
  </si>
  <si>
    <t>DC_KARANGPILANG</t>
  </si>
  <si>
    <t>GUNUNG_ANYAR</t>
  </si>
  <si>
    <t>SURABAYA_KIDUL</t>
  </si>
  <si>
    <t>WONOCOLO_2</t>
  </si>
  <si>
    <t>DUKUH_PAKIS_1</t>
  </si>
  <si>
    <t>DUKUH_PAKIS_2</t>
  </si>
  <si>
    <t>DC_ARJUNO</t>
  </si>
  <si>
    <t>DC_WIYUNG</t>
  </si>
  <si>
    <t>PETEMON_BARAT</t>
  </si>
  <si>
    <t>WONOKROMO_2</t>
  </si>
  <si>
    <t>PANJANG_JIWO_2</t>
  </si>
  <si>
    <t>RAYA_TENGGILIS</t>
  </si>
  <si>
    <t>RUNGKUT_2</t>
  </si>
  <si>
    <t>RUNGKUT_ALANG_ALANG</t>
  </si>
  <si>
    <t>KALI_RUNGKUT_1</t>
  </si>
  <si>
    <t>BUBUTAN_5</t>
  </si>
  <si>
    <t>DC_MADE</t>
  </si>
  <si>
    <t>LAKARSANTRI_2</t>
  </si>
  <si>
    <t>DC_PAKAL</t>
  </si>
  <si>
    <t>MAYJEND_BARAT</t>
  </si>
  <si>
    <t>PAKAL_2</t>
  </si>
  <si>
    <t>SAMBIKEREP</t>
  </si>
  <si>
    <t>SUKOMANUNGGAL_2</t>
  </si>
  <si>
    <t>TANDES_2</t>
  </si>
  <si>
    <t>PABEAN_CANTIAN_4</t>
  </si>
  <si>
    <t>PABEAN_CANTIAN_5</t>
  </si>
  <si>
    <t>SIMOKERTO_2</t>
  </si>
  <si>
    <t>SEMAMPIR_2</t>
  </si>
  <si>
    <t>SEMAMPIR_3</t>
  </si>
  <si>
    <t>AMBULU</t>
  </si>
  <si>
    <t>TANGGUL</t>
  </si>
  <si>
    <t>RAMBIPUJI</t>
  </si>
  <si>
    <t>PUGER_1</t>
  </si>
  <si>
    <t>BALUNG</t>
  </si>
  <si>
    <t>KENCONG</t>
  </si>
  <si>
    <t>WULUHAN</t>
  </si>
  <si>
    <t>SEMBORO</t>
  </si>
  <si>
    <t>BANGSALSARI</t>
  </si>
  <si>
    <t>GUMUKMAS_1</t>
  </si>
  <si>
    <t>SUMBERBARU_1</t>
  </si>
  <si>
    <t>PASIRIAN</t>
  </si>
  <si>
    <t>JATIROTO</t>
  </si>
  <si>
    <t>MAHAKAM</t>
  </si>
  <si>
    <t>SANDTOWN</t>
  </si>
  <si>
    <t>CENTRAL_LUMAJANG</t>
  </si>
  <si>
    <t>SENDURO</t>
  </si>
  <si>
    <t>TEMPEH</t>
  </si>
  <si>
    <t>YOSOWILANGUN_1</t>
  </si>
  <si>
    <t>KLAKAH_1</t>
  </si>
  <si>
    <t>RANDUAGUNG_1</t>
  </si>
  <si>
    <t>PRONOJIWO_1</t>
  </si>
  <si>
    <t>CANDIPURO_1</t>
  </si>
  <si>
    <t>MAYANGAN_1</t>
  </si>
  <si>
    <t>WONOASIH_2</t>
  </si>
  <si>
    <t>BANTARAN_1</t>
  </si>
  <si>
    <t>MARON</t>
  </si>
  <si>
    <t>GENDING</t>
  </si>
  <si>
    <t>KRAKSAAN_2</t>
  </si>
  <si>
    <t>BESUK</t>
  </si>
  <si>
    <t>TONGAS_1</t>
  </si>
  <si>
    <t>KOTAANYAR_1</t>
  </si>
  <si>
    <t>LECES_1</t>
  </si>
  <si>
    <t>SUMBERASIH_1</t>
  </si>
  <si>
    <t>GADING_1</t>
  </si>
  <si>
    <t>JEMBER</t>
  </si>
  <si>
    <t>KALISAT</t>
  </si>
  <si>
    <t>PATRANG</t>
  </si>
  <si>
    <t>KALIWATES_2</t>
  </si>
  <si>
    <t>SUMBERSARI</t>
  </si>
  <si>
    <t>MUMBULSARI_1</t>
  </si>
  <si>
    <t>MAYANG</t>
  </si>
  <si>
    <t>PAKUSARI</t>
  </si>
  <si>
    <t>JENGGAWAH</t>
  </si>
  <si>
    <t>JEMBER_LINTAS_UTARA</t>
  </si>
  <si>
    <t>SILO_1</t>
  </si>
  <si>
    <t>SUMBERSARI_1</t>
  </si>
  <si>
    <t>JBR_ARJASA_1</t>
  </si>
  <si>
    <t>BONDOWOSO_2</t>
  </si>
  <si>
    <t>PRAJEKAN</t>
  </si>
  <si>
    <t>MAESAN_1</t>
  </si>
  <si>
    <t>JAVA_IJEN</t>
  </si>
  <si>
    <t>KAMPUNG_DURIAN</t>
  </si>
  <si>
    <t>BONDOWOSO_3</t>
  </si>
  <si>
    <t>WRINGIN</t>
  </si>
  <si>
    <t>SUMBERWRINGIN_1</t>
  </si>
  <si>
    <t>SITUBONDO</t>
  </si>
  <si>
    <t>ASEMBAGUS</t>
  </si>
  <si>
    <t>BESUKI_CITY</t>
  </si>
  <si>
    <t>PANARUKAN</t>
  </si>
  <si>
    <t>ARJASA_SBD</t>
  </si>
  <si>
    <t>DC_PANJI</t>
  </si>
  <si>
    <t>MLANDINGAN_1</t>
  </si>
  <si>
    <t>BANYUPUTIH_1</t>
  </si>
  <si>
    <t>PURWOHARJO</t>
  </si>
  <si>
    <t>JAJAG</t>
  </si>
  <si>
    <t>MOJOPANGGUNG</t>
  </si>
  <si>
    <t>GENTENG_2</t>
  </si>
  <si>
    <t>GLENMORE_1</t>
  </si>
  <si>
    <t>KALIBARU_1</t>
  </si>
  <si>
    <t>KALIPURO</t>
  </si>
  <si>
    <t>SUMBERAYU</t>
  </si>
  <si>
    <t>BWI_TEGALSARI_2</t>
  </si>
  <si>
    <t>CLURING</t>
  </si>
  <si>
    <t>SRONO</t>
  </si>
  <si>
    <t>GLAGAH</t>
  </si>
  <si>
    <t>KABAT</t>
  </si>
  <si>
    <t>WONGSOREJO</t>
  </si>
  <si>
    <t>SEMPU_1</t>
  </si>
  <si>
    <t>BANGOREJO_1</t>
  </si>
  <si>
    <t>PESANGGARAN_1</t>
  </si>
  <si>
    <t>GENTENG_BWI_1</t>
  </si>
  <si>
    <t>BWI_GENTENG</t>
  </si>
  <si>
    <t>MALANG</t>
  </si>
  <si>
    <t>BLIMBING</t>
  </si>
  <si>
    <t>KLOJEN</t>
  </si>
  <si>
    <t>SOEHAT</t>
  </si>
  <si>
    <t>KALPATARU</t>
  </si>
  <si>
    <t>SUKUN_TANJUNG</t>
  </si>
  <si>
    <t>MALANG_HITS</t>
  </si>
  <si>
    <t>DC_SUDARMO</t>
  </si>
  <si>
    <t>OLD_CITY</t>
  </si>
  <si>
    <t>PARANG_ARGO</t>
  </si>
  <si>
    <t>KLOJEN_1</t>
  </si>
  <si>
    <t>LAWANG_1</t>
  </si>
  <si>
    <t>SINGOSARI_1</t>
  </si>
  <si>
    <t>MLG_SALES</t>
  </si>
  <si>
    <t>KARANG_PLOSO_1</t>
  </si>
  <si>
    <t>BATU</t>
  </si>
  <si>
    <t>PUJON</t>
  </si>
  <si>
    <t>NGANTANG</t>
  </si>
  <si>
    <t>BUMIAJI_1</t>
  </si>
  <si>
    <t>JUNREJO_1</t>
  </si>
  <si>
    <t>KASEMBON_1</t>
  </si>
  <si>
    <t>DAU_1</t>
  </si>
  <si>
    <t>BLITAR</t>
  </si>
  <si>
    <t>TALUN</t>
  </si>
  <si>
    <t>SRENGAT</t>
  </si>
  <si>
    <t>SUKOREJO_1</t>
  </si>
  <si>
    <t>KADEMANGAN</t>
  </si>
  <si>
    <t>PONGGOK</t>
  </si>
  <si>
    <t>KESAMBEN</t>
  </si>
  <si>
    <t>KEPANJEN</t>
  </si>
  <si>
    <t>TUREN</t>
  </si>
  <si>
    <t>SUMBERPUCUNG</t>
  </si>
  <si>
    <t>DAMPIT</t>
  </si>
  <si>
    <t>PAKISAJI</t>
  </si>
  <si>
    <t>SUPER_HERO</t>
  </si>
  <si>
    <t>BULULAWANG</t>
  </si>
  <si>
    <t>BANTUR</t>
  </si>
  <si>
    <t>TALANGAGUNG_KPJ</t>
  </si>
  <si>
    <t>TIRTOYUDO</t>
  </si>
  <si>
    <t>SUMBERMANJINGWETAN_1</t>
  </si>
  <si>
    <t>PAGAK_1</t>
  </si>
  <si>
    <t>RED_DEER</t>
  </si>
  <si>
    <t>TAJINAN_1</t>
  </si>
  <si>
    <t>BEAUTIFUL_BROMO</t>
  </si>
  <si>
    <t>KEDUNGKANDANG_1</t>
  </si>
  <si>
    <t>PAKIS_1</t>
  </si>
  <si>
    <t>PANDAAN</t>
  </si>
  <si>
    <t>SUKOREJO_PND</t>
  </si>
  <si>
    <t>PURWOSARI_PND</t>
  </si>
  <si>
    <t>PURWODADI_1</t>
  </si>
  <si>
    <t>TUTUR_1</t>
  </si>
  <si>
    <t>PANDAAN_2</t>
  </si>
  <si>
    <t>PASURUAN</t>
  </si>
  <si>
    <t>BANGIL</t>
  </si>
  <si>
    <t>GEMPOL</t>
  </si>
  <si>
    <t>BUGULKIDUL</t>
  </si>
  <si>
    <t>WONOREJO_PSR</t>
  </si>
  <si>
    <t>GONDANGWETAN</t>
  </si>
  <si>
    <t>BEJI_PSR</t>
  </si>
  <si>
    <t>GRATI</t>
  </si>
  <si>
    <t>PUSPO_2</t>
  </si>
  <si>
    <t>BANGIL_1</t>
  </si>
  <si>
    <t>KRATON_1</t>
  </si>
  <si>
    <t>DC_PORONG</t>
  </si>
  <si>
    <t>DC_TANGGULANGIN</t>
  </si>
  <si>
    <t>WONOAYU_3</t>
  </si>
  <si>
    <t>PRAMBON_1</t>
  </si>
  <si>
    <t>BALONGBENDO_1</t>
  </si>
  <si>
    <t>TARIK_2</t>
  </si>
  <si>
    <t>TULANGAN_1</t>
  </si>
  <si>
    <t>SUKODONO_1</t>
  </si>
  <si>
    <t>DC_SAFELOCK</t>
  </si>
  <si>
    <t>GELAM</t>
  </si>
  <si>
    <t>TAMAN</t>
  </si>
  <si>
    <t>TAMAN_3</t>
  </si>
  <si>
    <t>DC_TAMAN</t>
  </si>
  <si>
    <t>SEDATI</t>
  </si>
  <si>
    <t>GEDANGAN</t>
  </si>
  <si>
    <t>WARU_6</t>
  </si>
  <si>
    <t>SEDATI_1</t>
  </si>
  <si>
    <t>BUDURAN_1</t>
  </si>
  <si>
    <t>WARU_7</t>
  </si>
  <si>
    <t>TCSDA003</t>
  </si>
  <si>
    <t>TCSPG101</t>
  </si>
  <si>
    <t>BALI巴厘</t>
  </si>
  <si>
    <t>CP_SESETAN</t>
  </si>
  <si>
    <t>CP_BULUH_INDAH</t>
  </si>
  <si>
    <t>SINGARAJA</t>
  </si>
  <si>
    <t>CP_LETDA_MADE_PUTRA</t>
  </si>
  <si>
    <t>BATUKARU</t>
  </si>
  <si>
    <t>CP_PATIH_NAMBI</t>
  </si>
  <si>
    <t>CP_PULAU_NIAS</t>
  </si>
  <si>
    <t>CP_BATUBULAN</t>
  </si>
  <si>
    <t>CP_NANGKA</t>
  </si>
  <si>
    <t>BLAMBANGAN</t>
  </si>
  <si>
    <t>CP_TANGKUBAN_PERAHU</t>
  </si>
  <si>
    <t>CP_MADE_LEBAH</t>
  </si>
  <si>
    <t>CP_WR_SUPRATMAN</t>
  </si>
  <si>
    <t>CP_BUANA_RAYA</t>
  </si>
  <si>
    <t>CP_SEBATU</t>
  </si>
  <si>
    <t>CP_UDAYANA</t>
  </si>
  <si>
    <t>SAELUS</t>
  </si>
  <si>
    <t>CP_DALUNG</t>
  </si>
  <si>
    <t>CP_GATSU_TENGAH</t>
  </si>
  <si>
    <t>CP_GANTI</t>
  </si>
  <si>
    <t>CP_KALIUNTU</t>
  </si>
  <si>
    <t>CP_TUKAD_YEH_AYA</t>
  </si>
  <si>
    <t>CP_ASEMAN</t>
  </si>
  <si>
    <t>CP_BUDUK_TENGAH</t>
  </si>
  <si>
    <t>CP_MASBAGIK_UTARA</t>
  </si>
  <si>
    <t>CP_KESAMBI_1</t>
  </si>
  <si>
    <t>CP_PANJITILAR_NEGARA</t>
  </si>
  <si>
    <t>CP_TUKAD_BARU</t>
  </si>
  <si>
    <t>CP_UDAYANA_1</t>
  </si>
  <si>
    <t>CP_KENYERI</t>
  </si>
  <si>
    <t>CP_SUBUR</t>
  </si>
  <si>
    <t>CP_BITERA</t>
  </si>
  <si>
    <t>GUWANG</t>
  </si>
  <si>
    <t>SATELIT</t>
  </si>
  <si>
    <t>GLOGOR_CARIK</t>
  </si>
  <si>
    <t>PEMENANG</t>
  </si>
  <si>
    <t>MASBAGIK_1</t>
  </si>
  <si>
    <t>TCABU021</t>
  </si>
  <si>
    <t>ADONARA</t>
  </si>
  <si>
    <t>MADAPANGGA</t>
  </si>
  <si>
    <t>PUJUT</t>
  </si>
  <si>
    <t>PEKAT</t>
  </si>
  <si>
    <t>LABUAN_HAJI</t>
  </si>
  <si>
    <t>SEKONGKANG</t>
  </si>
  <si>
    <t>UTAN_RHEE</t>
  </si>
  <si>
    <t>KEDIRI_1</t>
  </si>
  <si>
    <t>AMPENAN</t>
  </si>
  <si>
    <t>LASIANA</t>
  </si>
  <si>
    <t>ATAMBUA</t>
  </si>
  <si>
    <t>BORONG</t>
  </si>
  <si>
    <t>WOHA</t>
  </si>
  <si>
    <t>KEFAMENANU</t>
  </si>
  <si>
    <t>BETUN</t>
  </si>
  <si>
    <t>ENDE</t>
  </si>
  <si>
    <t>SELONG</t>
  </si>
  <si>
    <t>OELAMASI</t>
  </si>
  <si>
    <t>ALAK</t>
  </si>
  <si>
    <t>OEBUFU</t>
  </si>
  <si>
    <t>CAKRANEGARA</t>
  </si>
  <si>
    <t>SERUNI</t>
  </si>
  <si>
    <t>KARANG_GENTENG</t>
  </si>
  <si>
    <t>BAA</t>
  </si>
  <si>
    <t>KELAPA_LIMA</t>
  </si>
  <si>
    <t>KUPANG</t>
  </si>
  <si>
    <t>MATARAM</t>
  </si>
  <si>
    <t>WAIKABUBAK</t>
  </si>
  <si>
    <t>MAUMERE</t>
  </si>
  <si>
    <t>SOE</t>
  </si>
  <si>
    <t>AMI_SALES</t>
  </si>
  <si>
    <t>MAULAFA</t>
  </si>
  <si>
    <t>DOMPU</t>
  </si>
  <si>
    <t>WAINGAPU</t>
  </si>
  <si>
    <t>KUANINO</t>
  </si>
  <si>
    <t>RUTENG</t>
  </si>
  <si>
    <t>MBAY</t>
  </si>
  <si>
    <t>LEWOLEBA</t>
  </si>
  <si>
    <t>TAMBOLAKA</t>
  </si>
  <si>
    <t>BAJAWA</t>
  </si>
  <si>
    <t>LARANTUKA</t>
  </si>
  <si>
    <t>TODE_KISAR</t>
  </si>
  <si>
    <t>BIMA</t>
  </si>
  <si>
    <t>KALABAHI</t>
  </si>
  <si>
    <t>LABUAN_BAJO</t>
  </si>
  <si>
    <t>DASAN_CERMEN</t>
  </si>
  <si>
    <t>GIA04A</t>
  </si>
  <si>
    <t>MONJOK_1</t>
  </si>
  <si>
    <t>KETEWEL</t>
  </si>
  <si>
    <t>BAYAN_1</t>
  </si>
  <si>
    <t>KAYANGAN_1</t>
  </si>
  <si>
    <t>GIANYAR_1</t>
  </si>
  <si>
    <t>KLUMPU</t>
  </si>
  <si>
    <t>MARGA</t>
  </si>
  <si>
    <t>KLUNGKUNG_1</t>
  </si>
  <si>
    <t>MELAYA_1</t>
  </si>
  <si>
    <t>PELIATAN_1</t>
  </si>
  <si>
    <t>PAYANGAN_1</t>
  </si>
  <si>
    <t>MUNCAN_1</t>
  </si>
  <si>
    <t>MANGGIS_1</t>
  </si>
  <si>
    <t>ABANG_1</t>
  </si>
  <si>
    <t>AMLAPURA_1</t>
  </si>
  <si>
    <t>UBUD_1</t>
  </si>
  <si>
    <t>NEGARA_1</t>
  </si>
  <si>
    <t>CELUK_1</t>
  </si>
  <si>
    <t>MERITA_1</t>
  </si>
  <si>
    <t>SUKAWATI_1</t>
  </si>
  <si>
    <t>PEKUTATAN_1</t>
  </si>
  <si>
    <t>MENDOYO_1</t>
  </si>
  <si>
    <t>BULELENG_1</t>
  </si>
  <si>
    <t>ANTURAN_1</t>
  </si>
  <si>
    <t>BATURITI_1</t>
  </si>
  <si>
    <t>TEJAKULA_1</t>
  </si>
  <si>
    <t>SELEMADEG_1</t>
  </si>
  <si>
    <t>SERIRIT_1</t>
  </si>
  <si>
    <t>BUNGKULAN_1</t>
  </si>
  <si>
    <t>GEROKGAK_1</t>
  </si>
  <si>
    <t>BADUNG_SELATAN_1</t>
  </si>
  <si>
    <t>CANGGU_1</t>
  </si>
  <si>
    <t>JIMBARAN_1</t>
  </si>
  <si>
    <t>KUTA_2</t>
  </si>
  <si>
    <t>DC_KUTA_1</t>
  </si>
  <si>
    <t>UNGASAN_1</t>
  </si>
  <si>
    <t>JEMBRANA</t>
  </si>
  <si>
    <t>PRAYA_TENGAH</t>
  </si>
  <si>
    <t>KEDEWATAN</t>
  </si>
  <si>
    <t>SUMBERKIMA</t>
  </si>
  <si>
    <t>BANJAR_SGA</t>
  </si>
  <si>
    <t>LEMBONGAN</t>
  </si>
  <si>
    <t>SUKASADA</t>
  </si>
  <si>
    <t>CP_SANGSIT</t>
  </si>
  <si>
    <t>PENGADANG</t>
  </si>
  <si>
    <t>WOJA</t>
  </si>
  <si>
    <t>PRINGGABAYA</t>
  </si>
  <si>
    <t>KERUAK</t>
  </si>
  <si>
    <t>TEMBUKU</t>
  </si>
  <si>
    <t>MOYO</t>
  </si>
  <si>
    <t>MONTA</t>
  </si>
  <si>
    <t>LUNYUK</t>
  </si>
  <si>
    <t>BRANG_REA</t>
  </si>
  <si>
    <t>MPUNDA</t>
  </si>
  <si>
    <t>REMPUNG</t>
  </si>
  <si>
    <t>BANJARANGKAN</t>
  </si>
  <si>
    <t>MALUK</t>
  </si>
  <si>
    <t>BOLO</t>
  </si>
  <si>
    <t>NUSA_PENIDA</t>
  </si>
  <si>
    <t>SAKRA_BARAT</t>
  </si>
  <si>
    <t>KINTAMANI</t>
  </si>
  <si>
    <t>SAPE</t>
  </si>
  <si>
    <t>EMPANG_TARANO</t>
  </si>
  <si>
    <t>PUYUNG</t>
  </si>
  <si>
    <t>RABA_SASAMBO</t>
  </si>
  <si>
    <t>PLAMPANG</t>
  </si>
  <si>
    <t>SETELUK</t>
  </si>
  <si>
    <t>LAPE</t>
  </si>
  <si>
    <t>ALAS</t>
  </si>
  <si>
    <t>MANTANG</t>
  </si>
  <si>
    <t>NARMADA</t>
  </si>
  <si>
    <t>GUNUNG_SARI</t>
  </si>
  <si>
    <t>SIKUR</t>
  </si>
  <si>
    <t>TANAK_AWU</t>
  </si>
  <si>
    <t>SEGANTENG</t>
  </si>
  <si>
    <t>EMPANG</t>
  </si>
  <si>
    <t>SUSUT</t>
  </si>
  <si>
    <t>GERUNG</t>
  </si>
  <si>
    <t>TALIWANG</t>
  </si>
  <si>
    <t>SUMBAWA</t>
  </si>
  <si>
    <t>SEMARAPURA</t>
  </si>
  <si>
    <t>BANGLI</t>
  </si>
  <si>
    <t>KESRA</t>
  </si>
  <si>
    <t>TAMAN_SARI</t>
  </si>
  <si>
    <t>LABUAN_LOMBOK</t>
  </si>
  <si>
    <t>PUPUAN_1</t>
  </si>
  <si>
    <t>TAMAN_GRIYA_1</t>
  </si>
  <si>
    <t>SEMINYAK_1</t>
  </si>
  <si>
    <t>KELAN_1</t>
  </si>
  <si>
    <t>MERTANADI_1</t>
  </si>
  <si>
    <t>SUNSET_ROAD_1</t>
  </si>
  <si>
    <t>ABIANBASE_1</t>
  </si>
  <si>
    <t>BLAHKIUH_1</t>
  </si>
  <si>
    <t>CICA_1</t>
  </si>
  <si>
    <t>MENGWI_1</t>
  </si>
  <si>
    <t>DC_MENGWI_1</t>
  </si>
  <si>
    <t>DC_DENPASAR_SELATAN1</t>
  </si>
  <si>
    <t>NANGKA_SELATAN_1</t>
  </si>
  <si>
    <t>PEMECUTAN_1</t>
  </si>
  <si>
    <t>DENPASAR_UTARA_1</t>
  </si>
  <si>
    <t>KEBO_IWA_UTARA_1</t>
  </si>
  <si>
    <t>PEGUYANGAN_1</t>
  </si>
  <si>
    <t>KEMUDA_1</t>
  </si>
  <si>
    <t>AYANI_UTARA_1</t>
  </si>
  <si>
    <t>SESETAN_2</t>
  </si>
  <si>
    <t>GRIYA_ANYAR_1</t>
  </si>
  <si>
    <t>PUPUTAN_RENON_1</t>
  </si>
  <si>
    <t>WIBISANA_1</t>
  </si>
  <si>
    <t>KEBO_IWA_1</t>
  </si>
  <si>
    <t>DC_PULAU_MOYO_1</t>
  </si>
  <si>
    <t>PULAU_BUNGIN_1</t>
  </si>
  <si>
    <t>SIDAKARYA_1</t>
  </si>
  <si>
    <t>PEMOGAN_1</t>
  </si>
  <si>
    <t>DC_DENPASAR_BARAT_3</t>
  </si>
  <si>
    <t>SANUR_KAUH_1</t>
  </si>
  <si>
    <t>SANUR_1</t>
  </si>
  <si>
    <t>KEBO_IWA_SELATAN_1</t>
  </si>
  <si>
    <t>PADANG_SAMBIAN_1</t>
  </si>
  <si>
    <t>HAYAM_WURUK_1</t>
  </si>
  <si>
    <t>RENON_1</t>
  </si>
  <si>
    <t>MAHENDRADATTA_1</t>
  </si>
  <si>
    <t>CANDIKUNING</t>
  </si>
  <si>
    <t>SUWUNG_KAUH</t>
  </si>
  <si>
    <t>PERANG</t>
  </si>
  <si>
    <t>SEDANG</t>
  </si>
  <si>
    <t>KEROBOKAN_1</t>
  </si>
  <si>
    <t>PERMATA_HIJAU</t>
  </si>
  <si>
    <t>PURA_DEMAK</t>
  </si>
  <si>
    <t>PENEBEL</t>
  </si>
  <si>
    <t>DAUH_PEKEN_05</t>
  </si>
  <si>
    <t>KERAMBITAN_04</t>
  </si>
  <si>
    <t>COKROAMINOTO</t>
  </si>
  <si>
    <t>TUKAD_PETANU</t>
  </si>
  <si>
    <t>PANJER</t>
  </si>
  <si>
    <t>TABANANAN_01</t>
  </si>
  <si>
    <t>BADAK_AGUNG</t>
  </si>
  <si>
    <t>AYANI_UTARA2</t>
  </si>
  <si>
    <t>KARYA_MAKMUR</t>
  </si>
  <si>
    <t>DENPASAR_SELATAN_2</t>
  </si>
  <si>
    <t>PULAU_MOYO_2</t>
  </si>
  <si>
    <t>RAYA_KUTA</t>
  </si>
  <si>
    <t>BATU_BOLONG</t>
  </si>
  <si>
    <t>KESIMAN</t>
  </si>
  <si>
    <t>PADANG_UDAYANA</t>
  </si>
  <si>
    <t>CP_PEMECUTAN_KAJA</t>
  </si>
  <si>
    <t>KALIMUTU</t>
  </si>
  <si>
    <t>CP_SEMER</t>
  </si>
  <si>
    <t>KARTINI</t>
  </si>
  <si>
    <t>DENPASAR_BARAT2</t>
  </si>
  <si>
    <t>ULUWATU1</t>
  </si>
  <si>
    <t>DC_DENPASAR_BARAT</t>
  </si>
  <si>
    <t>SOPUTAN</t>
  </si>
  <si>
    <t>DENPASAR</t>
  </si>
  <si>
    <t>KUTA_SELATAN</t>
  </si>
  <si>
    <t>SIULAN</t>
  </si>
  <si>
    <t>SANUR_KAJA</t>
  </si>
  <si>
    <t>NUSA_KAMBANGAN</t>
  </si>
  <si>
    <t>MOYO_HULU</t>
  </si>
  <si>
    <t>PRAYA</t>
  </si>
  <si>
    <t>TCWHO131</t>
  </si>
  <si>
    <t>TCWHO231</t>
  </si>
  <si>
    <t>PEDUNGAN_1</t>
  </si>
  <si>
    <t>TEMBAU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</si>
  <si>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</si>
  <si>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</si>
  <si>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</si>
  <si>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</si>
  <si>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</si>
  <si>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</si>
  <si>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</si>
  <si>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</si>
  <si>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</si>
  <si>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</si>
  <si>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KUPANG_TIMUR</t>
  </si>
  <si>
    <t>Date</t>
  </si>
  <si>
    <t>report kualitas agent</t>
  </si>
  <si>
    <t>report ramadan</t>
  </si>
  <si>
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</si>
  <si>
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</si>
  <si>
    <t>a</t>
  </si>
  <si>
    <r>
      <rPr>
        <sz val="11"/>
        <color indexed="8"/>
        <rFont val="Aptos"/>
        <family val="2"/>
      </rPr>
      <t xml:space="preserve">定义:
</t>
    </r>
    <r>
      <rPr>
        <b/>
        <sz val="11"/>
        <color rgb="FF000000"/>
        <rFont val="Aptos"/>
        <family val="2"/>
      </rPr>
      <t xml:space="preserve">
一派质量考核项</t>
    </r>
    <r>
      <rPr>
        <sz val="11"/>
        <color rgb="FF000000"/>
        <rFont val="Aptos"/>
        <family val="2"/>
      </rPr>
      <t xml:space="preserve">
快递员出勤准点率 = 当天当地时间06:30前打卡且当日有签收的快递员人数/ 当天已打卡且有签收的快递员人数</t>
    </r>
    <r>
      <rPr>
        <b/>
        <sz val="11"/>
        <color rgb="FF000000"/>
        <rFont val="Aptos"/>
        <family val="2"/>
      </rPr>
      <t xml:space="preserve">
</t>
    </r>
    <r>
      <rPr>
        <sz val="11"/>
        <color indexed="8"/>
        <rFont val="Aptos"/>
        <family val="2"/>
      </rPr>
      <t xml:space="preserve">0730出仓率 = 0730前出仓量/ 一班应签收量
1200签收率 = 1200前签收量/ 一班应签收量
一班：散货数量,按照散货班次第一班
目标：90%
</t>
    </r>
    <r>
      <rPr>
        <b/>
        <sz val="11"/>
        <color rgb="FF000000"/>
        <rFont val="Aptos"/>
        <family val="2"/>
      </rPr>
      <t xml:space="preserve">非平台揽收及时率
</t>
    </r>
    <r>
      <rPr>
        <sz val="11"/>
        <color indexed="8"/>
        <rFont val="Aptos"/>
        <family val="2"/>
      </rPr>
      <t xml:space="preserve">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</t>
    </r>
    <r>
      <rPr>
        <b/>
        <sz val="11"/>
        <color rgb="FF000000"/>
        <rFont val="Aptos"/>
        <family val="2"/>
      </rPr>
      <t>交件准点率</t>
    </r>
    <r>
      <rPr>
        <sz val="11"/>
        <color indexed="8"/>
        <rFont val="Aptos"/>
        <family val="2"/>
      </rPr>
      <t xml:space="preserve">
JMS - 经营指标 - 时效 - 交件准点率(新)
取值时间: 按规划到件日期统计 天-1
交件准点率: 准点交件票数 / 应交件票数*100%
目标: 93%
</t>
    </r>
    <r>
      <rPr>
        <b/>
        <sz val="11"/>
        <color rgb="FF000000"/>
        <rFont val="Aptos"/>
        <family val="2"/>
      </rPr>
      <t>全天签收率</t>
    </r>
    <r>
      <rPr>
        <sz val="11"/>
        <color indexed="8"/>
        <rFont val="Aptos"/>
        <family val="2"/>
      </rPr>
      <t xml:space="preserve">
JMS-经营指标-末端-实际签收(半截路由)
取值时间：T-1
如果退件 = Y，预测签收时间 + 7 天
全天签收率 = 按规划时效网点当天签收票数/应签收票数 
目标：A92%，B90%，C90%
</t>
    </r>
    <r>
      <rPr>
        <b/>
        <sz val="11"/>
        <color rgb="FF000000"/>
        <rFont val="Aptos"/>
        <family val="2"/>
      </rPr>
      <t>非平台COD退件率</t>
    </r>
    <r>
      <rPr>
        <sz val="11"/>
        <color indexed="8"/>
        <rFont val="Aptos"/>
        <family val="2"/>
      </rPr>
      <t xml:space="preserve">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</r>
  </si>
  <si>
    <r>
      <rPr>
        <sz val="11"/>
        <color indexed="8"/>
        <rFont val="Aptos"/>
        <family val="2"/>
      </rPr>
      <t xml:space="preserve">Penjelasan:
</t>
    </r>
    <r>
      <rPr>
        <b/>
        <sz val="11"/>
        <color rgb="FF000000"/>
        <rFont val="Aptos"/>
        <family val="2"/>
      </rPr>
      <t xml:space="preserve">
Penilaian Kualitas Delivery Ritase Pertama
</t>
    </r>
    <r>
      <rPr>
        <sz val="11"/>
        <color rgb="FF000000"/>
        <rFont val="Aptos"/>
        <family val="2"/>
      </rPr>
      <t>Tingkat Ketepatan Waktu Kehadiran Spirnter = Jumlah sprinter yang melakukan absen sebelum 06.30 waktu setempat dan melakukan TTD/ jumlah sprinter yang melakukan absen dan melakukan TTD</t>
    </r>
    <r>
      <rPr>
        <b/>
        <sz val="11"/>
        <color rgb="FF000000"/>
        <rFont val="Aptos"/>
        <family val="2"/>
      </rPr>
      <t xml:space="preserve">
</t>
    </r>
    <r>
      <rPr>
        <sz val="11"/>
        <color indexed="8"/>
        <rFont val="Aptos"/>
        <family val="2"/>
      </rPr>
      <t xml:space="preserve">Persentase Deliv 7.30 = Total delivery sebelum jam 7.30/ Total Seharusnya TTD Rit 1
Persentase TTD 12.00 = Total TTD sebelum  jam 1200/ Total seharusnya TTD Rit 1
Ritase Pertama: Jumlah penyebaran paket massal kargo Rit 1
Target : 90%
</t>
    </r>
    <r>
      <rPr>
        <b/>
        <sz val="11"/>
        <color rgb="FF000000"/>
        <rFont val="Aptos"/>
        <family val="2"/>
      </rPr>
      <t>PU Rate Non-ecomm</t>
    </r>
    <r>
      <rPr>
        <sz val="11"/>
        <color indexed="8"/>
        <rFont val="Aptos"/>
        <family val="2"/>
      </rPr>
      <t xml:space="preserve">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family val="2"/>
      </rPr>
      <t>TPTW</t>
    </r>
    <r>
      <rPr>
        <sz val="11"/>
        <color indexed="8"/>
        <rFont val="Aptos"/>
        <family val="2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family val="2"/>
      </rPr>
      <t>TTD Aktual</t>
    </r>
    <r>
      <rPr>
        <sz val="11"/>
        <color indexed="8"/>
        <rFont val="Aptos"/>
        <family val="2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family val="2"/>
      </rPr>
      <t>Retur COD Non-ecomm</t>
    </r>
    <r>
      <rPr>
        <sz val="11"/>
        <color indexed="8"/>
        <rFont val="Aptos"/>
        <family val="2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</r>
  </si>
  <si>
    <r>
      <rPr>
        <sz val="11"/>
        <color indexed="8"/>
        <rFont val="Aptos"/>
        <family val="2"/>
      </rPr>
      <t xml:space="preserve">Penjelasan:
</t>
    </r>
    <r>
      <rPr>
        <b/>
        <sz val="11"/>
        <color rgb="FF000000"/>
        <rFont val="Aptos"/>
        <family val="2"/>
      </rPr>
      <t xml:space="preserve">PU Rate Non-ecomm
</t>
    </r>
    <r>
      <rPr>
        <sz val="11"/>
        <color rgb="FF000000"/>
        <rFont val="Aptos"/>
        <family val="2"/>
      </rPr>
      <t>JMS - Penilaian - SLA - SLA Order PU - Deliv (Refine)-</t>
    </r>
    <r>
      <rPr>
        <sz val="11"/>
        <color indexed="8"/>
        <rFont val="Aptos"/>
        <family val="2"/>
      </rPr>
      <t xml:space="preserve">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family val="2"/>
      </rPr>
      <t>TPTW</t>
    </r>
    <r>
      <rPr>
        <sz val="11"/>
        <color indexed="8"/>
        <rFont val="Aptos"/>
        <family val="2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family val="2"/>
      </rPr>
      <t>TTD Aktual</t>
    </r>
    <r>
      <rPr>
        <sz val="11"/>
        <color indexed="8"/>
        <rFont val="Aptos"/>
        <family val="2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family val="2"/>
      </rPr>
      <t>Persentase TTD EZ 3 Hari 3 kali Delivery</t>
    </r>
    <r>
      <rPr>
        <sz val="11"/>
        <color indexed="8"/>
        <rFont val="Aptos"/>
        <family val="2"/>
      </rPr>
      <t xml:space="preserve">
JMS-Penilaian-Incoming-TTD Aktual(Rute Statis)
Waktu Penarikan: T-3, Jenis Layanan: EZ, Status Retur: N
Persentase TTD EZ 3 Hari 3 kali Delivery = jumlah pesanan EZ yang ditandatangani dalam 3 hari / jumlah pesanan EZ yang seharusnya ditandatangani
</t>
    </r>
    <r>
      <rPr>
        <b/>
        <sz val="11"/>
        <color rgb="FF000000"/>
        <rFont val="Aptos"/>
        <family val="2"/>
      </rPr>
      <t>Retur COD Non-ecomm</t>
    </r>
    <r>
      <rPr>
        <sz val="11"/>
        <color indexed="8"/>
        <rFont val="Aptos"/>
        <family val="2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</r>
  </si>
  <si>
    <t>商业模式 Model Bisnis</t>
  </si>
  <si>
    <t>Franchise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</si>
</sst>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;@"/>
    <numFmt numFmtId="165" formatCode="###,###,###,###,###,##0.00%"/>
  </numFmts>
  <fonts count="27">
    <font>
      <sz val="11"/>
      <color theme="1"/>
      <name val="Calibri"/>
      <charset val="134"/>
      <scheme val="minor"/>
    </font>
    <font>
      <sz val="11"/>
      <color indexed="8"/>
      <name val="Aptos"/>
      <family val="2"/>
    </font>
    <font>
      <sz val="11"/>
      <color rgb="FFFF0000"/>
      <name val="Aptos"/>
      <family val="2"/>
    </font>
    <font>
      <b/>
      <sz val="22"/>
      <color rgb="FFFFFFFF"/>
      <name val="Aptos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1"/>
      <color rgb="FFFFFFFF"/>
      <name val="Calibri"/>
      <family val="2"/>
      <scheme val="minor"/>
    </font>
    <font>
      <b/>
      <sz val="11"/>
      <color rgb="FFFFFFFF"/>
      <name val="SimSun"/>
    </font>
    <font>
      <b/>
      <sz val="11"/>
      <color rgb="FFFFFFFF"/>
      <name val="Microsoft YaHei"/>
      <family val="2"/>
    </font>
    <font>
      <sz val="11"/>
      <color indexed="8"/>
      <name val="Calibri"/>
      <family val="2"/>
      <scheme val="minor"/>
    </font>
    <font>
      <sz val="11"/>
      <color theme="1"/>
      <name val="DengXian"/>
    </font>
    <font>
      <sz val="11"/>
      <color rgb="FF000000"/>
      <name val="DengXian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&quot;Aptos Narrow&quot;"/>
      <charset val="134"/>
    </font>
    <font>
      <sz val="11"/>
      <color theme="1"/>
      <name val="Arial"/>
      <family val="2"/>
    </font>
    <font>
      <sz val="11"/>
      <color theme="1" tint="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Aptos"/>
      <family val="2"/>
    </font>
    <font>
      <b/>
      <sz val="11"/>
      <color theme="0"/>
      <name val="Calibri"/>
      <family val="2"/>
      <scheme val="minor"/>
    </font>
    <font>
      <b/>
      <sz val="11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theme="1"/>
      <name val="Calibri"/>
      <family val="2"/>
      <scheme val="minor"/>
    </font>
    <font>
      <b/>
      <sz val="11"/>
      <color rgb="FFFFFFFF"/>
      <name val="Aptos"/>
      <charset val="134"/>
    </font>
    <font>
      <b/>
      <sz val="11"/>
      <color rgb="FFFFFFFF"/>
      <name val="Calibri"/>
      <charset val="134"/>
      <scheme val="minor"/>
    </font>
    <font>
      <sz val="11"/>
      <color indexed="8"/>
      <name val="Aptos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1111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</fills>
  <borders count="8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 style="thin">
        <color rgb="FFFFCCCC"/>
      </right>
      <top style="thin">
        <color rgb="FFFFCCCC"/>
      </top>
      <bottom/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theme="9" tint="0.39994506668294322"/>
      </left>
      <right style="thin">
        <color theme="0"/>
      </right>
      <top style="medium">
        <color theme="9" tint="0.3999450666829432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22"/>
      </top>
      <bottom style="thin">
        <color theme="0"/>
      </bottom>
      <diagonal/>
    </border>
    <border>
      <left style="medium">
        <color theme="9" tint="0.3999450666829432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4506668294322"/>
      </left>
      <right style="thin">
        <color theme="0"/>
      </right>
      <top style="thin">
        <color theme="0"/>
      </top>
      <bottom/>
      <diagonal/>
    </border>
    <border>
      <left style="medium">
        <color theme="9" tint="0.39994506668294322"/>
      </left>
      <right style="medium">
        <color theme="9" tint="0.39994506668294322"/>
      </right>
      <top style="medium">
        <color theme="9" tint="0.39994506668294322"/>
      </top>
      <bottom/>
      <diagonal/>
    </border>
    <border>
      <left style="medium">
        <color theme="9" tint="0.39994506668294322"/>
      </left>
      <right style="medium">
        <color theme="9" tint="0.39994506668294322"/>
      </right>
      <top style="medium">
        <color theme="9" tint="0.39994506668294322"/>
      </top>
      <bottom style="medium">
        <color theme="9" tint="0.39994506668294322"/>
      </bottom>
      <diagonal/>
    </border>
    <border>
      <left style="medium">
        <color theme="9" tint="0.39994506668294322"/>
      </left>
      <right style="medium">
        <color theme="9" tint="0.39994506668294322"/>
      </right>
      <top/>
      <bottom/>
      <diagonal/>
    </border>
    <border>
      <left style="medium">
        <color theme="9" tint="0.39994506668294322"/>
      </left>
      <right style="medium">
        <color theme="9" tint="0.39994506668294322"/>
      </right>
      <top/>
      <bottom style="medium">
        <color theme="9" tint="0.39994506668294322"/>
      </bottom>
      <diagonal/>
    </border>
    <border>
      <left style="medium">
        <color theme="9" tint="0.39994506668294322"/>
      </left>
      <right/>
      <top/>
      <bottom style="medium">
        <color theme="9" tint="0.39994506668294322"/>
      </bottom>
      <diagonal/>
    </border>
    <border>
      <left/>
      <right/>
      <top style="medium">
        <color rgb="FFFF7C80"/>
      </top>
      <bottom style="medium">
        <color theme="9" tint="0.39994506668294322"/>
      </bottom>
      <diagonal/>
    </border>
    <border>
      <left/>
      <right/>
      <top/>
      <bottom style="medium">
        <color theme="9" tint="0.39994506668294322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4506668294322"/>
      </top>
      <bottom style="thin">
        <color theme="0"/>
      </bottom>
      <diagonal/>
    </border>
    <border>
      <left/>
      <right/>
      <top style="medium">
        <color theme="9" tint="0.39994506668294322"/>
      </top>
      <bottom style="thin">
        <color theme="0"/>
      </bottom>
      <diagonal/>
    </border>
    <border>
      <left/>
      <right style="medium">
        <color theme="9" tint="0.39994506668294322"/>
      </right>
      <top style="medium">
        <color theme="9" tint="0.39994506668294322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450666829432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4506668294322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4506668294322"/>
      </bottom>
      <diagonal/>
    </border>
    <border>
      <left style="thin">
        <color theme="0"/>
      </left>
      <right style="medium">
        <color theme="9" tint="0.39994506668294322"/>
      </right>
      <top/>
      <bottom style="medium">
        <color theme="9" tint="0.39994506668294322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4506668294322"/>
      </right>
      <top style="medium">
        <color theme="9" tint="0.39994506668294322"/>
      </top>
      <bottom style="thin">
        <color theme="0"/>
      </bottom>
      <diagonal/>
    </border>
    <border>
      <left style="thin">
        <color theme="0"/>
      </left>
      <right style="medium">
        <color theme="9" tint="0.39994506668294322"/>
      </right>
      <top style="thin">
        <color theme="0"/>
      </top>
      <bottom style="thin">
        <color theme="0"/>
      </bottom>
      <diagonal/>
    </border>
    <border>
      <left style="medium">
        <color theme="9" tint="0.39994506668294322"/>
      </left>
      <right style="thin">
        <color theme="0"/>
      </right>
      <top style="thin">
        <color theme="0"/>
      </top>
      <bottom style="medium">
        <color theme="9" tint="0.399945066682943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4506668294322"/>
      </bottom>
      <diagonal/>
    </border>
    <border>
      <left style="thin">
        <color theme="0"/>
      </left>
      <right style="medium">
        <color theme="9" tint="0.39994506668294322"/>
      </right>
      <top style="thin">
        <color theme="0"/>
      </top>
      <bottom style="medium">
        <color theme="9" tint="0.39994506668294322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4506668294322"/>
      </bottom>
      <diagonal/>
    </border>
    <border>
      <left style="thin">
        <color theme="0"/>
      </left>
      <right style="medium">
        <color theme="9" tint="0.39994506668294322"/>
      </right>
      <top style="medium">
        <color rgb="FFFF7C80"/>
      </top>
      <bottom style="medium">
        <color theme="9" tint="0.39994506668294322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9" fillId="0" borderId="0"/>
    <xf numFmtId="0" fontId="9" fillId="0" borderId="0">
      <alignment vertical="center"/>
    </xf>
  </cellStyleXfs>
  <cellXfs count="224">
    <xf numFmtId="0" fontId="0" fillId="0" borderId="0" xfId="0">
      <alignment vertical="center"/>
    </xf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5" borderId="0" xfId="0" applyFont="1" applyFill="1" applyAlignment="1"/>
    <xf numFmtId="0" fontId="2" fillId="5" borderId="0" xfId="0" applyFont="1" applyFill="1" applyAlignment="1"/>
    <xf numFmtId="14" fontId="1" fillId="0" borderId="0" xfId="0" applyNumberFormat="1" applyFont="1" applyAlignment="1"/>
    <xf numFmtId="0" fontId="1" fillId="6" borderId="0" xfId="0" applyFont="1" applyFill="1" applyAlignment="1"/>
    <xf numFmtId="0" fontId="3" fillId="6" borderId="0" xfId="0" applyFont="1" applyFill="1" applyAlignment="1">
      <alignment horizontal="center" vertical="center" wrapText="1"/>
    </xf>
    <xf numFmtId="0" fontId="4" fillId="6" borderId="2" xfId="0" applyFont="1" applyFill="1" applyBorder="1" applyAlignment="1">
      <alignment horizontal="left" vertical="top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164" fontId="1" fillId="0" borderId="0" xfId="0" applyNumberFormat="1" applyFont="1" applyAlignment="1"/>
    <xf numFmtId="0" fontId="6" fillId="7" borderId="4" xfId="0" applyFont="1" applyFill="1" applyBorder="1" applyAlignment="1">
      <alignment horizontal="center" vertical="center" wrapText="1"/>
    </xf>
    <xf numFmtId="0" fontId="5" fillId="7" borderId="22" xfId="0" applyFont="1" applyFill="1" applyBorder="1" applyAlignment="1">
      <alignment horizontal="center" vertical="center" wrapText="1"/>
    </xf>
    <xf numFmtId="14" fontId="5" fillId="7" borderId="4" xfId="0" applyNumberFormat="1" applyFont="1" applyFill="1" applyBorder="1" applyAlignment="1">
      <alignment horizontal="center" vertical="center" wrapText="1"/>
    </xf>
    <xf numFmtId="164" fontId="5" fillId="7" borderId="4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1" fillId="8" borderId="24" xfId="0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10" fontId="1" fillId="9" borderId="25" xfId="1" applyNumberFormat="1" applyFont="1" applyFill="1" applyBorder="1" applyAlignment="1">
      <alignment horizontal="center"/>
    </xf>
    <xf numFmtId="165" fontId="1" fillId="0" borderId="25" xfId="0" applyNumberFormat="1" applyFont="1" applyBorder="1" applyAlignment="1">
      <alignment horizontal="center" vertical="center"/>
    </xf>
    <xf numFmtId="165" fontId="1" fillId="0" borderId="26" xfId="0" applyNumberFormat="1" applyFont="1" applyBorder="1" applyAlignment="1">
      <alignment horizontal="center" vertical="center"/>
    </xf>
    <xf numFmtId="10" fontId="9" fillId="9" borderId="0" xfId="1" applyNumberFormat="1" applyFont="1" applyFill="1" applyBorder="1" applyAlignment="1">
      <alignment horizontal="center" vertical="center"/>
    </xf>
    <xf numFmtId="165" fontId="1" fillId="0" borderId="27" xfId="0" applyNumberFormat="1" applyFont="1" applyBorder="1" applyAlignment="1">
      <alignment horizontal="center" vertical="center"/>
    </xf>
    <xf numFmtId="10" fontId="1" fillId="0" borderId="25" xfId="1" applyNumberFormat="1" applyFont="1" applyFill="1" applyBorder="1" applyAlignment="1">
      <alignment horizontal="center"/>
    </xf>
    <xf numFmtId="10" fontId="1" fillId="0" borderId="26" xfId="1" applyNumberFormat="1" applyFont="1" applyFill="1" applyBorder="1" applyAlignment="1">
      <alignment horizontal="center"/>
    </xf>
    <xf numFmtId="165" fontId="9" fillId="9" borderId="0" xfId="0" applyNumberFormat="1" applyFont="1" applyFill="1" applyAlignment="1">
      <alignment horizontal="center" vertical="center"/>
    </xf>
    <xf numFmtId="10" fontId="1" fillId="0" borderId="27" xfId="1" applyNumberFormat="1" applyFont="1" applyBorder="1" applyAlignment="1">
      <alignment horizontal="center"/>
    </xf>
    <xf numFmtId="10" fontId="1" fillId="0" borderId="25" xfId="1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24" xfId="0" applyFont="1" applyFill="1" applyBorder="1">
      <alignment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0" fontId="1" fillId="2" borderId="25" xfId="1" applyNumberFormat="1" applyFont="1" applyFill="1" applyBorder="1" applyAlignment="1">
      <alignment horizontal="center"/>
    </xf>
    <xf numFmtId="165" fontId="1" fillId="2" borderId="25" xfId="0" applyNumberFormat="1" applyFont="1" applyFill="1" applyBorder="1" applyAlignment="1">
      <alignment horizontal="center" vertical="center"/>
    </xf>
    <xf numFmtId="165" fontId="1" fillId="2" borderId="26" xfId="0" applyNumberFormat="1" applyFont="1" applyFill="1" applyBorder="1" applyAlignment="1">
      <alignment horizontal="center" vertical="center"/>
    </xf>
    <xf numFmtId="165" fontId="1" fillId="2" borderId="27" xfId="0" applyNumberFormat="1" applyFont="1" applyFill="1" applyBorder="1" applyAlignment="1">
      <alignment horizontal="center" vertical="center"/>
    </xf>
    <xf numFmtId="10" fontId="9" fillId="2" borderId="0" xfId="1" applyNumberFormat="1" applyFont="1" applyFill="1" applyBorder="1" applyAlignment="1">
      <alignment horizontal="center" vertical="center"/>
    </xf>
    <xf numFmtId="165" fontId="1" fillId="2" borderId="28" xfId="0" applyNumberFormat="1" applyFont="1" applyFill="1" applyBorder="1" applyAlignment="1">
      <alignment horizontal="center" vertical="center"/>
    </xf>
    <xf numFmtId="0" fontId="9" fillId="8" borderId="0" xfId="0" applyFont="1" applyFill="1" applyAlignment="1">
      <alignment horizontal="left" vertical="center"/>
    </xf>
    <xf numFmtId="0" fontId="10" fillId="0" borderId="0" xfId="0" applyFont="1" applyAlignment="1"/>
    <xf numFmtId="0" fontId="9" fillId="2" borderId="0" xfId="0" applyFont="1" applyFill="1" applyAlignment="1">
      <alignment horizontal="left" vertical="center"/>
    </xf>
    <xf numFmtId="0" fontId="9" fillId="2" borderId="0" xfId="0" applyFont="1" applyFill="1">
      <alignment vertical="center"/>
    </xf>
    <xf numFmtId="0" fontId="11" fillId="0" borderId="0" xfId="0" applyFont="1" applyAlignment="1">
      <alignment horizontal="left" vertical="center"/>
    </xf>
    <xf numFmtId="165" fontId="1" fillId="9" borderId="25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10" fontId="1" fillId="2" borderId="27" xfId="1" applyNumberFormat="1" applyFont="1" applyFill="1" applyBorder="1" applyAlignment="1">
      <alignment horizontal="center"/>
    </xf>
    <xf numFmtId="0" fontId="9" fillId="1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0" fontId="2" fillId="2" borderId="27" xfId="1" applyNumberFormat="1" applyFont="1" applyFill="1" applyBorder="1" applyAlignment="1">
      <alignment horizontal="center"/>
    </xf>
    <xf numFmtId="165" fontId="2" fillId="2" borderId="25" xfId="0" applyNumberFormat="1" applyFont="1" applyFill="1" applyBorder="1" applyAlignment="1">
      <alignment horizontal="center" vertical="center"/>
    </xf>
    <xf numFmtId="10" fontId="2" fillId="2" borderId="25" xfId="1" applyNumberFormat="1" applyFont="1" applyFill="1" applyBorder="1" applyAlignment="1">
      <alignment horizontal="center"/>
    </xf>
    <xf numFmtId="0" fontId="9" fillId="0" borderId="0" xfId="0" applyFont="1">
      <alignment vertical="center"/>
    </xf>
    <xf numFmtId="0" fontId="0" fillId="0" borderId="0" xfId="0" applyAlignment="1"/>
    <xf numFmtId="0" fontId="10" fillId="0" borderId="0" xfId="0" applyFo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0" fontId="1" fillId="2" borderId="0" xfId="1" applyNumberFormat="1" applyFont="1" applyFill="1" applyBorder="1" applyAlignment="1">
      <alignment horizontal="center"/>
    </xf>
    <xf numFmtId="165" fontId="1" fillId="2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8" borderId="29" xfId="0" applyFont="1" applyFill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12" fillId="0" borderId="30" xfId="0" applyFont="1" applyBorder="1" applyAlignment="1">
      <alignment horizontal="left"/>
    </xf>
    <xf numFmtId="0" fontId="12" fillId="0" borderId="31" xfId="0" applyFont="1" applyBorder="1" applyAlignment="1">
      <alignment horizontal="left"/>
    </xf>
    <xf numFmtId="0" fontId="12" fillId="0" borderId="30" xfId="0" applyFont="1" applyBorder="1" applyAlignment="1"/>
    <xf numFmtId="0" fontId="12" fillId="0" borderId="31" xfId="0" applyFont="1" applyBorder="1" applyAlignment="1"/>
    <xf numFmtId="0" fontId="12" fillId="11" borderId="30" xfId="0" applyFont="1" applyFill="1" applyBorder="1" applyAlignment="1">
      <alignment horizontal="left"/>
    </xf>
    <xf numFmtId="0" fontId="12" fillId="11" borderId="31" xfId="0" applyFont="1" applyFill="1" applyBorder="1" applyAlignment="1">
      <alignment horizontal="left"/>
    </xf>
    <xf numFmtId="0" fontId="9" fillId="11" borderId="30" xfId="0" applyFont="1" applyFill="1" applyBorder="1">
      <alignment vertical="center"/>
    </xf>
    <xf numFmtId="0" fontId="9" fillId="11" borderId="31" xfId="0" applyFont="1" applyFill="1" applyBorder="1">
      <alignment vertical="center"/>
    </xf>
    <xf numFmtId="0" fontId="12" fillId="11" borderId="30" xfId="0" applyFont="1" applyFill="1" applyBorder="1" applyAlignment="1">
      <alignment horizontal="left" vertical="center"/>
    </xf>
    <xf numFmtId="0" fontId="12" fillId="11" borderId="31" xfId="0" applyFont="1" applyFill="1" applyBorder="1" applyAlignment="1">
      <alignment horizontal="left" vertical="center"/>
    </xf>
    <xf numFmtId="165" fontId="1" fillId="4" borderId="25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165" fontId="1" fillId="4" borderId="0" xfId="0" applyNumberFormat="1" applyFont="1" applyFill="1" applyAlignment="1">
      <alignment horizontal="center" vertical="center"/>
    </xf>
    <xf numFmtId="0" fontId="16" fillId="0" borderId="0" xfId="0" applyFont="1" applyAlignment="1"/>
    <xf numFmtId="0" fontId="16" fillId="0" borderId="0" xfId="2" applyFont="1"/>
    <xf numFmtId="0" fontId="17" fillId="0" borderId="0" xfId="0" applyFont="1" applyAlignment="1"/>
    <xf numFmtId="10" fontId="5" fillId="7" borderId="34" xfId="1" applyNumberFormat="1" applyFont="1" applyFill="1" applyBorder="1" applyAlignment="1">
      <alignment horizontal="center" vertical="center" wrapText="1"/>
    </xf>
    <xf numFmtId="10" fontId="5" fillId="12" borderId="34" xfId="1" applyNumberFormat="1" applyFont="1" applyFill="1" applyBorder="1" applyAlignment="1">
      <alignment horizontal="center" vertical="center" wrapText="1"/>
    </xf>
    <xf numFmtId="165" fontId="18" fillId="12" borderId="25" xfId="0" applyNumberFormat="1" applyFont="1" applyFill="1" applyBorder="1" applyAlignment="1">
      <alignment horizontal="center" vertical="center"/>
    </xf>
    <xf numFmtId="10" fontId="18" fillId="12" borderId="34" xfId="1" applyNumberFormat="1" applyFont="1" applyFill="1" applyBorder="1" applyAlignment="1">
      <alignment horizontal="center" vertical="center" wrapText="1"/>
    </xf>
    <xf numFmtId="10" fontId="19" fillId="12" borderId="0" xfId="1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10" fontId="5" fillId="6" borderId="0" xfId="1" applyNumberFormat="1" applyFont="1" applyFill="1" applyBorder="1" applyAlignment="1">
      <alignment horizontal="center" vertical="center" wrapText="1"/>
    </xf>
    <xf numFmtId="10" fontId="20" fillId="6" borderId="0" xfId="1" applyNumberFormat="1" applyFont="1" applyFill="1" applyBorder="1" applyAlignment="1">
      <alignment horizontal="center" vertical="center" wrapText="1"/>
    </xf>
    <xf numFmtId="0" fontId="2" fillId="5" borderId="0" xfId="0" applyFont="1" applyFill="1" applyAlignment="1">
      <alignment wrapText="1"/>
    </xf>
    <xf numFmtId="0" fontId="2" fillId="5" borderId="0" xfId="0" applyFont="1" applyFill="1" applyAlignment="1">
      <alignment horizontal="center" vertical="center"/>
    </xf>
    <xf numFmtId="10" fontId="2" fillId="5" borderId="0" xfId="1" applyNumberFormat="1" applyFont="1" applyFill="1" applyBorder="1" applyAlignment="1">
      <alignment horizontal="center"/>
    </xf>
    <xf numFmtId="165" fontId="2" fillId="5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14" fontId="6" fillId="7" borderId="4" xfId="0" applyNumberFormat="1" applyFont="1" applyFill="1" applyBorder="1" applyAlignment="1">
      <alignment horizontal="center" vertical="center" wrapText="1"/>
    </xf>
    <xf numFmtId="164" fontId="6" fillId="7" borderId="4" xfId="0" applyNumberFormat="1" applyFont="1" applyFill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/>
    </xf>
    <xf numFmtId="10" fontId="9" fillId="13" borderId="48" xfId="1" applyNumberFormat="1" applyFont="1" applyFill="1" applyBorder="1" applyAlignment="1">
      <alignment horizontal="center"/>
    </xf>
    <xf numFmtId="10" fontId="9" fillId="0" borderId="48" xfId="1" applyNumberFormat="1" applyFont="1" applyFill="1" applyBorder="1" applyAlignment="1">
      <alignment horizontal="center"/>
    </xf>
    <xf numFmtId="165" fontId="9" fillId="13" borderId="48" xfId="0" applyNumberFormat="1" applyFont="1" applyFill="1" applyBorder="1" applyAlignment="1">
      <alignment horizontal="center" vertical="center"/>
    </xf>
    <xf numFmtId="10" fontId="9" fillId="0" borderId="48" xfId="1" applyNumberFormat="1" applyFont="1" applyBorder="1" applyAlignment="1">
      <alignment horizontal="center"/>
    </xf>
    <xf numFmtId="0" fontId="6" fillId="7" borderId="54" xfId="0" applyFont="1" applyFill="1" applyBorder="1" applyAlignment="1">
      <alignment horizontal="center" vertical="center" wrapText="1"/>
    </xf>
    <xf numFmtId="10" fontId="6" fillId="5" borderId="54" xfId="1" applyNumberFormat="1" applyFont="1" applyFill="1" applyBorder="1" applyAlignment="1">
      <alignment horizontal="center" vertical="center" wrapText="1"/>
    </xf>
    <xf numFmtId="10" fontId="19" fillId="5" borderId="54" xfId="1" applyNumberFormat="1" applyFont="1" applyFill="1" applyBorder="1" applyAlignment="1">
      <alignment horizontal="center" vertical="center" wrapText="1"/>
    </xf>
    <xf numFmtId="10" fontId="6" fillId="7" borderId="55" xfId="1" applyNumberFormat="1" applyFont="1" applyFill="1" applyBorder="1" applyAlignment="1">
      <alignment horizontal="center" vertical="center" wrapText="1"/>
    </xf>
    <xf numFmtId="0" fontId="6" fillId="7" borderId="62" xfId="0" applyFont="1" applyFill="1" applyBorder="1" applyAlignment="1">
      <alignment horizontal="center" vertical="center" wrapText="1"/>
    </xf>
    <xf numFmtId="14" fontId="6" fillId="7" borderId="42" xfId="0" applyNumberFormat="1" applyFont="1" applyFill="1" applyBorder="1" applyAlignment="1">
      <alignment horizontal="center" vertical="center" wrapText="1"/>
    </xf>
    <xf numFmtId="10" fontId="9" fillId="13" borderId="48" xfId="0" applyNumberFormat="1" applyFont="1" applyFill="1" applyBorder="1" applyAlignment="1">
      <alignment horizontal="center" vertical="center"/>
    </xf>
    <xf numFmtId="10" fontId="9" fillId="0" borderId="48" xfId="0" applyNumberFormat="1" applyFont="1" applyBorder="1" applyAlignment="1">
      <alignment horizontal="center" vertical="center"/>
    </xf>
    <xf numFmtId="165" fontId="9" fillId="0" borderId="48" xfId="0" applyNumberFormat="1" applyFont="1" applyBorder="1" applyAlignment="1">
      <alignment horizontal="center" vertical="center"/>
    </xf>
    <xf numFmtId="10" fontId="6" fillId="7" borderId="53" xfId="1" applyNumberFormat="1" applyFont="1" applyFill="1" applyBorder="1" applyAlignment="1">
      <alignment horizontal="center" vertical="center" wrapText="1"/>
    </xf>
    <xf numFmtId="10" fontId="6" fillId="7" borderId="63" xfId="1" applyNumberFormat="1" applyFont="1" applyFill="1" applyBorder="1" applyAlignment="1">
      <alignment horizontal="center" vertical="center" wrapText="1"/>
    </xf>
    <xf numFmtId="10" fontId="6" fillId="5" borderId="64" xfId="1" applyNumberFormat="1" applyFont="1" applyFill="1" applyBorder="1" applyAlignment="1">
      <alignment horizontal="center" vertical="center" wrapText="1"/>
    </xf>
    <xf numFmtId="10" fontId="6" fillId="5" borderId="65" xfId="1" applyNumberFormat="1" applyFont="1" applyFill="1" applyBorder="1" applyAlignment="1">
      <alignment horizontal="center" vertical="center" wrapText="1"/>
    </xf>
    <xf numFmtId="10" fontId="6" fillId="7" borderId="54" xfId="1" applyNumberFormat="1" applyFont="1" applyFill="1" applyBorder="1" applyAlignment="1">
      <alignment horizontal="center" vertical="center" wrapText="1"/>
    </xf>
    <xf numFmtId="0" fontId="6" fillId="7" borderId="69" xfId="0" applyFont="1" applyFill="1" applyBorder="1" applyAlignment="1">
      <alignment horizontal="center" vertical="center" wrapText="1"/>
    </xf>
    <xf numFmtId="164" fontId="6" fillId="7" borderId="69" xfId="0" applyNumberFormat="1" applyFont="1" applyFill="1" applyBorder="1" applyAlignment="1">
      <alignment horizontal="center" vertical="center" wrapText="1"/>
    </xf>
    <xf numFmtId="14" fontId="6" fillId="7" borderId="69" xfId="0" applyNumberFormat="1" applyFont="1" applyFill="1" applyBorder="1" applyAlignment="1">
      <alignment horizontal="center" vertical="center" wrapText="1"/>
    </xf>
    <xf numFmtId="0" fontId="6" fillId="7" borderId="70" xfId="0" applyFont="1" applyFill="1" applyBorder="1" applyAlignment="1">
      <alignment horizontal="center" vertical="center" wrapText="1"/>
    </xf>
    <xf numFmtId="10" fontId="9" fillId="13" borderId="48" xfId="1" applyNumberFormat="1" applyFont="1" applyFill="1" applyBorder="1" applyAlignment="1">
      <alignment horizontal="center" vertical="center"/>
    </xf>
    <xf numFmtId="10" fontId="17" fillId="0" borderId="48" xfId="0" applyNumberFormat="1" applyFont="1" applyBorder="1" applyAlignment="1">
      <alignment horizontal="center" vertical="center"/>
    </xf>
    <xf numFmtId="10" fontId="6" fillId="7" borderId="71" xfId="1" applyNumberFormat="1" applyFont="1" applyFill="1" applyBorder="1" applyAlignment="1">
      <alignment horizontal="center" vertical="center" wrapText="1"/>
    </xf>
    <xf numFmtId="10" fontId="6" fillId="5" borderId="72" xfId="1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" fillId="0" borderId="3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36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left" vertical="top" wrapText="1"/>
    </xf>
    <xf numFmtId="0" fontId="1" fillId="0" borderId="39" xfId="0" applyFont="1" applyBorder="1" applyAlignment="1">
      <alignment horizontal="left" vertical="top" wrapText="1"/>
    </xf>
    <xf numFmtId="0" fontId="1" fillId="0" borderId="40" xfId="0" applyFont="1" applyBorder="1" applyAlignment="1">
      <alignment horizontal="left" vertical="top" wrapText="1"/>
    </xf>
    <xf numFmtId="0" fontId="1" fillId="0" borderId="41" xfId="0" applyFont="1" applyBorder="1" applyAlignment="1">
      <alignment horizontal="left" vertical="top" wrapTex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7" borderId="32" xfId="0" applyFont="1" applyFill="1" applyBorder="1" applyAlignment="1">
      <alignment horizontal="center" vertical="center" wrapText="1"/>
    </xf>
    <xf numFmtId="0" fontId="5" fillId="7" borderId="3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7" borderId="20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5" fillId="7" borderId="21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 wrapText="1"/>
    </xf>
    <xf numFmtId="0" fontId="8" fillId="7" borderId="5" xfId="3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4" fillId="6" borderId="3" xfId="0" applyFont="1" applyFill="1" applyBorder="1" applyAlignment="1">
      <alignment horizontal="left" vertical="top" wrapText="1"/>
    </xf>
    <xf numFmtId="0" fontId="5" fillId="7" borderId="0" xfId="0" applyFont="1" applyFill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6" fillId="7" borderId="44" xfId="0" applyFont="1" applyFill="1" applyBorder="1" applyAlignment="1">
      <alignment horizontal="center" vertical="center" wrapText="1"/>
    </xf>
    <xf numFmtId="0" fontId="6" fillId="7" borderId="56" xfId="0" applyFont="1" applyFill="1" applyBorder="1" applyAlignment="1">
      <alignment horizontal="center" vertical="center" wrapText="1"/>
    </xf>
    <xf numFmtId="0" fontId="6" fillId="7" borderId="66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6" fillId="7" borderId="67" xfId="0" applyFont="1" applyFill="1" applyBorder="1" applyAlignment="1">
      <alignment horizontal="center" vertical="center" wrapText="1"/>
    </xf>
    <xf numFmtId="0" fontId="6" fillId="7" borderId="51" xfId="0" applyFont="1" applyFill="1" applyBorder="1" applyAlignment="1">
      <alignment horizontal="center" vertical="center" wrapText="1"/>
    </xf>
    <xf numFmtId="0" fontId="6" fillId="7" borderId="52" xfId="0" applyFont="1" applyFill="1" applyBorder="1" applyAlignment="1">
      <alignment horizontal="center" vertical="center" wrapText="1"/>
    </xf>
    <xf numFmtId="0" fontId="6" fillId="7" borderId="43" xfId="0" applyFont="1" applyFill="1" applyBorder="1" applyAlignment="1">
      <alignment horizontal="center" vertical="center" wrapText="1"/>
    </xf>
    <xf numFmtId="0" fontId="6" fillId="7" borderId="45" xfId="0" applyFont="1" applyFill="1" applyBorder="1" applyAlignment="1">
      <alignment horizontal="center" vertical="center" wrapText="1"/>
    </xf>
    <xf numFmtId="0" fontId="6" fillId="7" borderId="68" xfId="0" applyFont="1" applyFill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6" fillId="7" borderId="69" xfId="0" applyFont="1" applyFill="1" applyBorder="1" applyAlignment="1">
      <alignment horizontal="center" vertical="center" wrapText="1"/>
    </xf>
    <xf numFmtId="0" fontId="6" fillId="7" borderId="53" xfId="0" applyFont="1" applyFill="1" applyBorder="1" applyAlignment="1">
      <alignment horizontal="center" vertical="center" wrapText="1"/>
    </xf>
    <xf numFmtId="0" fontId="6" fillId="7" borderId="46" xfId="0" applyFont="1" applyFill="1" applyBorder="1" applyAlignment="1">
      <alignment horizontal="center" vertical="center" wrapText="1"/>
    </xf>
    <xf numFmtId="0" fontId="5" fillId="7" borderId="56" xfId="0" applyFont="1" applyFill="1" applyBorder="1" applyAlignment="1">
      <alignment horizontal="center" vertical="center" wrapText="1"/>
    </xf>
    <xf numFmtId="0" fontId="7" fillId="7" borderId="57" xfId="0" applyFont="1" applyFill="1" applyBorder="1" applyAlignment="1">
      <alignment horizontal="center" vertical="center" wrapText="1"/>
    </xf>
    <xf numFmtId="0" fontId="7" fillId="7" borderId="58" xfId="0" applyFont="1" applyFill="1" applyBorder="1" applyAlignment="1">
      <alignment horizontal="center" vertical="center" wrapText="1"/>
    </xf>
    <xf numFmtId="0" fontId="6" fillId="7" borderId="59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5" fillId="7" borderId="16" xfId="3" applyFont="1" applyFill="1" applyBorder="1" applyAlignment="1">
      <alignment horizontal="center" vertical="center" wrapText="1"/>
    </xf>
    <xf numFmtId="0" fontId="8" fillId="7" borderId="11" xfId="3" applyFont="1" applyFill="1" applyBorder="1" applyAlignment="1">
      <alignment horizontal="center" vertical="center" wrapText="1"/>
    </xf>
    <xf numFmtId="0" fontId="8" fillId="7" borderId="61" xfId="3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24" fillId="7" borderId="73" xfId="0" applyFont="1" applyFill="1" applyBorder="1" applyAlignment="1">
      <alignment horizontal="center" vertical="center" wrapText="1"/>
    </xf>
    <xf numFmtId="0" fontId="25" fillId="7" borderId="74" xfId="0" applyFont="1" applyFill="1" applyBorder="1" applyAlignment="1">
      <alignment horizontal="center" vertical="center" wrapText="1"/>
    </xf>
    <xf numFmtId="0" fontId="24" fillId="7" borderId="75" xfId="0" applyFont="1" applyFill="1" applyBorder="1" applyAlignment="1">
      <alignment horizontal="center" vertical="center" wrapText="1"/>
    </xf>
    <xf numFmtId="0" fontId="24" fillId="7" borderId="76" xfId="0" applyFont="1" applyFill="1" applyBorder="1" applyAlignment="1">
      <alignment horizontal="center" vertical="center" wrapText="1"/>
    </xf>
    <xf numFmtId="0" fontId="24" fillId="7" borderId="77" xfId="0" applyFont="1" applyFill="1" applyBorder="1" applyAlignment="1">
      <alignment horizontal="center" vertical="center" wrapText="1"/>
    </xf>
    <xf numFmtId="0" fontId="25" fillId="7" borderId="5" xfId="0" applyFont="1" applyFill="1" applyBorder="1" applyAlignment="1">
      <alignment horizontal="center" vertical="center" wrapText="1"/>
    </xf>
    <xf numFmtId="0" fontId="24" fillId="7" borderId="13" xfId="0" applyFont="1" applyFill="1" applyBorder="1" applyAlignment="1">
      <alignment horizontal="center" vertical="center" wrapText="1"/>
    </xf>
    <xf numFmtId="0" fontId="24" fillId="7" borderId="14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0" fontId="0" fillId="0" borderId="78" xfId="0" applyBorder="1" applyAlignment="1">
      <alignment vertical="center"/>
    </xf>
    <xf numFmtId="0" fontId="0" fillId="0" borderId="78" xfId="0" applyBorder="1" applyAlignment="1">
      <alignment horizontal="center" vertical="center"/>
    </xf>
    <xf numFmtId="10" fontId="0" fillId="0" borderId="78" xfId="0" applyNumberFormat="1" applyBorder="1" applyAlignment="1">
      <alignment vertical="center"/>
    </xf>
    <xf numFmtId="10" fontId="0" fillId="0" borderId="78" xfId="0" applyNumberFormat="1" applyBorder="1" applyAlignment="1">
      <alignment horizontal="center" vertical="center"/>
    </xf>
    <xf numFmtId="0" fontId="26" fillId="6" borderId="79" xfId="0" applyFont="1" applyFill="1" applyBorder="1" applyAlignment="1">
      <alignment vertical="center"/>
    </xf>
    <xf numFmtId="0" fontId="0" fillId="0" borderId="80" xfId="0" applyBorder="1" applyAlignment="1">
      <alignment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26" fillId="6" borderId="82" xfId="0" applyFont="1" applyFill="1" applyBorder="1" applyAlignment="1">
      <alignment vertical="center"/>
    </xf>
    <xf numFmtId="0" fontId="0" fillId="0" borderId="83" xfId="0" applyBorder="1" applyAlignment="1">
      <alignment horizontal="center" vertical="center"/>
    </xf>
    <xf numFmtId="10" fontId="26" fillId="6" borderId="82" xfId="0" applyNumberFormat="1" applyFont="1" applyFill="1" applyBorder="1" applyAlignment="1">
      <alignment vertical="center"/>
    </xf>
    <xf numFmtId="10" fontId="0" fillId="0" borderId="83" xfId="0" applyNumberFormat="1" applyBorder="1" applyAlignment="1">
      <alignment horizontal="center" vertical="center"/>
    </xf>
    <xf numFmtId="10" fontId="26" fillId="6" borderId="84" xfId="0" applyNumberFormat="1" applyFont="1" applyFill="1" applyBorder="1" applyAlignment="1">
      <alignment vertical="center"/>
    </xf>
    <xf numFmtId="10" fontId="0" fillId="0" borderId="85" xfId="0" applyNumberFormat="1" applyBorder="1" applyAlignment="1">
      <alignment vertical="center"/>
    </xf>
    <xf numFmtId="10" fontId="0" fillId="0" borderId="85" xfId="0" applyNumberFormat="1" applyBorder="1" applyAlignment="1">
      <alignment horizontal="center" vertical="center"/>
    </xf>
    <xf numFmtId="10" fontId="0" fillId="0" borderId="86" xfId="0" applyNumberFormat="1" applyBorder="1" applyAlignment="1">
      <alignment horizontal="center" vertical="center"/>
    </xf>
  </cellXfs>
  <cellStyles count="4">
    <cellStyle name="Normal" xfId="0" builtinId="0"/>
    <cellStyle name="Normal 2" xfId="2" xr:uid="{00000000-0005-0000-0000-000031000000}"/>
    <cellStyle name="Normal 3" xfId="3" xr:uid="{00000000-0005-0000-0000-000032000000}"/>
    <cellStyle name="Percent" xfId="1" builtinId="5"/>
  </cellStyles>
  <dxfs count="2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44"/>
      <tableStyleElement type="headerRow" dxfId="243"/>
      <tableStyleElement type="totalRow" dxfId="242"/>
      <tableStyleElement type="firstColumn" dxfId="241"/>
      <tableStyleElement type="lastColumn" dxfId="240"/>
      <tableStyleElement type="firstRowStripe" dxfId="239"/>
      <tableStyleElement type="firstColumnStripe" dxfId="238"/>
    </tableStyle>
    <tableStyle name="PivotStylePreset2_Accent1" table="0" count="10" xr9:uid="{267968C8-6FFD-4C36-ACC1-9EA1FD1885CA}">
      <tableStyleElement type="headerRow" dxfId="237"/>
      <tableStyleElement type="totalRow" dxfId="236"/>
      <tableStyleElement type="firstRowStripe" dxfId="235"/>
      <tableStyleElement type="firstColumnStripe" dxfId="234"/>
      <tableStyleElement type="firstSubtotalRow" dxfId="233"/>
      <tableStyleElement type="secondSubtotalRow" dxfId="232"/>
      <tableStyleElement type="firstRowSubheading" dxfId="231"/>
      <tableStyleElement type="secondRowSubheading" dxfId="230"/>
      <tableStyleElement type="pageFieldLabels" dxfId="229"/>
      <tableStyleElement type="pageFieldValues" dxfId="2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ennis.huang/Documents/Data%20Dashboard%20Dennis.xlsx" TargetMode="External"/><Relationship Id="rId1" Type="http://schemas.openxmlformats.org/officeDocument/2006/relationships/externalLinkPath" Target="/Users/dennis.huang/Documents/Data%20Dashboard%20Denn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 DP"/>
      <sheetName val="Raw Abnsensi"/>
      <sheetName val="Raw Abnsensi (2)"/>
      <sheetName val="Raw Deliv TTD 730 1200"/>
      <sheetName val="TTD rit 2"/>
      <sheetName val="Raw TPTW TTD"/>
      <sheetName val="Raw PU Non Ecom"/>
      <sheetName val="Raw Retur COD Non Ecom"/>
      <sheetName val="非平台目标 Target Non E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5"/>
  <sheetViews>
    <sheetView workbookViewId="0">
      <selection activeCell="F18" sqref="F18"/>
    </sheetView>
  </sheetViews>
  <sheetFormatPr defaultColWidth="8.77734375" defaultRowHeight="14.4"/>
  <cols>
    <col min="2" max="2" width="12.21875" customWidth="1"/>
    <col min="3" max="3" width="21" customWidth="1"/>
    <col min="4" max="4" width="14.6640625" customWidth="1"/>
    <col min="5" max="5" width="10.88671875" customWidth="1"/>
    <col min="6" max="8" width="11.33203125" customWidth="1"/>
    <col min="9" max="9" width="12.6640625" customWidth="1"/>
    <col min="10" max="10" width="8.77734375" customWidth="1"/>
    <col min="11" max="13" width="11.33203125" customWidth="1"/>
    <col min="14" max="14" width="12.5546875" customWidth="1"/>
    <col min="15" max="15" width="8.77734375" customWidth="1"/>
    <col min="16" max="17" width="11.33203125"/>
    <col min="18" max="18" width="11.44140625" customWidth="1"/>
    <col min="19" max="19" width="12.5546875" customWidth="1"/>
  </cols>
  <sheetData>
    <row r="2" spans="2:19" ht="40.950000000000003" customHeight="1">
      <c r="B2" s="179" t="s">
        <v>0</v>
      </c>
      <c r="C2" s="172" t="s">
        <v>1</v>
      </c>
      <c r="D2" s="172" t="s">
        <v>2</v>
      </c>
      <c r="E2" s="172" t="s">
        <v>3</v>
      </c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3"/>
      <c r="S2" s="174"/>
    </row>
    <row r="3" spans="2:19" ht="36" customHeight="1">
      <c r="B3" s="180"/>
      <c r="C3" s="151"/>
      <c r="D3" s="151"/>
      <c r="E3" s="151" t="s">
        <v>4</v>
      </c>
      <c r="F3" s="151"/>
      <c r="G3" s="151"/>
      <c r="H3" s="151"/>
      <c r="I3" s="151"/>
      <c r="J3" s="151" t="s">
        <v>5</v>
      </c>
      <c r="K3" s="151"/>
      <c r="L3" s="151"/>
      <c r="M3" s="151"/>
      <c r="N3" s="151"/>
      <c r="O3" s="151" t="s">
        <v>6</v>
      </c>
      <c r="P3" s="151"/>
      <c r="Q3" s="151"/>
      <c r="R3" s="175"/>
      <c r="S3" s="176"/>
    </row>
    <row r="4" spans="2:19" ht="28.8">
      <c r="B4" s="181"/>
      <c r="C4" s="185"/>
      <c r="D4" s="185"/>
      <c r="E4" s="125" t="s">
        <v>7</v>
      </c>
      <c r="F4" s="126">
        <v>46240</v>
      </c>
      <c r="G4" s="126">
        <f>F4-1</f>
        <v>46239</v>
      </c>
      <c r="H4" s="126">
        <f>G4-1</f>
        <v>46238</v>
      </c>
      <c r="I4" s="125" t="s">
        <v>8</v>
      </c>
      <c r="J4" s="125" t="s">
        <v>7</v>
      </c>
      <c r="K4" s="127">
        <f>F4</f>
        <v>46240</v>
      </c>
      <c r="L4" s="126">
        <f>F4-1</f>
        <v>46239</v>
      </c>
      <c r="M4" s="126">
        <f>G4-1</f>
        <v>46238</v>
      </c>
      <c r="N4" s="125" t="s">
        <v>8</v>
      </c>
      <c r="O4" s="125" t="s">
        <v>7</v>
      </c>
      <c r="P4" s="127">
        <f>F4</f>
        <v>46240</v>
      </c>
      <c r="Q4" s="126">
        <f>F4-1</f>
        <v>46239</v>
      </c>
      <c r="R4" s="126">
        <f>G4-1</f>
        <v>46238</v>
      </c>
      <c r="S4" s="128" t="s">
        <v>8</v>
      </c>
    </row>
    <row r="5" spans="2:19">
      <c r="B5" s="182" t="s">
        <v>9</v>
      </c>
      <c r="C5" s="106" t="s">
        <v>10</v>
      </c>
      <c r="D5" s="106" t="s">
        <v>11</v>
      </c>
      <c r="E5" s="129">
        <v>0.9</v>
      </c>
      <c r="F5" s="118">
        <v>0.95495735607675902</v>
      </c>
      <c r="G5" s="118">
        <v>0.94587993315336161</v>
      </c>
      <c r="H5" s="118">
        <v>0.9465195246179966</v>
      </c>
      <c r="I5" s="118">
        <v>0.94370332693685988</v>
      </c>
      <c r="J5" s="129">
        <v>0.9</v>
      </c>
      <c r="K5" s="118">
        <v>0.90635207143011465</v>
      </c>
      <c r="L5" s="118">
        <v>0.89049090909090911</v>
      </c>
      <c r="M5" s="118">
        <v>0.93174554748103211</v>
      </c>
      <c r="N5" s="130">
        <v>0.91220276582925031</v>
      </c>
      <c r="O5" s="129">
        <v>0.9</v>
      </c>
      <c r="P5" s="118">
        <v>0.89457733712272236</v>
      </c>
      <c r="Q5" s="118">
        <v>0.87837355371900827</v>
      </c>
      <c r="R5" s="118">
        <v>0.91120469333760123</v>
      </c>
      <c r="S5" s="118">
        <v>0.89260774264581577</v>
      </c>
    </row>
    <row r="6" spans="2:19">
      <c r="B6" s="183"/>
      <c r="C6" s="106" t="s">
        <v>12</v>
      </c>
      <c r="D6" s="106" t="s">
        <v>13</v>
      </c>
      <c r="E6" s="129">
        <v>0.9</v>
      </c>
      <c r="F6" s="118">
        <v>0.95064540622627181</v>
      </c>
      <c r="G6" s="118">
        <v>0.95558882235528941</v>
      </c>
      <c r="H6" s="118">
        <v>0.95700378583017842</v>
      </c>
      <c r="I6" s="118">
        <v>0.94852270654751047</v>
      </c>
      <c r="J6" s="129">
        <v>0.9</v>
      </c>
      <c r="K6" s="118">
        <v>0.94731955754794561</v>
      </c>
      <c r="L6" s="118">
        <v>0.91402373247033442</v>
      </c>
      <c r="M6" s="118">
        <v>0.95824116485171729</v>
      </c>
      <c r="N6" s="130">
        <v>0.93334837732943488</v>
      </c>
      <c r="O6" s="129">
        <v>0.9</v>
      </c>
      <c r="P6" s="118">
        <v>0.90792480285570287</v>
      </c>
      <c r="Q6" s="118">
        <v>0.89244584390215453</v>
      </c>
      <c r="R6" s="118">
        <v>0.92436421510347344</v>
      </c>
      <c r="S6" s="118">
        <v>0.89927242552571618</v>
      </c>
    </row>
    <row r="7" spans="2:19">
      <c r="B7" s="183"/>
      <c r="C7" s="106" t="s">
        <v>14</v>
      </c>
      <c r="D7" s="106" t="s">
        <v>15</v>
      </c>
      <c r="E7" s="129">
        <v>0.9</v>
      </c>
      <c r="F7" s="118">
        <v>0.95450625269512723</v>
      </c>
      <c r="G7" s="118">
        <v>0.95177185992870628</v>
      </c>
      <c r="H7" s="118">
        <v>0.94055865921787707</v>
      </c>
      <c r="I7" s="118">
        <v>0.94448070646957194</v>
      </c>
      <c r="J7" s="129">
        <v>0.9</v>
      </c>
      <c r="K7" s="118">
        <v>0.94138606067511166</v>
      </c>
      <c r="L7" s="118">
        <v>0.90503929925256466</v>
      </c>
      <c r="M7" s="118">
        <v>0.94892285847403102</v>
      </c>
      <c r="N7" s="130">
        <v>0.93213300583776382</v>
      </c>
      <c r="O7" s="129">
        <v>0.9</v>
      </c>
      <c r="P7" s="118">
        <v>0.93019289396183547</v>
      </c>
      <c r="Q7" s="118">
        <v>0.92491685814025348</v>
      </c>
      <c r="R7" s="118">
        <v>0.92362168038515302</v>
      </c>
      <c r="S7" s="118">
        <v>0.92866018473872325</v>
      </c>
    </row>
    <row r="8" spans="2:19">
      <c r="B8" s="184"/>
      <c r="C8" s="106" t="s">
        <v>16</v>
      </c>
      <c r="D8" s="106" t="s">
        <v>17</v>
      </c>
      <c r="E8" s="129">
        <v>0.9</v>
      </c>
      <c r="F8" s="118">
        <v>0.9331983805668016</v>
      </c>
      <c r="G8" s="118">
        <v>0.94164193867457957</v>
      </c>
      <c r="H8" s="118">
        <v>0.94343649946638208</v>
      </c>
      <c r="I8" s="118">
        <v>0.92930029154518945</v>
      </c>
      <c r="J8" s="129">
        <v>0.9</v>
      </c>
      <c r="K8" s="118">
        <v>0.94196106173822047</v>
      </c>
      <c r="L8" s="118">
        <v>0.94464910048090445</v>
      </c>
      <c r="M8" s="118">
        <v>0.95373608263997744</v>
      </c>
      <c r="N8" s="130">
        <v>0.94355116892365554</v>
      </c>
      <c r="O8" s="129">
        <v>0.9</v>
      </c>
      <c r="P8" s="118">
        <v>0.90888859412536294</v>
      </c>
      <c r="Q8" s="118">
        <v>0.91094560019289761</v>
      </c>
      <c r="R8" s="118">
        <v>0.91774187065396517</v>
      </c>
      <c r="S8" s="118">
        <v>0.90984377260234339</v>
      </c>
    </row>
    <row r="9" spans="2:19">
      <c r="B9" s="183"/>
      <c r="C9" s="106" t="s">
        <v>18</v>
      </c>
      <c r="D9" s="106" t="s">
        <v>19</v>
      </c>
      <c r="E9" s="129">
        <v>0.9</v>
      </c>
      <c r="F9" s="118">
        <v>0.92102816153028688</v>
      </c>
      <c r="G9" s="118">
        <v>0.92733586264548906</v>
      </c>
      <c r="H9" s="118">
        <v>0.90313976527968298</v>
      </c>
      <c r="I9" s="118">
        <v>0.91245751230063465</v>
      </c>
      <c r="J9" s="129">
        <v>0.9</v>
      </c>
      <c r="K9" s="118">
        <v>0.94912332064669336</v>
      </c>
      <c r="L9" s="118">
        <v>0.93041939942471996</v>
      </c>
      <c r="M9" s="118">
        <v>0.94915486367112156</v>
      </c>
      <c r="N9" s="130">
        <v>0.94074903079323069</v>
      </c>
      <c r="O9" s="129">
        <v>0.9</v>
      </c>
      <c r="P9" s="118">
        <v>0.86998493531608356</v>
      </c>
      <c r="Q9" s="118">
        <v>0.84250864076305543</v>
      </c>
      <c r="R9" s="118">
        <v>0.89119254956116822</v>
      </c>
      <c r="S9" s="118">
        <v>0.86345768698096592</v>
      </c>
    </row>
    <row r="10" spans="2:19">
      <c r="B10" s="183"/>
      <c r="C10" s="106" t="s">
        <v>20</v>
      </c>
      <c r="D10" s="106" t="s">
        <v>21</v>
      </c>
      <c r="E10" s="129">
        <v>0.9</v>
      </c>
      <c r="F10" s="118">
        <v>0.92176470588235293</v>
      </c>
      <c r="G10" s="118">
        <v>0.92121422778357087</v>
      </c>
      <c r="H10" s="118">
        <v>0.90985143516515221</v>
      </c>
      <c r="I10" s="118">
        <v>0.91403104026845639</v>
      </c>
      <c r="J10" s="129">
        <v>0.9</v>
      </c>
      <c r="K10" s="118">
        <v>0.95054649750320996</v>
      </c>
      <c r="L10" s="118">
        <v>0.92645579252299082</v>
      </c>
      <c r="M10" s="118">
        <v>0.95692707357741424</v>
      </c>
      <c r="N10" s="130">
        <v>0.94477338866447136</v>
      </c>
      <c r="O10" s="129">
        <v>0.9</v>
      </c>
      <c r="P10" s="118">
        <v>0.91732180948972619</v>
      </c>
      <c r="Q10" s="118">
        <v>0.90916972309377797</v>
      </c>
      <c r="R10" s="118">
        <v>0.92707664812978074</v>
      </c>
      <c r="S10" s="118">
        <v>0.91737304037651768</v>
      </c>
    </row>
    <row r="11" spans="2:19">
      <c r="B11" s="183"/>
      <c r="C11" s="106" t="s">
        <v>22</v>
      </c>
      <c r="D11" s="106" t="s">
        <v>23</v>
      </c>
      <c r="E11" s="129">
        <v>0.9</v>
      </c>
      <c r="F11" s="118">
        <v>0.93812709030100339</v>
      </c>
      <c r="G11" s="118">
        <v>0.93737957610789979</v>
      </c>
      <c r="H11" s="118">
        <v>0.91016483516483515</v>
      </c>
      <c r="I11" s="118">
        <v>0.91530517226784047</v>
      </c>
      <c r="J11" s="129">
        <v>0.9</v>
      </c>
      <c r="K11" s="118">
        <v>0.92634837868665476</v>
      </c>
      <c r="L11" s="118">
        <v>0.92704349449835055</v>
      </c>
      <c r="M11" s="118">
        <v>0.94158949063821218</v>
      </c>
      <c r="N11" s="130">
        <v>0.92343928090637772</v>
      </c>
      <c r="O11" s="129">
        <v>0.9</v>
      </c>
      <c r="P11" s="118">
        <v>0.89046890863739492</v>
      </c>
      <c r="Q11" s="118">
        <v>0.88866450427521848</v>
      </c>
      <c r="R11" s="118">
        <v>0.91724968122944772</v>
      </c>
      <c r="S11" s="118">
        <v>0.88808018429738822</v>
      </c>
    </row>
    <row r="12" spans="2:19">
      <c r="B12" s="183"/>
      <c r="C12" s="106" t="s">
        <v>24</v>
      </c>
      <c r="D12" s="106" t="s">
        <v>25</v>
      </c>
      <c r="E12" s="129">
        <v>0.9</v>
      </c>
      <c r="F12" s="118">
        <v>0.94688620369140886</v>
      </c>
      <c r="G12" s="118">
        <v>0.94524171681767077</v>
      </c>
      <c r="H12" s="118">
        <v>0.92602021137082469</v>
      </c>
      <c r="I12" s="118">
        <v>0.93241853703506716</v>
      </c>
      <c r="J12" s="129">
        <v>0.9</v>
      </c>
      <c r="K12" s="118">
        <v>0.94304438229792797</v>
      </c>
      <c r="L12" s="118">
        <v>0.94440401632218052</v>
      </c>
      <c r="M12" s="118">
        <v>0.96722360739678848</v>
      </c>
      <c r="N12" s="130">
        <v>0.94950600649888239</v>
      </c>
      <c r="O12" s="129">
        <v>0.9</v>
      </c>
      <c r="P12" s="118">
        <v>0.88307198503641016</v>
      </c>
      <c r="Q12" s="118">
        <v>0.89421153995723091</v>
      </c>
      <c r="R12" s="118">
        <v>0.91471448863450056</v>
      </c>
      <c r="S12" s="118">
        <v>0.8935900716928088</v>
      </c>
    </row>
    <row r="13" spans="2:19">
      <c r="B13" s="183"/>
      <c r="C13" s="106" t="s">
        <v>26</v>
      </c>
      <c r="D13" s="106" t="s">
        <v>27</v>
      </c>
      <c r="E13" s="129">
        <v>0.9</v>
      </c>
      <c r="F13" s="118">
        <v>0.91474121996303137</v>
      </c>
      <c r="G13" s="118">
        <v>0.89883913764510781</v>
      </c>
      <c r="H13" s="118">
        <v>0.91130924448615669</v>
      </c>
      <c r="I13" s="118">
        <v>0.90381583096814888</v>
      </c>
      <c r="J13" s="129">
        <v>0.9</v>
      </c>
      <c r="K13" s="118">
        <v>0.90934541180820583</v>
      </c>
      <c r="L13" s="118">
        <v>0.88035741673814627</v>
      </c>
      <c r="M13" s="118">
        <v>0.88268173418404983</v>
      </c>
      <c r="N13" s="130">
        <v>0.89573938038965184</v>
      </c>
      <c r="O13" s="129">
        <v>0.9</v>
      </c>
      <c r="P13" s="118">
        <v>0.76729898186908241</v>
      </c>
      <c r="Q13" s="118">
        <v>0.74883975891979704</v>
      </c>
      <c r="R13" s="118">
        <v>0.74313735928069335</v>
      </c>
      <c r="S13" s="118">
        <v>0.75622082638371368</v>
      </c>
    </row>
    <row r="14" spans="2:19">
      <c r="B14" s="183"/>
      <c r="C14" s="106" t="s">
        <v>28</v>
      </c>
      <c r="D14" s="106" t="s">
        <v>29</v>
      </c>
      <c r="E14" s="129">
        <v>0.9</v>
      </c>
      <c r="F14" s="118">
        <v>0.92545687720423209</v>
      </c>
      <c r="G14" s="118">
        <v>0.92974753018660816</v>
      </c>
      <c r="H14" s="118">
        <v>0.92722852512155596</v>
      </c>
      <c r="I14" s="118">
        <v>0.91099894487694988</v>
      </c>
      <c r="J14" s="129">
        <v>0.9</v>
      </c>
      <c r="K14" s="118">
        <v>0.94611884113218336</v>
      </c>
      <c r="L14" s="118">
        <v>0.93564512176806758</v>
      </c>
      <c r="M14" s="118">
        <v>0.93358665385056938</v>
      </c>
      <c r="N14" s="130">
        <v>0.93866428903640142</v>
      </c>
      <c r="O14" s="129">
        <v>0.9</v>
      </c>
      <c r="P14" s="118">
        <v>0.79880436163791735</v>
      </c>
      <c r="Q14" s="118">
        <v>0.75566077258104036</v>
      </c>
      <c r="R14" s="118">
        <v>0.81877528234057351</v>
      </c>
      <c r="S14" s="118">
        <v>0.778668012637591</v>
      </c>
    </row>
    <row r="15" spans="2:19">
      <c r="B15" s="177" t="s">
        <v>30</v>
      </c>
      <c r="C15" s="178"/>
      <c r="D15" s="178"/>
      <c r="E15" s="131" t="s">
        <v>31</v>
      </c>
      <c r="F15" s="131">
        <v>0.93531674497168249</v>
      </c>
      <c r="G15" s="131">
        <v>0.93492041329237641</v>
      </c>
      <c r="H15" s="131">
        <v>0.92310488714674088</v>
      </c>
      <c r="I15" s="131">
        <v>0.92411318949673971</v>
      </c>
      <c r="J15" s="131" t="s">
        <v>31</v>
      </c>
      <c r="K15" s="131">
        <v>0.93870109949520031</v>
      </c>
      <c r="L15" s="131">
        <v>0.92414890999458688</v>
      </c>
      <c r="M15" s="131">
        <v>0.94241940794799883</v>
      </c>
      <c r="N15" s="131">
        <v>0.93481097314534145</v>
      </c>
      <c r="O15" s="131" t="s">
        <v>31</v>
      </c>
      <c r="P15" s="131">
        <v>0.87731807187303201</v>
      </c>
      <c r="Q15" s="131">
        <v>0.86391138887521934</v>
      </c>
      <c r="R15" s="131">
        <v>0.88227738585115101</v>
      </c>
      <c r="S15" s="132">
        <v>0.87244104347811524</v>
      </c>
    </row>
  </sheetData>
  <mergeCells count="9">
    <mergeCell ref="E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27" priority="1" operator="lessThan">
      <formula>$E$5</formula>
    </cfRule>
    <cfRule type="cellIs" dxfId="226" priority="2" operator="greaterThan">
      <formula>$E$5</formula>
    </cfRule>
  </conditionalFormatting>
  <conditionalFormatting sqref="K5:N14">
    <cfRule type="cellIs" dxfId="225" priority="5" operator="greaterThan">
      <formula>$J$5</formula>
    </cfRule>
    <cfRule type="cellIs" dxfId="224" priority="6" operator="lessThan">
      <formula>$J$5</formula>
    </cfRule>
  </conditionalFormatting>
  <conditionalFormatting sqref="P5:S14">
    <cfRule type="cellIs" dxfId="223" priority="3" operator="lessThan">
      <formula>$O$5</formula>
    </cfRule>
    <cfRule type="cellIs" dxfId="222" priority="4" operator="greaterThan">
      <formula>$O$5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15"/>
  <sheetViews>
    <sheetView topLeftCell="L1" zoomScale="85" zoomScaleNormal="85" workbookViewId="0">
      <selection activeCell="F20" sqref="F20"/>
    </sheetView>
  </sheetViews>
  <sheetFormatPr defaultColWidth="8.77734375" defaultRowHeight="14.4"/>
  <cols>
    <col min="2" max="2" width="12.33203125" customWidth="1"/>
    <col min="3" max="3" width="21.21875" customWidth="1"/>
    <col min="4" max="4" width="12" customWidth="1"/>
    <col min="5" max="11" width="14.33203125" customWidth="1"/>
    <col min="12" max="12" width="14.44140625" customWidth="1"/>
    <col min="13" max="14" width="14.21875" customWidth="1"/>
    <col min="15" max="17" width="14.33203125" customWidth="1"/>
    <col min="18" max="19" width="14.21875" customWidth="1"/>
  </cols>
  <sheetData>
    <row r="2" spans="2:19" ht="57" customHeight="1">
      <c r="B2" s="179" t="s">
        <v>0</v>
      </c>
      <c r="C2" s="172" t="s">
        <v>1</v>
      </c>
      <c r="D2" s="172" t="s">
        <v>2</v>
      </c>
      <c r="E2" s="188" t="s">
        <v>32</v>
      </c>
      <c r="F2" s="189"/>
      <c r="G2" s="189"/>
      <c r="H2" s="189"/>
      <c r="I2" s="190"/>
      <c r="J2" s="191" t="s">
        <v>33</v>
      </c>
      <c r="K2" s="192"/>
      <c r="L2" s="192"/>
      <c r="M2" s="192"/>
      <c r="N2" s="192"/>
      <c r="O2" s="192"/>
      <c r="P2" s="192"/>
      <c r="Q2" s="192"/>
      <c r="R2" s="192"/>
      <c r="S2" s="193"/>
    </row>
    <row r="3" spans="2:19" ht="55.05" customHeight="1">
      <c r="B3" s="180"/>
      <c r="C3" s="151"/>
      <c r="D3" s="151"/>
      <c r="E3" s="194" t="s">
        <v>34</v>
      </c>
      <c r="F3" s="195"/>
      <c r="G3" s="195"/>
      <c r="H3" s="195"/>
      <c r="I3" s="196"/>
      <c r="J3" s="175" t="s">
        <v>35</v>
      </c>
      <c r="K3" s="197"/>
      <c r="L3" s="197"/>
      <c r="M3" s="197"/>
      <c r="N3" s="198"/>
      <c r="O3" s="175" t="s">
        <v>36</v>
      </c>
      <c r="P3" s="197"/>
      <c r="Q3" s="197"/>
      <c r="R3" s="197"/>
      <c r="S3" s="198"/>
    </row>
    <row r="4" spans="2:19" ht="28.8">
      <c r="B4" s="187"/>
      <c r="C4" s="152"/>
      <c r="D4" s="152"/>
      <c r="E4" s="104" t="s">
        <v>7</v>
      </c>
      <c r="F4" s="104">
        <f>'06.30, 07.30, &amp; 12.00'!F4</f>
        <v>46240</v>
      </c>
      <c r="G4" s="105">
        <f>F4-1</f>
        <v>46239</v>
      </c>
      <c r="H4" s="105">
        <f>G4-1</f>
        <v>46238</v>
      </c>
      <c r="I4" s="115" t="s">
        <v>8</v>
      </c>
      <c r="J4" s="116" t="s">
        <v>7</v>
      </c>
      <c r="K4" s="104">
        <f>F4</f>
        <v>46240</v>
      </c>
      <c r="L4" s="105">
        <f>F4-1</f>
        <v>46239</v>
      </c>
      <c r="M4" s="105">
        <f>G4-1</f>
        <v>46238</v>
      </c>
      <c r="N4" s="17" t="s">
        <v>8</v>
      </c>
      <c r="O4" s="104" t="s">
        <v>7</v>
      </c>
      <c r="P4" s="104">
        <f>K4</f>
        <v>46240</v>
      </c>
      <c r="Q4" s="105">
        <f>K4-1</f>
        <v>46239</v>
      </c>
      <c r="R4" s="105">
        <f>L4-1</f>
        <v>46238</v>
      </c>
      <c r="S4" s="17" t="s">
        <v>8</v>
      </c>
    </row>
    <row r="5" spans="2:19">
      <c r="B5" s="182" t="s">
        <v>9</v>
      </c>
      <c r="C5" s="106" t="s">
        <v>10</v>
      </c>
      <c r="D5" s="106" t="s">
        <v>11</v>
      </c>
      <c r="E5" s="117">
        <v>0.92</v>
      </c>
      <c r="F5" s="118">
        <v>0.93222346762433506</v>
      </c>
      <c r="G5" s="118">
        <v>0.94589404653353537</v>
      </c>
      <c r="H5" s="118">
        <v>0.94707795253431726</v>
      </c>
      <c r="I5" s="118">
        <v>0.93955855951522649</v>
      </c>
      <c r="J5" s="109">
        <v>0.92</v>
      </c>
      <c r="K5" s="119">
        <v>0.98256023947512161</v>
      </c>
      <c r="L5" s="119">
        <v>0.9707349496678056</v>
      </c>
      <c r="M5" s="119">
        <v>0.96462651687924095</v>
      </c>
      <c r="N5" s="119">
        <v>0.97057357589748294</v>
      </c>
      <c r="O5" s="109">
        <v>0.93</v>
      </c>
      <c r="P5" s="119">
        <v>0.95930405697234811</v>
      </c>
      <c r="Q5" s="119">
        <v>0.97008682044568828</v>
      </c>
      <c r="R5" s="119">
        <v>0.96764532722785523</v>
      </c>
      <c r="S5" s="119">
        <v>0.96575995393991254</v>
      </c>
    </row>
    <row r="6" spans="2:19">
      <c r="B6" s="183"/>
      <c r="C6" s="106" t="s">
        <v>12</v>
      </c>
      <c r="D6" s="106" t="s">
        <v>13</v>
      </c>
      <c r="E6" s="117">
        <v>0.92</v>
      </c>
      <c r="F6" s="118">
        <v>0.93355538749523981</v>
      </c>
      <c r="G6" s="118">
        <v>0.94581774452164613</v>
      </c>
      <c r="H6" s="118">
        <v>0.94025475729303742</v>
      </c>
      <c r="I6" s="118">
        <v>0.93639213842541358</v>
      </c>
      <c r="J6" s="109">
        <v>0.92</v>
      </c>
      <c r="K6" s="119">
        <v>0.99614429915170055</v>
      </c>
      <c r="L6" s="119">
        <v>0.98940741657677411</v>
      </c>
      <c r="M6" s="119">
        <v>0.95798613007153388</v>
      </c>
      <c r="N6" s="119">
        <v>0.97478279416518643</v>
      </c>
      <c r="O6" s="109">
        <v>0.93</v>
      </c>
      <c r="P6" s="119">
        <v>0.95410735814244707</v>
      </c>
      <c r="Q6" s="119">
        <v>0.96530301275462194</v>
      </c>
      <c r="R6" s="119">
        <v>0.95783527711923866</v>
      </c>
      <c r="S6" s="119">
        <v>0.95814892797438955</v>
      </c>
    </row>
    <row r="7" spans="2:19">
      <c r="B7" s="183"/>
      <c r="C7" s="106" t="s">
        <v>14</v>
      </c>
      <c r="D7" s="106" t="s">
        <v>15</v>
      </c>
      <c r="E7" s="117">
        <v>0.92</v>
      </c>
      <c r="F7" s="118">
        <v>0.96528345288900996</v>
      </c>
      <c r="G7" s="118">
        <v>0.97903453990136491</v>
      </c>
      <c r="H7" s="118">
        <v>0.97725288651084197</v>
      </c>
      <c r="I7" s="118">
        <v>0.97402743796994884</v>
      </c>
      <c r="J7" s="109">
        <v>0.92</v>
      </c>
      <c r="K7" s="119">
        <v>0.98881759509915046</v>
      </c>
      <c r="L7" s="119">
        <v>0.97849828023462571</v>
      </c>
      <c r="M7" s="119">
        <v>0.94549940137140365</v>
      </c>
      <c r="N7" s="119">
        <v>0.96153786653068452</v>
      </c>
      <c r="O7" s="109">
        <v>0.93</v>
      </c>
      <c r="P7" s="119">
        <v>0.97691021028083602</v>
      </c>
      <c r="Q7" s="119">
        <v>0.9863111897582203</v>
      </c>
      <c r="R7" s="119">
        <v>0.98353445890385416</v>
      </c>
      <c r="S7" s="119">
        <v>0.98289691340894447</v>
      </c>
    </row>
    <row r="8" spans="2:19">
      <c r="B8" s="184"/>
      <c r="C8" s="106" t="s">
        <v>16</v>
      </c>
      <c r="D8" s="106" t="s">
        <v>17</v>
      </c>
      <c r="E8" s="117">
        <v>0.92</v>
      </c>
      <c r="F8" s="118">
        <v>0.95085483466933862</v>
      </c>
      <c r="G8" s="118">
        <v>0.95662822872122122</v>
      </c>
      <c r="H8" s="118">
        <v>0.95339475110319738</v>
      </c>
      <c r="I8" s="118">
        <v>0.95144429841685318</v>
      </c>
      <c r="J8" s="109">
        <v>0.92</v>
      </c>
      <c r="K8" s="119">
        <v>0.99262264534489764</v>
      </c>
      <c r="L8" s="119">
        <v>0.93992755520642401</v>
      </c>
      <c r="M8" s="119">
        <v>0.92755814746183929</v>
      </c>
      <c r="N8" s="119">
        <v>0.94831027836382153</v>
      </c>
      <c r="O8" s="109">
        <v>0.93</v>
      </c>
      <c r="P8" s="119">
        <v>0.96143125492334724</v>
      </c>
      <c r="Q8" s="119">
        <v>0.96672385588317444</v>
      </c>
      <c r="R8" s="119">
        <v>0.96305213954072033</v>
      </c>
      <c r="S8" s="119">
        <v>0.96287912770435802</v>
      </c>
    </row>
    <row r="9" spans="2:19">
      <c r="B9" s="183"/>
      <c r="C9" s="106" t="s">
        <v>18</v>
      </c>
      <c r="D9" s="106" t="s">
        <v>19</v>
      </c>
      <c r="E9" s="117">
        <v>0.92</v>
      </c>
      <c r="F9" s="118">
        <v>0.90836453256100524</v>
      </c>
      <c r="G9" s="118">
        <v>0.91478453729364984</v>
      </c>
      <c r="H9" s="118">
        <v>0.90654909575901654</v>
      </c>
      <c r="I9" s="118">
        <v>0.90467344907348779</v>
      </c>
      <c r="J9" s="109">
        <v>0.92</v>
      </c>
      <c r="K9" s="119">
        <v>0.99322028861389411</v>
      </c>
      <c r="L9" s="119">
        <v>0.97046424648664131</v>
      </c>
      <c r="M9" s="119">
        <v>0.96440562612379088</v>
      </c>
      <c r="N9" s="119">
        <v>0.97254353718533137</v>
      </c>
      <c r="O9" s="109">
        <v>0.93</v>
      </c>
      <c r="P9" s="119">
        <v>0.94617908530776529</v>
      </c>
      <c r="Q9" s="119">
        <v>0.955690790069466</v>
      </c>
      <c r="R9" s="119">
        <v>0.93471246915923323</v>
      </c>
      <c r="S9" s="119">
        <v>0.94603023130715436</v>
      </c>
    </row>
    <row r="10" spans="2:19">
      <c r="B10" s="183"/>
      <c r="C10" s="106" t="s">
        <v>20</v>
      </c>
      <c r="D10" s="106" t="s">
        <v>21</v>
      </c>
      <c r="E10" s="117">
        <v>0.92</v>
      </c>
      <c r="F10" s="118">
        <v>0.91655579996289716</v>
      </c>
      <c r="G10" s="118">
        <v>0.92400478197149083</v>
      </c>
      <c r="H10" s="118">
        <v>0.91795268817204301</v>
      </c>
      <c r="I10" s="118">
        <v>0.91666780809096327</v>
      </c>
      <c r="J10" s="109">
        <v>0.92</v>
      </c>
      <c r="K10" s="119">
        <v>0.98812331659506725</v>
      </c>
      <c r="L10" s="119">
        <v>0.98770441357481975</v>
      </c>
      <c r="M10" s="119">
        <v>0.98487550754315834</v>
      </c>
      <c r="N10" s="119">
        <v>0.98100991974023177</v>
      </c>
      <c r="O10" s="109">
        <v>0.93</v>
      </c>
      <c r="P10" s="119">
        <v>0.9587925335668358</v>
      </c>
      <c r="Q10" s="119">
        <v>0.96156882935585808</v>
      </c>
      <c r="R10" s="119">
        <v>0.95068123431861573</v>
      </c>
      <c r="S10" s="119">
        <v>0.95856349120512074</v>
      </c>
    </row>
    <row r="11" spans="2:19">
      <c r="B11" s="183"/>
      <c r="C11" s="106" t="s">
        <v>22</v>
      </c>
      <c r="D11" s="106" t="s">
        <v>23</v>
      </c>
      <c r="E11" s="117">
        <v>0.92</v>
      </c>
      <c r="F11" s="118">
        <v>0.89767021932528845</v>
      </c>
      <c r="G11" s="118">
        <v>0.89839592094979348</v>
      </c>
      <c r="H11" s="118">
        <v>0.89534799156384093</v>
      </c>
      <c r="I11" s="118">
        <v>0.8748190134588173</v>
      </c>
      <c r="J11" s="109">
        <v>0.92</v>
      </c>
      <c r="K11" s="119">
        <v>0.9879080182585479</v>
      </c>
      <c r="L11" s="119">
        <v>0.9646480825248761</v>
      </c>
      <c r="M11" s="119">
        <v>0.94544497712375308</v>
      </c>
      <c r="N11" s="119">
        <v>0.96121050877846925</v>
      </c>
      <c r="O11" s="109">
        <v>0.93</v>
      </c>
      <c r="P11" s="119">
        <v>0.95484035886586782</v>
      </c>
      <c r="Q11" s="119">
        <v>0.95567805682363505</v>
      </c>
      <c r="R11" s="119">
        <v>0.95045183522312937</v>
      </c>
      <c r="S11" s="119">
        <v>0.9484451289913276</v>
      </c>
    </row>
    <row r="12" spans="2:19">
      <c r="B12" s="183"/>
      <c r="C12" s="106" t="s">
        <v>24</v>
      </c>
      <c r="D12" s="106" t="s">
        <v>25</v>
      </c>
      <c r="E12" s="117">
        <v>0.92</v>
      </c>
      <c r="F12" s="118">
        <v>0.94518858746068735</v>
      </c>
      <c r="G12" s="118">
        <v>0.952250571813548</v>
      </c>
      <c r="H12" s="118">
        <v>0.94968729077357061</v>
      </c>
      <c r="I12" s="118">
        <v>0.946597637339327</v>
      </c>
      <c r="J12" s="109">
        <v>0.92</v>
      </c>
      <c r="K12" s="119">
        <v>0.98434813138800026</v>
      </c>
      <c r="L12" s="119">
        <v>0.97493940144169877</v>
      </c>
      <c r="M12" s="119">
        <v>0.97278343017460134</v>
      </c>
      <c r="N12" s="119">
        <v>0.9688939833046929</v>
      </c>
      <c r="O12" s="109">
        <v>0.93</v>
      </c>
      <c r="P12" s="119">
        <v>0.95867810932796904</v>
      </c>
      <c r="Q12" s="119">
        <v>0.96636489151758909</v>
      </c>
      <c r="R12" s="119">
        <v>0.96085493227668239</v>
      </c>
      <c r="S12" s="119">
        <v>0.96167549082762238</v>
      </c>
    </row>
    <row r="13" spans="2:19">
      <c r="B13" s="183"/>
      <c r="C13" s="106" t="s">
        <v>26</v>
      </c>
      <c r="D13" s="106" t="s">
        <v>27</v>
      </c>
      <c r="E13" s="117">
        <v>0.92</v>
      </c>
      <c r="F13" s="118">
        <v>0.84323550465282748</v>
      </c>
      <c r="G13" s="118">
        <v>0.83560905497664395</v>
      </c>
      <c r="H13" s="118">
        <v>0.86734618509491102</v>
      </c>
      <c r="I13" s="118">
        <v>0.83896807475701296</v>
      </c>
      <c r="J13" s="109">
        <v>0.92</v>
      </c>
      <c r="K13" s="119">
        <v>0.97559806802274995</v>
      </c>
      <c r="L13" s="119">
        <v>0.97246244602566445</v>
      </c>
      <c r="M13" s="119">
        <v>0.97173366834170849</v>
      </c>
      <c r="N13" s="119">
        <v>0.96868084006785227</v>
      </c>
      <c r="O13" s="109">
        <v>0.93</v>
      </c>
      <c r="P13" s="119">
        <v>0.88198103531493843</v>
      </c>
      <c r="Q13" s="119">
        <v>0.87115873901652374</v>
      </c>
      <c r="R13" s="119">
        <v>0.88329680870053318</v>
      </c>
      <c r="S13" s="119">
        <v>0.88758830422344914</v>
      </c>
    </row>
    <row r="14" spans="2:19">
      <c r="B14" s="183"/>
      <c r="C14" s="106" t="s">
        <v>28</v>
      </c>
      <c r="D14" s="106" t="s">
        <v>29</v>
      </c>
      <c r="E14" s="117">
        <v>0.92</v>
      </c>
      <c r="F14" s="118">
        <v>0.92673832850739757</v>
      </c>
      <c r="G14" s="118">
        <v>0.93689514252341355</v>
      </c>
      <c r="H14" s="118">
        <v>0.93710166552508223</v>
      </c>
      <c r="I14" s="118">
        <v>0.92658707052138178</v>
      </c>
      <c r="J14" s="109">
        <v>0.92</v>
      </c>
      <c r="K14" s="119">
        <v>0.97965602872758317</v>
      </c>
      <c r="L14" s="119">
        <v>0.97498136936511981</v>
      </c>
      <c r="M14" s="119">
        <v>0.94474783455211087</v>
      </c>
      <c r="N14" s="119">
        <v>0.96306438036677555</v>
      </c>
      <c r="O14" s="109">
        <v>0.93</v>
      </c>
      <c r="P14" s="119">
        <v>0.94504597793803058</v>
      </c>
      <c r="Q14" s="119">
        <v>0.95614330283228011</v>
      </c>
      <c r="R14" s="119">
        <v>0.95473034721268191</v>
      </c>
      <c r="S14" s="119">
        <v>0.94679910039256987</v>
      </c>
    </row>
    <row r="15" spans="2:19">
      <c r="B15" s="177" t="s">
        <v>30</v>
      </c>
      <c r="C15" s="178"/>
      <c r="D15" s="186"/>
      <c r="E15" s="120" t="s">
        <v>31</v>
      </c>
      <c r="F15" s="121">
        <v>0.92701746543211849</v>
      </c>
      <c r="G15" s="121">
        <v>0.93788372825387323</v>
      </c>
      <c r="H15" s="121">
        <v>0.93550727149186685</v>
      </c>
      <c r="I15" s="122">
        <v>0.92907945221576216</v>
      </c>
      <c r="J15" s="123" t="s">
        <v>31</v>
      </c>
      <c r="K15" s="112">
        <v>0.98611346670211253</v>
      </c>
      <c r="L15" s="112">
        <v>0.97431223509392606</v>
      </c>
      <c r="M15" s="112">
        <v>0.95998499481271959</v>
      </c>
      <c r="N15" s="124">
        <v>0.96889849640482417</v>
      </c>
      <c r="O15" s="112" t="s">
        <v>31</v>
      </c>
      <c r="P15" s="112">
        <v>0.951587020237179</v>
      </c>
      <c r="Q15" s="112">
        <v>0.95903957047588362</v>
      </c>
      <c r="R15" s="112">
        <v>0.95072102806506209</v>
      </c>
      <c r="S15" s="112">
        <v>0.95307759834337213</v>
      </c>
    </row>
  </sheetData>
  <mergeCells count="10">
    <mergeCell ref="E2:I2"/>
    <mergeCell ref="J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21" priority="3" operator="lessThan">
      <formula>$E$5</formula>
    </cfRule>
    <cfRule type="cellIs" dxfId="220" priority="4" operator="greaterThan">
      <formula>$E$5</formula>
    </cfRule>
  </conditionalFormatting>
  <conditionalFormatting sqref="K5:N14">
    <cfRule type="cellIs" dxfId="219" priority="5" operator="lessThan">
      <formula>$J$5</formula>
    </cfRule>
    <cfRule type="cellIs" dxfId="218" priority="6" operator="greaterThan">
      <formula>$J$5</formula>
    </cfRule>
  </conditionalFormatting>
  <conditionalFormatting sqref="P5:S14">
    <cfRule type="cellIs" dxfId="217" priority="1" operator="lessThan">
      <formula>$O$5</formula>
    </cfRule>
    <cfRule type="cellIs" dxfId="216" priority="2" operator="greaterThan">
      <formula>$O$5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15"/>
  <sheetViews>
    <sheetView topLeftCell="J1" workbookViewId="0">
      <selection activeCell="L17" sqref="L17"/>
    </sheetView>
  </sheetViews>
  <sheetFormatPr defaultColWidth="8.77734375" defaultRowHeight="14.4"/>
  <cols>
    <col min="2" max="2" width="14.77734375" customWidth="1"/>
    <col min="3" max="3" width="22.21875" customWidth="1"/>
    <col min="4" max="4" width="13.77734375" customWidth="1"/>
    <col min="5" max="5" width="8.77734375" customWidth="1"/>
    <col min="6" max="7" width="14.33203125" customWidth="1"/>
    <col min="8" max="9" width="13.77734375" customWidth="1"/>
    <col min="10" max="10" width="18.5546875" customWidth="1"/>
    <col min="11" max="12" width="14.33203125" customWidth="1"/>
    <col min="13" max="14" width="13.77734375" customWidth="1"/>
  </cols>
  <sheetData>
    <row r="2" spans="2:14" ht="33" customHeight="1">
      <c r="B2" s="179" t="s">
        <v>0</v>
      </c>
      <c r="C2" s="172" t="s">
        <v>1</v>
      </c>
      <c r="D2" s="172" t="s">
        <v>2</v>
      </c>
      <c r="E2" s="151"/>
      <c r="F2" s="151"/>
      <c r="G2" s="151"/>
      <c r="H2" s="151"/>
      <c r="I2" s="151"/>
      <c r="J2" s="151"/>
      <c r="K2" s="151"/>
      <c r="L2" s="151"/>
      <c r="M2" s="151"/>
      <c r="N2" s="151"/>
    </row>
    <row r="3" spans="2:14" ht="54" customHeight="1">
      <c r="B3" s="180"/>
      <c r="C3" s="151"/>
      <c r="D3" s="151"/>
      <c r="E3" s="175" t="s">
        <v>37</v>
      </c>
      <c r="F3" s="197"/>
      <c r="G3" s="197"/>
      <c r="H3" s="197"/>
      <c r="I3" s="198"/>
      <c r="J3" s="175" t="s">
        <v>38</v>
      </c>
      <c r="K3" s="197"/>
      <c r="L3" s="197"/>
      <c r="M3" s="197"/>
      <c r="N3" s="198"/>
    </row>
    <row r="4" spans="2:14" ht="28.8">
      <c r="B4" s="187"/>
      <c r="C4" s="152"/>
      <c r="D4" s="152"/>
      <c r="E4" s="17" t="s">
        <v>7</v>
      </c>
      <c r="F4" s="104">
        <f>'06.30, 07.30, &amp; 12.00'!F4</f>
        <v>46240</v>
      </c>
      <c r="G4" s="105">
        <f>F4-1</f>
        <v>46239</v>
      </c>
      <c r="H4" s="105">
        <f>G4-1</f>
        <v>46238</v>
      </c>
      <c r="I4" s="17" t="s">
        <v>8</v>
      </c>
      <c r="J4" s="17" t="s">
        <v>39</v>
      </c>
      <c r="K4" s="104">
        <f>F4</f>
        <v>46240</v>
      </c>
      <c r="L4" s="105">
        <f>K4-1</f>
        <v>46239</v>
      </c>
      <c r="M4" s="105">
        <f>L4-1</f>
        <v>46238</v>
      </c>
      <c r="N4" s="17" t="s">
        <v>8</v>
      </c>
    </row>
    <row r="5" spans="2:14">
      <c r="B5" s="182" t="s">
        <v>9</v>
      </c>
      <c r="C5" s="106" t="s">
        <v>10</v>
      </c>
      <c r="D5" s="106" t="s">
        <v>11</v>
      </c>
      <c r="E5" s="107">
        <v>0.99</v>
      </c>
      <c r="F5" s="108">
        <v>0.9938388625592417</v>
      </c>
      <c r="G5" s="108">
        <v>0.98719228210246179</v>
      </c>
      <c r="H5" s="108">
        <v>0.99285326578614075</v>
      </c>
      <c r="I5" s="108">
        <v>0.99097051152006954</v>
      </c>
      <c r="J5" s="109">
        <v>0.10526149898194399</v>
      </c>
      <c r="K5" s="110">
        <v>7.4999999999999997E-2</v>
      </c>
      <c r="L5" s="110">
        <v>5.1588939331407346E-2</v>
      </c>
      <c r="M5" s="110">
        <v>6.7857142857142852E-2</v>
      </c>
      <c r="N5" s="110">
        <v>8.0849107211280552E-2</v>
      </c>
    </row>
    <row r="6" spans="2:14">
      <c r="B6" s="183"/>
      <c r="C6" s="106" t="s">
        <v>12</v>
      </c>
      <c r="D6" s="106" t="s">
        <v>13</v>
      </c>
      <c r="E6" s="107">
        <v>0.99</v>
      </c>
      <c r="F6" s="108">
        <v>0.99572700296735905</v>
      </c>
      <c r="G6" s="108">
        <v>0.99682405250899853</v>
      </c>
      <c r="H6" s="108">
        <v>0.98982923154193869</v>
      </c>
      <c r="I6" s="108">
        <v>0.9941255874412559</v>
      </c>
      <c r="J6" s="109">
        <v>7.19793575775068E-2</v>
      </c>
      <c r="K6" s="110">
        <v>5.4179566563467493E-2</v>
      </c>
      <c r="L6" s="110">
        <v>4.9009900990099012E-2</v>
      </c>
      <c r="M6" s="110">
        <v>4.388531304856641E-2</v>
      </c>
      <c r="N6" s="110">
        <v>5.2844432461579938E-2</v>
      </c>
    </row>
    <row r="7" spans="2:14">
      <c r="B7" s="183"/>
      <c r="C7" s="106" t="s">
        <v>14</v>
      </c>
      <c r="D7" s="106" t="s">
        <v>15</v>
      </c>
      <c r="E7" s="107">
        <v>0.99</v>
      </c>
      <c r="F7" s="108">
        <v>0.99616462605103995</v>
      </c>
      <c r="G7" s="108">
        <v>0.99797318366074217</v>
      </c>
      <c r="H7" s="108">
        <v>0.99781211541091208</v>
      </c>
      <c r="I7" s="108">
        <v>0.99524359766748183</v>
      </c>
      <c r="J7" s="109">
        <v>9.2228725701943806E-2</v>
      </c>
      <c r="K7" s="110">
        <v>6.0100166944908183E-2</v>
      </c>
      <c r="L7" s="110">
        <v>6.2068965517241378E-2</v>
      </c>
      <c r="M7" s="110">
        <v>5.7984790874524718E-2</v>
      </c>
      <c r="N7" s="110">
        <v>7.8871965012818582E-2</v>
      </c>
    </row>
    <row r="8" spans="2:14">
      <c r="B8" s="184"/>
      <c r="C8" s="106" t="s">
        <v>16</v>
      </c>
      <c r="D8" s="106" t="s">
        <v>17</v>
      </c>
      <c r="E8" s="107">
        <v>0.99</v>
      </c>
      <c r="F8" s="108">
        <v>0.99803343166175029</v>
      </c>
      <c r="G8" s="108">
        <v>0.99730021598272134</v>
      </c>
      <c r="H8" s="108">
        <v>0.99368011667476908</v>
      </c>
      <c r="I8" s="108">
        <v>0.99598668754894282</v>
      </c>
      <c r="J8" s="109">
        <v>7.3985255698344701E-2</v>
      </c>
      <c r="K8" s="110">
        <v>4.0621266427718038E-2</v>
      </c>
      <c r="L8" s="110">
        <v>5.0599201065246339E-2</v>
      </c>
      <c r="M8" s="110">
        <v>5.0349650349650353E-2</v>
      </c>
      <c r="N8" s="110">
        <v>4.3745566327737052E-2</v>
      </c>
    </row>
    <row r="9" spans="2:14">
      <c r="B9" s="183"/>
      <c r="C9" s="106" t="s">
        <v>18</v>
      </c>
      <c r="D9" s="106" t="s">
        <v>19</v>
      </c>
      <c r="E9" s="107">
        <v>0.99</v>
      </c>
      <c r="F9" s="108">
        <v>0.99537736419118983</v>
      </c>
      <c r="G9" s="108">
        <v>0.99716303114361371</v>
      </c>
      <c r="H9" s="108">
        <v>0.99486923888823742</v>
      </c>
      <c r="I9" s="108">
        <v>0.99469898834793602</v>
      </c>
      <c r="J9" s="109">
        <v>0.05</v>
      </c>
      <c r="K9" s="110">
        <v>2.8653579218719017E-2</v>
      </c>
      <c r="L9" s="110">
        <v>3.1682027649769587E-2</v>
      </c>
      <c r="M9" s="110">
        <v>2.7217741935483871E-2</v>
      </c>
      <c r="N9" s="110">
        <v>3.1148712663929656E-2</v>
      </c>
    </row>
    <row r="10" spans="2:14">
      <c r="B10" s="183"/>
      <c r="C10" s="106" t="s">
        <v>20</v>
      </c>
      <c r="D10" s="106" t="s">
        <v>21</v>
      </c>
      <c r="E10" s="107">
        <v>0.99</v>
      </c>
      <c r="F10" s="108">
        <v>0.99483919222139117</v>
      </c>
      <c r="G10" s="108">
        <v>0.995324881141046</v>
      </c>
      <c r="H10" s="108">
        <v>0.9949819019414281</v>
      </c>
      <c r="I10" s="108">
        <v>0.9940260388380866</v>
      </c>
      <c r="J10" s="109">
        <v>8.1059522893420499E-2</v>
      </c>
      <c r="K10" s="110">
        <v>3.0947775628626693E-2</v>
      </c>
      <c r="L10" s="110">
        <v>3.2698249227600409E-2</v>
      </c>
      <c r="M10" s="110">
        <v>5.32258064516129E-2</v>
      </c>
      <c r="N10" s="110">
        <v>4.2892644135188868E-2</v>
      </c>
    </row>
    <row r="11" spans="2:14">
      <c r="B11" s="183"/>
      <c r="C11" s="106" t="s">
        <v>22</v>
      </c>
      <c r="D11" s="106" t="s">
        <v>23</v>
      </c>
      <c r="E11" s="107">
        <v>0.99</v>
      </c>
      <c r="F11" s="108">
        <v>0.99228325011348162</v>
      </c>
      <c r="G11" s="108">
        <v>0.98497881627936834</v>
      </c>
      <c r="H11" s="108">
        <v>0.99552668668423305</v>
      </c>
      <c r="I11" s="108">
        <v>0.98811916513052267</v>
      </c>
      <c r="J11" s="109">
        <v>6.5641848892985799E-2</v>
      </c>
      <c r="K11" s="110">
        <v>2.9085342518178341E-2</v>
      </c>
      <c r="L11" s="110">
        <v>4.2890262751159196E-2</v>
      </c>
      <c r="M11" s="110">
        <v>4.7821466524973433E-2</v>
      </c>
      <c r="N11" s="110">
        <v>4.2620418480550482E-2</v>
      </c>
    </row>
    <row r="12" spans="2:14">
      <c r="B12" s="183"/>
      <c r="C12" s="106" t="s">
        <v>24</v>
      </c>
      <c r="D12" s="106" t="s">
        <v>25</v>
      </c>
      <c r="E12" s="107">
        <v>0.99</v>
      </c>
      <c r="F12" s="108">
        <v>0.9936624061589503</v>
      </c>
      <c r="G12" s="108">
        <v>0.99424469465489096</v>
      </c>
      <c r="H12" s="108">
        <v>0.99498120533685819</v>
      </c>
      <c r="I12" s="108">
        <v>0.99260657909561723</v>
      </c>
      <c r="J12" s="109">
        <v>7.2186152540827803E-2</v>
      </c>
      <c r="K12" s="110">
        <v>2.6128610828857601E-2</v>
      </c>
      <c r="L12" s="110">
        <v>2.8672186445875499E-2</v>
      </c>
      <c r="M12" s="110">
        <v>4.4960267670430785E-2</v>
      </c>
      <c r="N12" s="110">
        <v>3.4794346951706662E-2</v>
      </c>
    </row>
    <row r="13" spans="2:14">
      <c r="B13" s="183"/>
      <c r="C13" s="106" t="s">
        <v>26</v>
      </c>
      <c r="D13" s="106" t="s">
        <v>27</v>
      </c>
      <c r="E13" s="107">
        <v>0.99</v>
      </c>
      <c r="F13" s="108">
        <v>0.99171686746987953</v>
      </c>
      <c r="G13" s="108">
        <v>0.98461538461538467</v>
      </c>
      <c r="H13" s="108">
        <v>0.99061967026719722</v>
      </c>
      <c r="I13" s="108">
        <v>0.98933547965189395</v>
      </c>
      <c r="J13" s="109">
        <v>0.110069253262963</v>
      </c>
      <c r="K13" s="110">
        <v>9.8342541436464093E-2</v>
      </c>
      <c r="L13" s="110">
        <v>0.10600335852225021</v>
      </c>
      <c r="M13" s="110">
        <v>7.926583299717628E-2</v>
      </c>
      <c r="N13" s="110">
        <v>9.263404754290587E-2</v>
      </c>
    </row>
    <row r="14" spans="2:14">
      <c r="B14" s="183"/>
      <c r="C14" s="106" t="s">
        <v>28</v>
      </c>
      <c r="D14" s="106" t="s">
        <v>29</v>
      </c>
      <c r="E14" s="107">
        <v>0.99</v>
      </c>
      <c r="F14" s="108">
        <v>0.99409044193216856</v>
      </c>
      <c r="G14" s="108">
        <v>0.99407605579973246</v>
      </c>
      <c r="H14" s="108">
        <v>0.99412094064949608</v>
      </c>
      <c r="I14" s="108">
        <v>0.99214962737862677</v>
      </c>
      <c r="J14" s="109">
        <v>8.7218210012826203E-2</v>
      </c>
      <c r="K14" s="110">
        <v>4.4097875773057273E-2</v>
      </c>
      <c r="L14" s="110">
        <v>5.155746509129968E-2</v>
      </c>
      <c r="M14" s="110">
        <v>4.9189814814814818E-2</v>
      </c>
      <c r="N14" s="110">
        <v>4.9526210147971803E-2</v>
      </c>
    </row>
    <row r="15" spans="2:14">
      <c r="B15" s="177" t="s">
        <v>30</v>
      </c>
      <c r="C15" s="178"/>
      <c r="D15" s="186"/>
      <c r="E15" s="111" t="s">
        <v>31</v>
      </c>
      <c r="F15" s="112">
        <v>0.99423953584749269</v>
      </c>
      <c r="G15" s="112">
        <v>0.99312013664832033</v>
      </c>
      <c r="H15" s="112">
        <v>0.99442443007548553</v>
      </c>
      <c r="I15" s="112">
        <v>0.99260644921370977</v>
      </c>
      <c r="J15" s="113" t="s">
        <v>31</v>
      </c>
      <c r="K15" s="112">
        <v>4.3542022184300339E-2</v>
      </c>
      <c r="L15" s="112">
        <v>4.6748443888845484E-2</v>
      </c>
      <c r="M15" s="112">
        <v>4.8493202180314519E-2</v>
      </c>
      <c r="N15" s="114">
        <v>4.9325522453185784E-2</v>
      </c>
    </row>
  </sheetData>
  <mergeCells count="8">
    <mergeCell ref="E2:N2"/>
    <mergeCell ref="E3:I3"/>
    <mergeCell ref="J3:N3"/>
    <mergeCell ref="B15:D15"/>
    <mergeCell ref="B2:B4"/>
    <mergeCell ref="B5:B14"/>
    <mergeCell ref="C2:C4"/>
    <mergeCell ref="D2:D4"/>
  </mergeCells>
  <conditionalFormatting sqref="F5:I14">
    <cfRule type="cellIs" dxfId="215" priority="21" operator="lessThan">
      <formula>$E$5</formula>
    </cfRule>
    <cfRule type="cellIs" dxfId="214" priority="22" operator="greaterThan">
      <formula>$E$5</formula>
    </cfRule>
  </conditionalFormatting>
  <conditionalFormatting sqref="K5:N5">
    <cfRule type="cellIs" dxfId="213" priority="19" operator="lessThan">
      <formula>$J$5</formula>
    </cfRule>
    <cfRule type="cellIs" dxfId="212" priority="20" operator="greaterThan">
      <formula>$J$5</formula>
    </cfRule>
  </conditionalFormatting>
  <conditionalFormatting sqref="K6:N6">
    <cfRule type="cellIs" dxfId="211" priority="17" operator="lessThan">
      <formula>$J$6</formula>
    </cfRule>
    <cfRule type="cellIs" dxfId="210" priority="18" operator="greaterThan">
      <formula>$J$6</formula>
    </cfRule>
  </conditionalFormatting>
  <conditionalFormatting sqref="K7:N7">
    <cfRule type="cellIs" dxfId="209" priority="15" operator="lessThan">
      <formula>$J$7</formula>
    </cfRule>
    <cfRule type="cellIs" dxfId="208" priority="16" operator="greaterThan">
      <formula>$J$7</formula>
    </cfRule>
  </conditionalFormatting>
  <conditionalFormatting sqref="K8:N8">
    <cfRule type="cellIs" dxfId="207" priority="13" operator="lessThan">
      <formula>$J$8</formula>
    </cfRule>
    <cfRule type="cellIs" dxfId="206" priority="14" operator="greaterThan">
      <formula>$J$8</formula>
    </cfRule>
  </conditionalFormatting>
  <conditionalFormatting sqref="K9:N9">
    <cfRule type="cellIs" dxfId="205" priority="11" operator="lessThan">
      <formula>$J$9</formula>
    </cfRule>
    <cfRule type="cellIs" dxfId="204" priority="12" operator="greaterThan">
      <formula>$J$9</formula>
    </cfRule>
  </conditionalFormatting>
  <conditionalFormatting sqref="K10:N10">
    <cfRule type="cellIs" dxfId="203" priority="9" operator="lessThan">
      <formula>$J$10</formula>
    </cfRule>
    <cfRule type="cellIs" dxfId="202" priority="10" operator="greaterThan">
      <formula>$J$10</formula>
    </cfRule>
  </conditionalFormatting>
  <conditionalFormatting sqref="K11:N11">
    <cfRule type="cellIs" dxfId="201" priority="7" operator="lessThan">
      <formula>$J$11</formula>
    </cfRule>
    <cfRule type="cellIs" dxfId="200" priority="8" operator="greaterThan">
      <formula>$J$11</formula>
    </cfRule>
  </conditionalFormatting>
  <conditionalFormatting sqref="K12:N12">
    <cfRule type="cellIs" dxfId="199" priority="5" operator="lessThan">
      <formula>$J$12</formula>
    </cfRule>
    <cfRule type="cellIs" dxfId="198" priority="6" operator="greaterThan">
      <formula>$J$12</formula>
    </cfRule>
  </conditionalFormatting>
  <conditionalFormatting sqref="K13:N13">
    <cfRule type="cellIs" dxfId="197" priority="3" operator="lessThan">
      <formula>$J$13</formula>
    </cfRule>
    <cfRule type="cellIs" dxfId="196" priority="4" operator="greaterThan">
      <formula>$J$13</formula>
    </cfRule>
  </conditionalFormatting>
  <conditionalFormatting sqref="K14:N14">
    <cfRule type="cellIs" dxfId="195" priority="1" operator="lessThan">
      <formula>$J$14</formula>
    </cfRule>
    <cfRule type="cellIs" dxfId="194" priority="2" operator="greaterThan">
      <formula>$J$14</formula>
    </cfRule>
  </conditionalFormatting>
  <conditionalFormatting sqref="N5:N14">
    <cfRule type="cellIs" dxfId="193" priority="26" operator="lessThan">
      <formula>$AD5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T1688"/>
  <sheetViews>
    <sheetView topLeftCell="D1660" zoomScale="70" zoomScaleNormal="70" workbookViewId="0">
      <selection activeCell="F1691" sqref="F1691"/>
    </sheetView>
  </sheetViews>
  <sheetFormatPr defaultColWidth="9.77734375" defaultRowHeight="14.4"/>
  <cols>
    <col min="1" max="2" width="1.88671875" style="4" customWidth="1"/>
    <col min="3" max="3" width="23.6640625" style="5" customWidth="1"/>
    <col min="4" max="5" width="29.77734375" style="5" customWidth="1"/>
    <col min="6" max="6" width="30.33203125" style="5" customWidth="1"/>
    <col min="7" max="7" width="31.88671875" style="5" customWidth="1"/>
    <col min="8" max="8" width="30.77734375" style="4" customWidth="1"/>
    <col min="9" max="9" width="13.21875" style="4" customWidth="1"/>
    <col min="10" max="10" width="18" style="4" customWidth="1"/>
    <col min="11" max="13" width="15.44140625" style="4" customWidth="1"/>
    <col min="14" max="14" width="13.21875" style="4" customWidth="1"/>
    <col min="15" max="15" width="18.33203125" style="4" customWidth="1"/>
    <col min="16" max="16" width="17.33203125" style="4" customWidth="1"/>
    <col min="17" max="17" width="21.33203125" style="4" customWidth="1"/>
    <col min="18" max="18" width="16.109375" style="4" customWidth="1"/>
    <col min="19" max="19" width="13.21875" style="4" customWidth="1"/>
    <col min="20" max="20" width="17.5546875" style="4" customWidth="1"/>
    <col min="21" max="21" width="19.109375" style="4" customWidth="1"/>
    <col min="22" max="23" width="16.109375" style="4" customWidth="1"/>
    <col min="24" max="24" width="13.21875" style="4" customWidth="1"/>
    <col min="25" max="25" width="15.33203125" style="4" customWidth="1"/>
    <col min="26" max="26" width="14.77734375" style="4" customWidth="1"/>
    <col min="27" max="27" width="14.33203125" style="4" customWidth="1"/>
    <col min="28" max="28" width="15" style="4" customWidth="1"/>
    <col min="29" max="29" width="13.21875" style="4" customWidth="1"/>
    <col min="30" max="30" width="13.6640625" style="4" customWidth="1"/>
    <col min="31" max="31" width="15.109375" style="4" customWidth="1"/>
    <col min="32" max="32" width="15" style="4" customWidth="1"/>
    <col min="33" max="33" width="14.44140625" style="4" customWidth="1"/>
    <col min="34" max="34" width="13.21875" style="4" customWidth="1"/>
    <col min="35" max="35" width="16.5546875" style="4" customWidth="1"/>
    <col min="36" max="36" width="15.44140625" style="4" customWidth="1"/>
    <col min="37" max="37" width="14.33203125" style="4" customWidth="1"/>
    <col min="38" max="38" width="14.44140625" style="4" customWidth="1"/>
    <col min="39" max="39" width="13" style="4" customWidth="1"/>
    <col min="40" max="40" width="14.6640625" style="4" customWidth="1"/>
    <col min="41" max="43" width="16.109375" style="4" customWidth="1"/>
    <col min="44" max="44" width="13.21875" style="4" customWidth="1"/>
    <col min="45" max="45" width="14.21875" style="4" customWidth="1"/>
    <col min="46" max="46" width="15.109375" style="4" customWidth="1"/>
    <col min="47" max="47" width="15.77734375" style="4" customWidth="1"/>
    <col min="48" max="48" width="16.109375" style="4" customWidth="1"/>
    <col min="49" max="49" width="10" style="4" customWidth="1"/>
    <col min="50" max="50" width="2.33203125" style="6" customWidth="1"/>
    <col min="51" max="52" width="13.77734375" style="4" customWidth="1"/>
    <col min="53" max="53" width="15" style="4" customWidth="1"/>
    <col min="54" max="16384" width="9.77734375" style="4"/>
  </cols>
  <sheetData>
    <row r="1" spans="1:59" ht="12" customHeight="1">
      <c r="A1" s="7"/>
      <c r="B1" s="133" t="str">
        <f>"网管-雅加达网点质量达成 "&amp;TEXT(AZ2,"YYYY-MM-DD")&amp;"
"&amp;"NM - Pencapaian Kualitas DropPoint Jakarta "&amp;TEXT(AZ2,"YYYY-MM-DD")</f>
        <v>网管-雅加达网点质量达成 2026-08-06
NM - Pencapaian Kualitas DropPoint Jakarta 2026-08-06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8"/>
      <c r="AZ1" s="4" t="s">
        <v>1728</v>
      </c>
    </row>
    <row r="2" spans="1:59" ht="61.5" customHeight="1">
      <c r="A2" s="7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8"/>
      <c r="AZ2" s="9">
        <v>46240</v>
      </c>
      <c r="BA2" s="9">
        <f>EOMONTH(AZ2,-1)+1</f>
        <v>46235</v>
      </c>
      <c r="BB2" s="4" t="s">
        <v>1729</v>
      </c>
      <c r="BE2" s="4">
        <f>COUNTIFS('[1]Raw Abnsensi (2)'!P:P,H:H,'[1]Raw Abnsensi (2)'!Q:Q,1,'[1]Raw Abnsensi (2)'!O:O,"&lt;="&amp;#REF!)</f>
        <v>0</v>
      </c>
      <c r="BF2" s="4">
        <f>COUNTIFS('[1]Raw Abnsensi (2)'!P:P,H:H,'[1]Raw Abnsensi (2)'!Q:Q,1)</f>
        <v>0</v>
      </c>
      <c r="BG2" s="4" t="e">
        <f>BE2/BF2</f>
        <v>#DIV/0!</v>
      </c>
    </row>
    <row r="3" spans="1:59" ht="36" customHeight="1">
      <c r="A3" s="7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0"/>
      <c r="AX3" s="8"/>
      <c r="AZ3" s="9">
        <f>AZ2-2</f>
        <v>46238</v>
      </c>
      <c r="BA3" s="9">
        <f>EOMONTH(AZ3,-1)+1</f>
        <v>46235</v>
      </c>
      <c r="BB3" s="4" t="s">
        <v>1730</v>
      </c>
    </row>
    <row r="4" spans="1:59" ht="249" hidden="1" customHeight="1">
      <c r="A4" s="7"/>
      <c r="B4" s="10"/>
      <c r="C4" s="163" t="s">
        <v>1731</v>
      </c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5"/>
      <c r="S4" s="12"/>
      <c r="T4" s="164" t="s">
        <v>1732</v>
      </c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5"/>
      <c r="AW4" s="10"/>
      <c r="AX4" s="8"/>
    </row>
    <row r="5" spans="1:59" ht="9" customHeight="1">
      <c r="A5" s="7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0"/>
      <c r="AX5" s="8"/>
    </row>
    <row r="6" spans="1:59" ht="57" customHeight="1">
      <c r="A6" s="7"/>
      <c r="B6" s="10"/>
      <c r="C6" s="148" t="s">
        <v>40</v>
      </c>
      <c r="D6" s="151" t="s">
        <v>41</v>
      </c>
      <c r="E6" s="148" t="s">
        <v>42</v>
      </c>
      <c r="F6" s="153" t="s">
        <v>43</v>
      </c>
      <c r="G6" s="14"/>
      <c r="H6" s="156" t="s">
        <v>41</v>
      </c>
      <c r="I6" s="166" t="s">
        <v>44</v>
      </c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7"/>
      <c r="U6" s="167"/>
      <c r="V6" s="166"/>
      <c r="W6" s="168"/>
      <c r="X6" s="169" t="s">
        <v>45</v>
      </c>
      <c r="Y6" s="169"/>
      <c r="Z6" s="169"/>
      <c r="AA6" s="169"/>
      <c r="AB6" s="170"/>
      <c r="AC6" s="171" t="s">
        <v>46</v>
      </c>
      <c r="AD6" s="166"/>
      <c r="AE6" s="166"/>
      <c r="AF6" s="166"/>
      <c r="AG6" s="166"/>
      <c r="AH6" s="166"/>
      <c r="AI6" s="166"/>
      <c r="AJ6" s="166"/>
      <c r="AK6" s="166"/>
      <c r="AL6" s="168"/>
      <c r="AM6" s="143"/>
      <c r="AN6" s="143"/>
      <c r="AO6" s="143"/>
      <c r="AP6" s="143"/>
      <c r="AQ6" s="143"/>
      <c r="AR6" s="143"/>
      <c r="AS6" s="143"/>
      <c r="AT6" s="143"/>
      <c r="AU6" s="143"/>
      <c r="AV6" s="144"/>
      <c r="AW6" s="10"/>
      <c r="AX6" s="8"/>
    </row>
    <row r="7" spans="1:59" ht="54.45" customHeight="1">
      <c r="A7" s="7"/>
      <c r="B7" s="10"/>
      <c r="C7" s="149"/>
      <c r="D7" s="151"/>
      <c r="E7" s="149"/>
      <c r="F7" s="154"/>
      <c r="G7" s="15"/>
      <c r="H7" s="157"/>
      <c r="I7" s="145" t="s">
        <v>47</v>
      </c>
      <c r="J7" s="143"/>
      <c r="K7" s="143"/>
      <c r="L7" s="143"/>
      <c r="M7" s="144"/>
      <c r="N7" s="145" t="s">
        <v>48</v>
      </c>
      <c r="O7" s="143"/>
      <c r="P7" s="143"/>
      <c r="Q7" s="143"/>
      <c r="R7" s="144"/>
      <c r="S7" s="159" t="s">
        <v>49</v>
      </c>
      <c r="T7" s="160"/>
      <c r="U7" s="160"/>
      <c r="V7" s="160"/>
      <c r="W7" s="161"/>
      <c r="X7" s="162" t="s">
        <v>50</v>
      </c>
      <c r="Y7" s="162"/>
      <c r="Z7" s="162"/>
      <c r="AA7" s="162"/>
      <c r="AB7" s="162"/>
      <c r="AC7" s="142" t="s">
        <v>51</v>
      </c>
      <c r="AD7" s="142"/>
      <c r="AE7" s="142"/>
      <c r="AF7" s="142"/>
      <c r="AG7" s="142"/>
      <c r="AH7" s="142" t="s">
        <v>52</v>
      </c>
      <c r="AI7" s="142"/>
      <c r="AJ7" s="142"/>
      <c r="AK7" s="142"/>
      <c r="AL7" s="142"/>
      <c r="AM7" s="143" t="s">
        <v>53</v>
      </c>
      <c r="AN7" s="143"/>
      <c r="AO7" s="143"/>
      <c r="AP7" s="143"/>
      <c r="AQ7" s="144"/>
      <c r="AR7" s="145" t="s">
        <v>54</v>
      </c>
      <c r="AS7" s="143"/>
      <c r="AT7" s="143"/>
      <c r="AU7" s="143"/>
      <c r="AV7" s="144"/>
      <c r="AW7" s="10"/>
      <c r="AX7" s="8"/>
      <c r="AZ7" s="16">
        <f>AZ2-1</f>
        <v>46239</v>
      </c>
    </row>
    <row r="8" spans="1:59" ht="56.25" customHeight="1">
      <c r="A8" s="7"/>
      <c r="B8" s="10"/>
      <c r="C8" s="150"/>
      <c r="D8" s="152"/>
      <c r="E8" s="150"/>
      <c r="F8" s="155"/>
      <c r="G8" s="18"/>
      <c r="H8" s="158"/>
      <c r="I8" s="13" t="s">
        <v>7</v>
      </c>
      <c r="J8" s="19">
        <f>$AZ$2</f>
        <v>46240</v>
      </c>
      <c r="K8" s="20">
        <f>AZ7</f>
        <v>46239</v>
      </c>
      <c r="L8" s="20">
        <f>AZ3</f>
        <v>46238</v>
      </c>
      <c r="M8" s="13" t="s">
        <v>55</v>
      </c>
      <c r="N8" s="13" t="s">
        <v>7</v>
      </c>
      <c r="O8" s="19">
        <f>$AZ$2</f>
        <v>46240</v>
      </c>
      <c r="P8" s="20">
        <f>AZ7</f>
        <v>46239</v>
      </c>
      <c r="Q8" s="20">
        <f>AZ3</f>
        <v>46238</v>
      </c>
      <c r="R8" s="13" t="s">
        <v>55</v>
      </c>
      <c r="S8" s="13" t="s">
        <v>7</v>
      </c>
      <c r="T8" s="19">
        <f>$AZ$2</f>
        <v>46240</v>
      </c>
      <c r="U8" s="20">
        <f>AZ7</f>
        <v>46239</v>
      </c>
      <c r="V8" s="20">
        <f>AZ3</f>
        <v>46238</v>
      </c>
      <c r="W8" s="13" t="s">
        <v>55</v>
      </c>
      <c r="X8" s="13" t="s">
        <v>7</v>
      </c>
      <c r="Y8" s="19">
        <f>$AZ$2</f>
        <v>46240</v>
      </c>
      <c r="Z8" s="20">
        <f>AZ7</f>
        <v>46239</v>
      </c>
      <c r="AA8" s="20">
        <f>AZ3</f>
        <v>46238</v>
      </c>
      <c r="AB8" s="13" t="s">
        <v>55</v>
      </c>
      <c r="AC8" s="13" t="s">
        <v>7</v>
      </c>
      <c r="AD8" s="19">
        <f>$AZ$2</f>
        <v>46240</v>
      </c>
      <c r="AE8" s="20">
        <f>AZ7</f>
        <v>46239</v>
      </c>
      <c r="AF8" s="20">
        <f>AZ3</f>
        <v>46238</v>
      </c>
      <c r="AG8" s="13" t="s">
        <v>55</v>
      </c>
      <c r="AH8" s="13" t="s">
        <v>7</v>
      </c>
      <c r="AI8" s="19">
        <f>$AZ$2</f>
        <v>46240</v>
      </c>
      <c r="AJ8" s="20">
        <f>AZ7</f>
        <v>46239</v>
      </c>
      <c r="AK8" s="20">
        <f>AZ3</f>
        <v>46238</v>
      </c>
      <c r="AL8" s="13" t="s">
        <v>55</v>
      </c>
      <c r="AM8" s="21" t="s">
        <v>7</v>
      </c>
      <c r="AN8" s="19">
        <f>$AZ$2</f>
        <v>46240</v>
      </c>
      <c r="AO8" s="20">
        <f>AZ7</f>
        <v>46239</v>
      </c>
      <c r="AP8" s="20">
        <f>AZ3</f>
        <v>46238</v>
      </c>
      <c r="AQ8" s="13" t="s">
        <v>55</v>
      </c>
      <c r="AR8" s="13" t="s">
        <v>39</v>
      </c>
      <c r="AS8" s="19">
        <f>$AZ$2</f>
        <v>46240</v>
      </c>
      <c r="AT8" s="20">
        <f>AZ7</f>
        <v>46239</v>
      </c>
      <c r="AU8" s="20">
        <f>AZ3</f>
        <v>46238</v>
      </c>
      <c r="AV8" s="13" t="s">
        <v>55</v>
      </c>
      <c r="AW8" s="10"/>
      <c r="AX8" s="8"/>
    </row>
    <row r="9" spans="1:59">
      <c r="A9" s="7"/>
      <c r="B9" s="10"/>
      <c r="C9" s="22" t="s">
        <v>56</v>
      </c>
      <c r="D9" s="23" t="s">
        <v>29</v>
      </c>
      <c r="E9" s="24" t="s">
        <v>57</v>
      </c>
      <c r="F9" s="24" t="s">
        <v>57</v>
      </c>
      <c r="G9" s="24" t="s">
        <v>57</v>
      </c>
      <c r="H9" s="24" t="s">
        <v>57</v>
      </c>
      <c r="I9" s="25">
        <v>0.9</v>
      </c>
      <c r="J9" s="26">
        <v>0.88888888888888895</v>
      </c>
      <c r="K9" s="26">
        <v>0.90769230769230802</v>
      </c>
      <c r="L9" s="27">
        <v>0.88333333333333297</v>
      </c>
      <c r="M9" s="27">
        <v>0.87463556851311997</v>
      </c>
      <c r="N9" s="28">
        <v>0.9</v>
      </c>
      <c r="O9" s="29">
        <v>0.91235151654941804</v>
      </c>
      <c r="P9" s="26">
        <v>0.98271889400921697</v>
      </c>
      <c r="Q9" s="26">
        <v>0.50919833489996003</v>
      </c>
      <c r="R9" s="26">
        <v>0.88682091486604198</v>
      </c>
      <c r="S9" s="28">
        <v>0.9</v>
      </c>
      <c r="T9" s="26">
        <v>0.71387383231461199</v>
      </c>
      <c r="U9" s="26">
        <v>0.66426651305683604</v>
      </c>
      <c r="V9" s="26">
        <v>0.52893782731301198</v>
      </c>
      <c r="W9" s="26">
        <v>0.64172350054178096</v>
      </c>
      <c r="X9" s="28">
        <v>0.92</v>
      </c>
      <c r="Y9" s="28">
        <v>0.94356372859860504</v>
      </c>
      <c r="Z9" s="28">
        <v>0.94737827715355805</v>
      </c>
      <c r="AA9" s="28">
        <v>0.90787694388100104</v>
      </c>
      <c r="AB9" s="28">
        <v>0.92984761837104402</v>
      </c>
      <c r="AC9" s="28">
        <v>0.92</v>
      </c>
      <c r="AD9" s="26">
        <v>0.98861069729443996</v>
      </c>
      <c r="AE9" s="26">
        <v>0.98978717326096299</v>
      </c>
      <c r="AF9" s="26">
        <v>0.98928344958782499</v>
      </c>
      <c r="AG9" s="26">
        <v>0.97804828092103402</v>
      </c>
      <c r="AH9" s="28">
        <v>0.92</v>
      </c>
      <c r="AI9" s="26">
        <v>0.94927374301676004</v>
      </c>
      <c r="AJ9" s="26">
        <v>0.96187999492579002</v>
      </c>
      <c r="AK9" s="26">
        <v>0.93318368873924396</v>
      </c>
      <c r="AL9" s="26">
        <v>0.94637496347068395</v>
      </c>
      <c r="AM9" s="25">
        <v>0.99</v>
      </c>
      <c r="AN9" s="30">
        <v>1</v>
      </c>
      <c r="AO9" s="30">
        <v>1</v>
      </c>
      <c r="AP9" s="30">
        <v>1</v>
      </c>
      <c r="AQ9" s="31">
        <v>1</v>
      </c>
      <c r="AR9" s="32">
        <v>8.7218210012826203E-2</v>
      </c>
      <c r="AS9" s="33">
        <v>7.4999999999999997E-2</v>
      </c>
      <c r="AT9" s="34">
        <v>2.7027027027027001E-2</v>
      </c>
      <c r="AU9" s="34">
        <v>6.6666666666666693E-2</v>
      </c>
      <c r="AV9" s="34">
        <v>5.0228310502283102E-2</v>
      </c>
      <c r="AW9" s="10"/>
      <c r="AX9" s="8"/>
    </row>
    <row r="10" spans="1:59">
      <c r="A10" s="7"/>
      <c r="B10" s="10"/>
      <c r="C10" s="22" t="s">
        <v>56</v>
      </c>
      <c r="D10" s="23" t="s">
        <v>29</v>
      </c>
      <c r="E10" s="24" t="s">
        <v>58</v>
      </c>
      <c r="F10" s="24" t="s">
        <v>58</v>
      </c>
      <c r="G10" s="24" t="s">
        <v>58</v>
      </c>
      <c r="H10" s="24" t="s">
        <v>58</v>
      </c>
      <c r="I10" s="25">
        <v>0.9</v>
      </c>
      <c r="J10" s="26">
        <v>0.83898305084745795</v>
      </c>
      <c r="K10" s="26">
        <v>0.86486486486486502</v>
      </c>
      <c r="L10" s="27">
        <v>0.76106194690265505</v>
      </c>
      <c r="M10" s="26">
        <v>0.80093312597200605</v>
      </c>
      <c r="N10" s="28">
        <v>0.9</v>
      </c>
      <c r="O10" s="26">
        <v>0.97596795727636898</v>
      </c>
      <c r="P10" s="26">
        <v>0.97700679158824999</v>
      </c>
      <c r="Q10" s="26">
        <v>0.97407753386268103</v>
      </c>
      <c r="R10" s="26">
        <v>0.97633146522857805</v>
      </c>
      <c r="S10" s="28">
        <v>0.9</v>
      </c>
      <c r="T10" s="26">
        <v>0.76416173946214005</v>
      </c>
      <c r="U10" s="26">
        <v>0.747074707470747</v>
      </c>
      <c r="V10" s="26">
        <v>0.73925735637552503</v>
      </c>
      <c r="W10" s="26">
        <v>0.74190194212399996</v>
      </c>
      <c r="X10" s="28">
        <v>0.92</v>
      </c>
      <c r="Y10" s="28">
        <v>0.94182389937106903</v>
      </c>
      <c r="Z10" s="28">
        <v>0.95308909017169097</v>
      </c>
      <c r="AA10" s="28">
        <v>0.94881118881118898</v>
      </c>
      <c r="AB10" s="28">
        <v>0.94427849888665605</v>
      </c>
      <c r="AC10" s="28">
        <v>0.92</v>
      </c>
      <c r="AD10" s="26">
        <v>0.99809386430374503</v>
      </c>
      <c r="AE10" s="26">
        <v>0.98966051320691495</v>
      </c>
      <c r="AF10" s="26">
        <v>0.98432871990952697</v>
      </c>
      <c r="AG10" s="26">
        <v>0.95303716670267702</v>
      </c>
      <c r="AH10" s="28">
        <v>0.92</v>
      </c>
      <c r="AI10" s="26">
        <v>0.948189910979228</v>
      </c>
      <c r="AJ10" s="26">
        <v>0.95907863221729595</v>
      </c>
      <c r="AK10" s="26">
        <v>0.95997454661151804</v>
      </c>
      <c r="AL10" s="26">
        <v>0.95114003034382499</v>
      </c>
      <c r="AM10" s="25">
        <v>0.99</v>
      </c>
      <c r="AN10" s="30">
        <v>1</v>
      </c>
      <c r="AO10" s="30">
        <v>1</v>
      </c>
      <c r="AP10" s="30">
        <v>1</v>
      </c>
      <c r="AQ10" s="31">
        <v>1</v>
      </c>
      <c r="AR10" s="32">
        <v>8.7218210012826203E-2</v>
      </c>
      <c r="AS10" s="33">
        <v>0.11111111111111099</v>
      </c>
      <c r="AT10" s="34">
        <v>0.107142857142857</v>
      </c>
      <c r="AU10" s="34">
        <v>6.7796610169491497E-2</v>
      </c>
      <c r="AV10" s="34">
        <v>8.2446808510638306E-2</v>
      </c>
      <c r="AW10" s="10"/>
      <c r="AX10" s="8"/>
    </row>
    <row r="11" spans="1:59">
      <c r="A11" s="7"/>
      <c r="B11" s="10"/>
      <c r="C11" s="22" t="s">
        <v>56</v>
      </c>
      <c r="D11" s="23" t="s">
        <v>29</v>
      </c>
      <c r="E11" s="24" t="s">
        <v>59</v>
      </c>
      <c r="F11" s="24" t="s">
        <v>59</v>
      </c>
      <c r="G11" s="24" t="s">
        <v>59</v>
      </c>
      <c r="H11" s="24" t="s">
        <v>59</v>
      </c>
      <c r="I11" s="25">
        <v>0.9</v>
      </c>
      <c r="J11" s="26">
        <v>0.96969696969696995</v>
      </c>
      <c r="K11" s="26">
        <v>1</v>
      </c>
      <c r="L11" s="27">
        <v>0.96875</v>
      </c>
      <c r="M11" s="26">
        <v>0.97837837837837804</v>
      </c>
      <c r="N11" s="28">
        <v>0.9</v>
      </c>
      <c r="O11" s="26">
        <v>0.97422680412371099</v>
      </c>
      <c r="P11" s="26">
        <v>0.96797437950360299</v>
      </c>
      <c r="Q11" s="26">
        <v>0.986786786786787</v>
      </c>
      <c r="R11" s="26">
        <v>0.98117942283563397</v>
      </c>
      <c r="S11" s="28">
        <v>0.9</v>
      </c>
      <c r="T11" s="26">
        <v>0.90051546391752602</v>
      </c>
      <c r="U11" s="26">
        <v>0.88510808646917505</v>
      </c>
      <c r="V11" s="26">
        <v>0.88528528528528505</v>
      </c>
      <c r="W11" s="26">
        <v>0.88922746011830101</v>
      </c>
      <c r="X11" s="28">
        <v>0.92</v>
      </c>
      <c r="Y11" s="28">
        <v>0.961335676625659</v>
      </c>
      <c r="Z11" s="28">
        <v>0.95645530939648604</v>
      </c>
      <c r="AA11" s="28">
        <v>0.94010767160161501</v>
      </c>
      <c r="AB11" s="28">
        <v>0.95789473684210502</v>
      </c>
      <c r="AC11" s="28">
        <v>0.92</v>
      </c>
      <c r="AD11" s="26">
        <v>0.82351567971364104</v>
      </c>
      <c r="AE11" s="26">
        <v>0.998104864181933</v>
      </c>
      <c r="AF11" s="26">
        <v>0.90578727252175895</v>
      </c>
      <c r="AG11" s="26">
        <v>0.85994812893664296</v>
      </c>
      <c r="AH11" s="28">
        <v>0.92</v>
      </c>
      <c r="AI11" s="26">
        <v>0.96198830409356695</v>
      </c>
      <c r="AJ11" s="26">
        <v>0.95878183250196902</v>
      </c>
      <c r="AK11" s="26">
        <v>0.95179194418014601</v>
      </c>
      <c r="AL11" s="26">
        <v>0.96497044035582102</v>
      </c>
      <c r="AM11" s="25">
        <v>0.99</v>
      </c>
      <c r="AN11" s="30">
        <v>1</v>
      </c>
      <c r="AO11" s="30">
        <v>1</v>
      </c>
      <c r="AP11" s="30">
        <v>1</v>
      </c>
      <c r="AQ11" s="30">
        <v>1</v>
      </c>
      <c r="AR11" s="32">
        <v>8.7218210012826203E-2</v>
      </c>
      <c r="AS11" s="34">
        <v>0</v>
      </c>
      <c r="AT11" s="34">
        <v>0</v>
      </c>
      <c r="AU11" s="34">
        <v>0</v>
      </c>
      <c r="AV11" s="34">
        <v>3.2258064516128997E-2</v>
      </c>
      <c r="AW11" s="10"/>
      <c r="AX11" s="8"/>
    </row>
    <row r="12" spans="1:59">
      <c r="A12" s="7"/>
      <c r="B12" s="10"/>
      <c r="C12" s="22" t="s">
        <v>56</v>
      </c>
      <c r="D12" s="23" t="s">
        <v>29</v>
      </c>
      <c r="E12" s="24" t="s">
        <v>60</v>
      </c>
      <c r="F12" s="24" t="s">
        <v>60</v>
      </c>
      <c r="G12" s="24" t="s">
        <v>60</v>
      </c>
      <c r="H12" s="24" t="s">
        <v>60</v>
      </c>
      <c r="I12" s="25">
        <v>0.9</v>
      </c>
      <c r="J12" s="26">
        <v>0.91228070175438603</v>
      </c>
      <c r="K12" s="26">
        <v>0.93220338983050799</v>
      </c>
      <c r="L12" s="27">
        <v>0.89430894308943099</v>
      </c>
      <c r="M12" s="26">
        <v>0.89865871833084898</v>
      </c>
      <c r="N12" s="28">
        <v>0.9</v>
      </c>
      <c r="O12" s="26">
        <v>0.89050712489522199</v>
      </c>
      <c r="P12" s="26">
        <v>0.93754214430209004</v>
      </c>
      <c r="Q12" s="26">
        <v>0.90162782527228003</v>
      </c>
      <c r="R12" s="26">
        <v>0.89455267809954297</v>
      </c>
      <c r="S12" s="28">
        <v>0.9</v>
      </c>
      <c r="T12" s="26">
        <v>0.77787091366303396</v>
      </c>
      <c r="U12" s="26">
        <v>0.75160148347943401</v>
      </c>
      <c r="V12" s="26">
        <v>0.83089354725377695</v>
      </c>
      <c r="W12" s="26">
        <v>0.76929525614623395</v>
      </c>
      <c r="X12" s="28">
        <v>0.92</v>
      </c>
      <c r="Y12" s="28">
        <v>0.95018701122067295</v>
      </c>
      <c r="Z12" s="28">
        <v>0.97633696166587802</v>
      </c>
      <c r="AA12" s="28">
        <v>0.97501546072974599</v>
      </c>
      <c r="AB12" s="28">
        <v>0.96865710410112804</v>
      </c>
      <c r="AC12" s="28">
        <v>0.92</v>
      </c>
      <c r="AD12" s="26">
        <v>0.85627376425855495</v>
      </c>
      <c r="AE12" s="26">
        <v>0.93397046046915699</v>
      </c>
      <c r="AF12" s="26">
        <v>0.91926182237600895</v>
      </c>
      <c r="AG12" s="26">
        <v>0.88845342176665698</v>
      </c>
      <c r="AH12" s="28">
        <v>0.92</v>
      </c>
      <c r="AI12" s="26">
        <v>0.95332555425904297</v>
      </c>
      <c r="AJ12" s="26">
        <v>0.97967702955069802</v>
      </c>
      <c r="AK12" s="26">
        <v>0.97960779595765202</v>
      </c>
      <c r="AL12" s="26">
        <v>0.97245554463408101</v>
      </c>
      <c r="AM12" s="25">
        <v>0.99</v>
      </c>
      <c r="AN12" s="30">
        <v>1</v>
      </c>
      <c r="AO12" s="30">
        <v>1</v>
      </c>
      <c r="AP12" s="30">
        <v>1</v>
      </c>
      <c r="AQ12" s="30">
        <v>1</v>
      </c>
      <c r="AR12" s="32">
        <v>8.7218210012826203E-2</v>
      </c>
      <c r="AS12" s="34">
        <v>9.2592592592592601E-2</v>
      </c>
      <c r="AT12" s="34">
        <v>0.06</v>
      </c>
      <c r="AU12" s="34">
        <v>1.85185185185185E-2</v>
      </c>
      <c r="AV12" s="34">
        <v>7.1428571428571397E-2</v>
      </c>
      <c r="AW12" s="10"/>
      <c r="AX12" s="8"/>
    </row>
    <row r="13" spans="1:59">
      <c r="A13" s="7"/>
      <c r="B13" s="10"/>
      <c r="C13" s="22" t="s">
        <v>56</v>
      </c>
      <c r="D13" s="23" t="s">
        <v>29</v>
      </c>
      <c r="E13" s="24" t="s">
        <v>61</v>
      </c>
      <c r="F13" s="24" t="s">
        <v>61</v>
      </c>
      <c r="G13" s="24" t="s">
        <v>61</v>
      </c>
      <c r="H13" s="24" t="s">
        <v>61</v>
      </c>
      <c r="I13" s="25">
        <v>0.9</v>
      </c>
      <c r="J13" s="26">
        <v>0.85454545454545405</v>
      </c>
      <c r="K13" s="26">
        <v>0.875</v>
      </c>
      <c r="L13" s="27">
        <v>0.83333333333333304</v>
      </c>
      <c r="M13" s="26">
        <v>0.85436893203883502</v>
      </c>
      <c r="N13" s="28">
        <v>0.9</v>
      </c>
      <c r="O13" s="26">
        <v>0.93097320940404604</v>
      </c>
      <c r="P13" s="26">
        <v>0.848888387315201</v>
      </c>
      <c r="Q13" s="26">
        <v>0.94528332521513203</v>
      </c>
      <c r="R13" s="26">
        <v>0.90583005467273003</v>
      </c>
      <c r="S13" s="28">
        <v>0.9</v>
      </c>
      <c r="T13" s="26">
        <v>0.91757791142700895</v>
      </c>
      <c r="U13" s="26">
        <v>0.90779821690554097</v>
      </c>
      <c r="V13" s="26">
        <v>0.93700276018834205</v>
      </c>
      <c r="W13" s="26">
        <v>0.90381176230136395</v>
      </c>
      <c r="X13" s="28">
        <v>0.92</v>
      </c>
      <c r="Y13" s="28">
        <v>0.92913593256059002</v>
      </c>
      <c r="Z13" s="28">
        <v>0.92950513538748802</v>
      </c>
      <c r="AA13" s="28">
        <v>0.94342869434286902</v>
      </c>
      <c r="AB13" s="28">
        <v>0.92027145359019302</v>
      </c>
      <c r="AC13" s="28">
        <v>0.92</v>
      </c>
      <c r="AD13" s="26">
        <v>0.98916226313486599</v>
      </c>
      <c r="AE13" s="26">
        <v>0.98874440364203398</v>
      </c>
      <c r="AF13" s="26">
        <v>0.94000424373165503</v>
      </c>
      <c r="AG13" s="26">
        <v>0.97039984848028304</v>
      </c>
      <c r="AH13" s="28">
        <v>0.92</v>
      </c>
      <c r="AI13" s="26">
        <v>0.95663127586827401</v>
      </c>
      <c r="AJ13" s="26">
        <v>0.96934661900053198</v>
      </c>
      <c r="AK13" s="26">
        <v>0.96799556007769905</v>
      </c>
      <c r="AL13" s="26">
        <v>0.94851529863384898</v>
      </c>
      <c r="AM13" s="25">
        <v>0.99</v>
      </c>
      <c r="AN13" s="30">
        <v>1</v>
      </c>
      <c r="AO13" s="30">
        <v>1</v>
      </c>
      <c r="AP13" s="30">
        <v>1</v>
      </c>
      <c r="AQ13" s="30">
        <v>1</v>
      </c>
      <c r="AR13" s="32">
        <v>8.7218210012826203E-2</v>
      </c>
      <c r="AS13" s="34">
        <v>4.1666666666666699E-2</v>
      </c>
      <c r="AT13" s="34">
        <v>2.8571428571428598E-2</v>
      </c>
      <c r="AU13" s="34">
        <v>9.6774193548387094E-2</v>
      </c>
      <c r="AV13" s="34">
        <v>4.1860465116279097E-2</v>
      </c>
      <c r="AW13" s="10"/>
      <c r="AX13" s="8"/>
    </row>
    <row r="14" spans="1:59">
      <c r="A14" s="7"/>
      <c r="B14" s="10"/>
      <c r="C14" s="22" t="s">
        <v>56</v>
      </c>
      <c r="D14" s="23" t="s">
        <v>29</v>
      </c>
      <c r="E14" s="24" t="s">
        <v>62</v>
      </c>
      <c r="F14" s="24" t="s">
        <v>62</v>
      </c>
      <c r="G14" s="24" t="s">
        <v>62</v>
      </c>
      <c r="H14" s="24" t="s">
        <v>62</v>
      </c>
      <c r="I14" s="25">
        <v>0.9</v>
      </c>
      <c r="J14" s="26">
        <v>0.87804878048780499</v>
      </c>
      <c r="K14" s="26">
        <v>0.90123456790123502</v>
      </c>
      <c r="L14" s="27">
        <v>0.90789473684210498</v>
      </c>
      <c r="M14" s="26">
        <v>0.86899563318777295</v>
      </c>
      <c r="N14" s="28">
        <v>0.9</v>
      </c>
      <c r="O14" s="26">
        <v>0.81414552417424602</v>
      </c>
      <c r="P14" s="26">
        <v>0.850582524271845</v>
      </c>
      <c r="Q14" s="26">
        <v>0.906268393172454</v>
      </c>
      <c r="R14" s="26">
        <v>0.83133378874562402</v>
      </c>
      <c r="S14" s="28">
        <v>0.9</v>
      </c>
      <c r="T14" s="26">
        <v>0.780397319291527</v>
      </c>
      <c r="U14" s="26">
        <v>0.72330097087378598</v>
      </c>
      <c r="V14" s="26">
        <v>0.86183048852265998</v>
      </c>
      <c r="W14" s="26">
        <v>0.76547690205789398</v>
      </c>
      <c r="X14" s="28">
        <v>0.92</v>
      </c>
      <c r="Y14" s="28">
        <v>0.96868841690387597</v>
      </c>
      <c r="Z14" s="28">
        <v>0.96821218870216597</v>
      </c>
      <c r="AA14" s="28">
        <v>0.97195077813970299</v>
      </c>
      <c r="AB14" s="28">
        <v>0.97447537132162598</v>
      </c>
      <c r="AC14" s="28">
        <v>0.92</v>
      </c>
      <c r="AD14" s="26">
        <v>0.96465898346663903</v>
      </c>
      <c r="AE14" s="26">
        <v>0.95804682383758999</v>
      </c>
      <c r="AF14" s="26">
        <v>0.93867924528301905</v>
      </c>
      <c r="AG14" s="26">
        <v>0.926434517684117</v>
      </c>
      <c r="AH14" s="28">
        <v>0.92</v>
      </c>
      <c r="AI14" s="26">
        <v>0.96559189669836898</v>
      </c>
      <c r="AJ14" s="26">
        <v>0.96930745015739805</v>
      </c>
      <c r="AK14" s="26">
        <v>0.97387847813742201</v>
      </c>
      <c r="AL14" s="26">
        <v>0.97348205975913005</v>
      </c>
      <c r="AM14" s="25">
        <v>0.99</v>
      </c>
      <c r="AN14" s="30">
        <v>1</v>
      </c>
      <c r="AO14" s="30">
        <v>1</v>
      </c>
      <c r="AP14" s="30">
        <v>1</v>
      </c>
      <c r="AQ14" s="30">
        <v>1</v>
      </c>
      <c r="AR14" s="32">
        <v>8.7218210012826203E-2</v>
      </c>
      <c r="AS14" s="34">
        <v>8.3333333333333301E-2</v>
      </c>
      <c r="AT14" s="34">
        <v>6.5217391304347797E-2</v>
      </c>
      <c r="AU14" s="34">
        <v>6.6666666666666693E-2</v>
      </c>
      <c r="AV14" s="34">
        <v>7.7669902912621394E-2</v>
      </c>
      <c r="AW14" s="10"/>
      <c r="AX14" s="8"/>
    </row>
    <row r="15" spans="1:59">
      <c r="A15" s="7"/>
      <c r="B15" s="10"/>
      <c r="C15" s="22" t="s">
        <v>56</v>
      </c>
      <c r="D15" s="23" t="s">
        <v>29</v>
      </c>
      <c r="E15" s="35" t="s">
        <v>63</v>
      </c>
      <c r="F15" s="35" t="s">
        <v>63</v>
      </c>
      <c r="G15" s="35" t="s">
        <v>63</v>
      </c>
      <c r="H15" s="35" t="s">
        <v>63</v>
      </c>
      <c r="I15" s="25">
        <v>0.9</v>
      </c>
      <c r="J15" s="26">
        <v>1</v>
      </c>
      <c r="K15" s="26">
        <v>0.992307692307692</v>
      </c>
      <c r="L15" s="27">
        <v>1</v>
      </c>
      <c r="M15" s="26">
        <v>0.99047619047619095</v>
      </c>
      <c r="N15" s="28">
        <v>0.9</v>
      </c>
      <c r="O15" s="26">
        <v>0.98016137389888203</v>
      </c>
      <c r="P15" s="26">
        <v>0.94007758877946901</v>
      </c>
      <c r="Q15" s="26">
        <v>0.97811158798283304</v>
      </c>
      <c r="R15" s="26">
        <v>0.97426986566864904</v>
      </c>
      <c r="S15" s="28">
        <v>0.9</v>
      </c>
      <c r="T15" s="26">
        <v>0.91043008364793798</v>
      </c>
      <c r="U15" s="26">
        <v>0.86606982990152204</v>
      </c>
      <c r="V15" s="26">
        <v>0.91596566523605105</v>
      </c>
      <c r="W15" s="26">
        <v>0.90143687763149105</v>
      </c>
      <c r="X15" s="28">
        <v>0.92</v>
      </c>
      <c r="Y15" s="28">
        <v>0.94968160819078495</v>
      </c>
      <c r="Z15" s="28">
        <v>0.95924871940808198</v>
      </c>
      <c r="AA15" s="28">
        <v>0.95598251499440901</v>
      </c>
      <c r="AB15" s="28">
        <v>0.95650044713196802</v>
      </c>
      <c r="AC15" s="28">
        <v>0.92</v>
      </c>
      <c r="AD15" s="26">
        <v>0.99784513046329704</v>
      </c>
      <c r="AE15" s="26">
        <v>0.99719267937159195</v>
      </c>
      <c r="AF15" s="26">
        <v>0.99465329184747697</v>
      </c>
      <c r="AG15" s="26">
        <v>0.99664867517940703</v>
      </c>
      <c r="AH15" s="28">
        <v>0.92</v>
      </c>
      <c r="AI15" s="26">
        <v>0.96249825735396599</v>
      </c>
      <c r="AJ15" s="26">
        <v>0.96899467585342902</v>
      </c>
      <c r="AK15" s="26">
        <v>0.96975337366216796</v>
      </c>
      <c r="AL15" s="26">
        <v>0.96970343853656904</v>
      </c>
      <c r="AM15" s="25">
        <v>0.99</v>
      </c>
      <c r="AN15" s="30">
        <v>1</v>
      </c>
      <c r="AO15" s="30">
        <v>1</v>
      </c>
      <c r="AP15" s="30">
        <v>1</v>
      </c>
      <c r="AQ15" s="30">
        <v>1</v>
      </c>
      <c r="AR15" s="32">
        <v>8.7218210012826203E-2</v>
      </c>
      <c r="AS15" s="34">
        <v>0</v>
      </c>
      <c r="AT15" s="34">
        <v>2.8368794326241099E-2</v>
      </c>
      <c r="AU15" s="34">
        <v>3.8961038961039002E-2</v>
      </c>
      <c r="AV15" s="34">
        <v>1.5435501653803699E-2</v>
      </c>
      <c r="AW15" s="10"/>
      <c r="AX15" s="8"/>
    </row>
    <row r="16" spans="1:59">
      <c r="A16" s="7"/>
      <c r="B16" s="10"/>
      <c r="C16" s="22" t="s">
        <v>56</v>
      </c>
      <c r="D16" s="23" t="s">
        <v>29</v>
      </c>
      <c r="E16" s="35" t="s">
        <v>64</v>
      </c>
      <c r="F16" s="35" t="s">
        <v>64</v>
      </c>
      <c r="G16" s="35" t="s">
        <v>64</v>
      </c>
      <c r="H16" s="35" t="s">
        <v>64</v>
      </c>
      <c r="I16" s="25">
        <v>0.9</v>
      </c>
      <c r="J16" s="26">
        <v>0.9375</v>
      </c>
      <c r="K16" s="26">
        <v>0.9375</v>
      </c>
      <c r="L16" s="27">
        <v>0.94736842105263197</v>
      </c>
      <c r="M16" s="26">
        <v>0.957317073170732</v>
      </c>
      <c r="N16" s="28">
        <v>0.9</v>
      </c>
      <c r="O16" s="26">
        <v>0.99928392409595401</v>
      </c>
      <c r="P16" s="26">
        <v>0.99813502424468503</v>
      </c>
      <c r="Q16" s="26">
        <v>0.99694104560622898</v>
      </c>
      <c r="R16" s="26">
        <v>0.986548024077467</v>
      </c>
      <c r="S16" s="28">
        <v>0.9</v>
      </c>
      <c r="T16" s="26">
        <v>0.97780164697457905</v>
      </c>
      <c r="U16" s="26">
        <v>0.99254009697873902</v>
      </c>
      <c r="V16" s="26">
        <v>0.99054505005561699</v>
      </c>
      <c r="W16" s="26">
        <v>0.98995027479717401</v>
      </c>
      <c r="X16" s="28">
        <v>0.92</v>
      </c>
      <c r="Y16" s="28">
        <v>0</v>
      </c>
      <c r="Z16" s="28">
        <v>0</v>
      </c>
      <c r="AA16" s="28">
        <v>0</v>
      </c>
      <c r="AB16" s="28">
        <v>0</v>
      </c>
      <c r="AC16" s="28">
        <v>0.92</v>
      </c>
      <c r="AD16" s="26">
        <v>0</v>
      </c>
      <c r="AE16" s="26">
        <v>0.83333333333333304</v>
      </c>
      <c r="AF16" s="26">
        <v>0</v>
      </c>
      <c r="AG16" s="26">
        <v>0.35714285714285698</v>
      </c>
      <c r="AH16" s="28">
        <v>0.92</v>
      </c>
      <c r="AI16" s="26">
        <v>0.983888292158969</v>
      </c>
      <c r="AJ16" s="26">
        <v>0.99738903394255896</v>
      </c>
      <c r="AK16" s="26">
        <v>0.99777530589543895</v>
      </c>
      <c r="AL16" s="26">
        <v>0.99560324522376298</v>
      </c>
      <c r="AM16" s="25">
        <v>0.99</v>
      </c>
      <c r="AN16" s="30">
        <v>1</v>
      </c>
      <c r="AO16" s="30">
        <v>1</v>
      </c>
      <c r="AP16" s="30">
        <v>1</v>
      </c>
      <c r="AQ16" s="30">
        <v>1</v>
      </c>
      <c r="AR16" s="32">
        <v>8.7218210012826203E-2</v>
      </c>
      <c r="AS16" s="34">
        <v>0.14285714285714299</v>
      </c>
      <c r="AT16" s="34">
        <v>0</v>
      </c>
      <c r="AU16" s="34">
        <v>0</v>
      </c>
      <c r="AV16" s="34">
        <v>6.9767441860465101E-2</v>
      </c>
      <c r="AW16" s="10"/>
      <c r="AX16" s="8"/>
    </row>
    <row r="17" spans="1:50">
      <c r="A17" s="7"/>
      <c r="B17" s="10"/>
      <c r="C17" s="22" t="s">
        <v>56</v>
      </c>
      <c r="D17" s="23" t="s">
        <v>29</v>
      </c>
      <c r="E17" s="35" t="s">
        <v>65</v>
      </c>
      <c r="F17" s="35" t="s">
        <v>65</v>
      </c>
      <c r="G17" s="35" t="s">
        <v>65</v>
      </c>
      <c r="H17" s="35" t="s">
        <v>65</v>
      </c>
      <c r="I17" s="25">
        <v>0.9</v>
      </c>
      <c r="J17" s="26">
        <v>0.84905660377358505</v>
      </c>
      <c r="K17" s="26">
        <v>0.86</v>
      </c>
      <c r="L17" s="27">
        <v>0.87850467289719603</v>
      </c>
      <c r="M17" s="26">
        <v>0.81090289608177202</v>
      </c>
      <c r="N17" s="28">
        <v>0.9</v>
      </c>
      <c r="O17" s="26">
        <v>0.96773422562141498</v>
      </c>
      <c r="P17" s="26">
        <v>0.99357379767827503</v>
      </c>
      <c r="Q17" s="26">
        <v>0.97424892703862698</v>
      </c>
      <c r="R17" s="26">
        <v>0.98611456613672899</v>
      </c>
      <c r="S17" s="28">
        <v>0.9</v>
      </c>
      <c r="T17" s="26">
        <v>0.71725621414913998</v>
      </c>
      <c r="U17" s="26">
        <v>0.66169154228855698</v>
      </c>
      <c r="V17" s="26">
        <v>0.72947528727675504</v>
      </c>
      <c r="W17" s="26">
        <v>0.63404871209208702</v>
      </c>
      <c r="X17" s="28">
        <v>0.92</v>
      </c>
      <c r="Y17" s="28">
        <v>0.87889802946240703</v>
      </c>
      <c r="Z17" s="28">
        <v>0.85906793935990999</v>
      </c>
      <c r="AA17" s="28">
        <v>0.86878165028299104</v>
      </c>
      <c r="AB17" s="28">
        <v>0.82004446724816105</v>
      </c>
      <c r="AC17" s="28">
        <v>0.92</v>
      </c>
      <c r="AD17" s="26">
        <v>0.99815668202764996</v>
      </c>
      <c r="AE17" s="26">
        <v>0.99909575911022697</v>
      </c>
      <c r="AF17" s="26">
        <v>0.82009383594887597</v>
      </c>
      <c r="AG17" s="26">
        <v>0.88812536853086599</v>
      </c>
      <c r="AH17" s="28">
        <v>0.92</v>
      </c>
      <c r="AI17" s="26">
        <v>0.90049275575494603</v>
      </c>
      <c r="AJ17" s="26">
        <v>0.90135396518375199</v>
      </c>
      <c r="AK17" s="26">
        <v>0.901564069450423</v>
      </c>
      <c r="AL17" s="26">
        <v>0.857667909939833</v>
      </c>
      <c r="AM17" s="25">
        <v>0.99</v>
      </c>
      <c r="AN17" s="30">
        <v>1</v>
      </c>
      <c r="AO17" s="30">
        <v>1</v>
      </c>
      <c r="AP17" s="30">
        <v>1</v>
      </c>
      <c r="AQ17" s="30">
        <v>1</v>
      </c>
      <c r="AR17" s="32">
        <v>8.7218210012826203E-2</v>
      </c>
      <c r="AS17" s="34">
        <v>7.2463768115942004E-2</v>
      </c>
      <c r="AT17" s="34">
        <v>2.4390243902439001E-2</v>
      </c>
      <c r="AU17" s="34">
        <v>5.6603773584905703E-2</v>
      </c>
      <c r="AV17" s="34">
        <v>4.29292929292929E-2</v>
      </c>
      <c r="AW17" s="10"/>
      <c r="AX17" s="8"/>
    </row>
    <row r="18" spans="1:50">
      <c r="A18" s="7"/>
      <c r="B18" s="10"/>
      <c r="C18" s="22" t="s">
        <v>56</v>
      </c>
      <c r="D18" s="23" t="s">
        <v>29</v>
      </c>
      <c r="E18" s="35" t="s">
        <v>66</v>
      </c>
      <c r="F18" s="35" t="s">
        <v>66</v>
      </c>
      <c r="G18" s="35" t="s">
        <v>66</v>
      </c>
      <c r="H18" s="35" t="s">
        <v>66</v>
      </c>
      <c r="I18" s="25">
        <v>0.9</v>
      </c>
      <c r="J18" s="26">
        <v>0.95</v>
      </c>
      <c r="K18" s="26">
        <v>0.9765625</v>
      </c>
      <c r="L18" s="27">
        <v>0.9765625</v>
      </c>
      <c r="M18" s="26">
        <v>0.96892655367231595</v>
      </c>
      <c r="N18" s="28">
        <v>0.9</v>
      </c>
      <c r="O18" s="26">
        <v>0.97718356390666905</v>
      </c>
      <c r="P18" s="26">
        <v>0.96524042706911795</v>
      </c>
      <c r="Q18" s="26">
        <v>0.97582612552672399</v>
      </c>
      <c r="R18" s="26">
        <v>0.97699992680963199</v>
      </c>
      <c r="S18" s="28">
        <v>0.9</v>
      </c>
      <c r="T18" s="26">
        <v>0.84534379516828395</v>
      </c>
      <c r="U18" s="26">
        <v>0.80605282170667103</v>
      </c>
      <c r="V18" s="26">
        <v>0.87292082501663304</v>
      </c>
      <c r="W18" s="26">
        <v>0.82597160213715903</v>
      </c>
      <c r="X18" s="28">
        <v>0.92</v>
      </c>
      <c r="Y18" s="28">
        <v>0.91181077694235602</v>
      </c>
      <c r="Z18" s="28">
        <v>0.92139929742388804</v>
      </c>
      <c r="AA18" s="28">
        <v>0.93385031136176699</v>
      </c>
      <c r="AB18" s="28">
        <v>0.91354806848112402</v>
      </c>
      <c r="AC18" s="28">
        <v>0.92</v>
      </c>
      <c r="AD18" s="26">
        <v>0.96978021978022</v>
      </c>
      <c r="AE18" s="26">
        <v>0.99097291875626903</v>
      </c>
      <c r="AF18" s="26">
        <v>0.980705256154358</v>
      </c>
      <c r="AG18" s="26">
        <v>0.98161669959625497</v>
      </c>
      <c r="AH18" s="28">
        <v>0.92</v>
      </c>
      <c r="AI18" s="26">
        <v>0.93198506533914105</v>
      </c>
      <c r="AJ18" s="26">
        <v>0.94417664437879001</v>
      </c>
      <c r="AK18" s="26">
        <v>0.94843420227026398</v>
      </c>
      <c r="AL18" s="26">
        <v>0.93373943584677899</v>
      </c>
      <c r="AM18" s="25">
        <v>0.99</v>
      </c>
      <c r="AN18" s="30">
        <v>1</v>
      </c>
      <c r="AO18" s="30">
        <v>1</v>
      </c>
      <c r="AP18" s="30">
        <v>1</v>
      </c>
      <c r="AQ18" s="30">
        <v>1</v>
      </c>
      <c r="AR18" s="32">
        <v>8.7218210012826203E-2</v>
      </c>
      <c r="AS18" s="34">
        <v>4.5977011494252901E-2</v>
      </c>
      <c r="AT18" s="34">
        <v>3.1578947368421102E-2</v>
      </c>
      <c r="AU18" s="34">
        <v>3.2258064516128997E-2</v>
      </c>
      <c r="AV18" s="34">
        <v>3.8202247191011202E-2</v>
      </c>
      <c r="AW18" s="10"/>
      <c r="AX18" s="8"/>
    </row>
    <row r="19" spans="1:50">
      <c r="A19" s="7"/>
      <c r="B19" s="10"/>
      <c r="C19" s="22" t="s">
        <v>56</v>
      </c>
      <c r="D19" s="23" t="s">
        <v>29</v>
      </c>
      <c r="E19" s="35" t="s">
        <v>67</v>
      </c>
      <c r="F19" s="35" t="s">
        <v>67</v>
      </c>
      <c r="G19" s="35" t="s">
        <v>67</v>
      </c>
      <c r="H19" s="35" t="s">
        <v>67</v>
      </c>
      <c r="I19" s="25">
        <v>0.9</v>
      </c>
      <c r="J19" s="26">
        <v>0.94736842105263197</v>
      </c>
      <c r="K19" s="26">
        <v>0.9</v>
      </c>
      <c r="L19" s="27">
        <v>1</v>
      </c>
      <c r="M19" s="26">
        <v>0.87272727272727302</v>
      </c>
      <c r="N19" s="28">
        <v>0.9</v>
      </c>
      <c r="O19" s="26">
        <v>0.98353231782626604</v>
      </c>
      <c r="P19" s="26">
        <v>0.98754756139744004</v>
      </c>
      <c r="Q19" s="26">
        <v>0.97548326261197504</v>
      </c>
      <c r="R19" s="26">
        <v>0.91384700896269</v>
      </c>
      <c r="S19" s="28">
        <v>0.9</v>
      </c>
      <c r="T19" s="26">
        <v>0.69328941951420298</v>
      </c>
      <c r="U19" s="26">
        <v>0.703562781044621</v>
      </c>
      <c r="V19" s="26">
        <v>0.77416313059877395</v>
      </c>
      <c r="W19" s="26">
        <v>0.67046480928229002</v>
      </c>
      <c r="X19" s="28">
        <v>0.92</v>
      </c>
      <c r="Y19" s="28">
        <v>0.78424414478353399</v>
      </c>
      <c r="Z19" s="28">
        <v>0.86419753086419704</v>
      </c>
      <c r="AA19" s="28">
        <v>0.92198177676537596</v>
      </c>
      <c r="AB19" s="28">
        <v>0.87102371312897597</v>
      </c>
      <c r="AC19" s="28">
        <v>0.92</v>
      </c>
      <c r="AD19" s="26">
        <v>0.99625332366449104</v>
      </c>
      <c r="AE19" s="26">
        <v>0.99209486166007899</v>
      </c>
      <c r="AF19" s="26">
        <v>0.99148367117117098</v>
      </c>
      <c r="AG19" s="26">
        <v>0.994422962522308</v>
      </c>
      <c r="AH19" s="28">
        <v>0.92</v>
      </c>
      <c r="AI19" s="26">
        <v>0.84839802031779099</v>
      </c>
      <c r="AJ19" s="26">
        <v>0.92825936997010805</v>
      </c>
      <c r="AK19" s="26">
        <v>0.94428681970595796</v>
      </c>
      <c r="AL19" s="26">
        <v>0.91042605105105101</v>
      </c>
      <c r="AM19" s="25">
        <v>0.99</v>
      </c>
      <c r="AN19" s="30">
        <v>1</v>
      </c>
      <c r="AO19" s="30">
        <v>1</v>
      </c>
      <c r="AP19" s="30">
        <v>1</v>
      </c>
      <c r="AQ19" s="30">
        <v>1</v>
      </c>
      <c r="AR19" s="32">
        <v>8.7218210012826203E-2</v>
      </c>
      <c r="AS19" s="34">
        <v>0.11111111111111099</v>
      </c>
      <c r="AT19" s="34">
        <v>9.0909090909090898E-2</v>
      </c>
      <c r="AU19" s="34">
        <v>0.11111111111111099</v>
      </c>
      <c r="AV19" s="34">
        <v>8.7719298245614002E-2</v>
      </c>
      <c r="AW19" s="10"/>
      <c r="AX19" s="8"/>
    </row>
    <row r="20" spans="1:50">
      <c r="A20" s="7"/>
      <c r="B20" s="10"/>
      <c r="C20" s="22" t="s">
        <v>56</v>
      </c>
      <c r="D20" s="23" t="s">
        <v>29</v>
      </c>
      <c r="E20" s="35" t="s">
        <v>68</v>
      </c>
      <c r="F20" s="35" t="s">
        <v>68</v>
      </c>
      <c r="G20" s="35" t="s">
        <v>68</v>
      </c>
      <c r="H20" s="35" t="s">
        <v>68</v>
      </c>
      <c r="I20" s="25">
        <v>0.9</v>
      </c>
      <c r="J20" s="26">
        <v>0.890625</v>
      </c>
      <c r="K20" s="26">
        <v>0.87218045112781994</v>
      </c>
      <c r="L20" s="27">
        <v>0.87313432835820903</v>
      </c>
      <c r="M20" s="26">
        <v>0.87581699346405195</v>
      </c>
      <c r="N20" s="28">
        <v>0.9</v>
      </c>
      <c r="O20" s="26">
        <v>0.99225259464990501</v>
      </c>
      <c r="P20" s="26">
        <v>0.95116385212231902</v>
      </c>
      <c r="Q20" s="26">
        <v>0.97540983606557397</v>
      </c>
      <c r="R20" s="26">
        <v>0.97956385648136202</v>
      </c>
      <c r="S20" s="28">
        <v>0.9</v>
      </c>
      <c r="T20" s="26">
        <v>0.80631486624762505</v>
      </c>
      <c r="U20" s="26">
        <v>0.76289365586490199</v>
      </c>
      <c r="V20" s="26">
        <v>0.84163934426229503</v>
      </c>
      <c r="W20" s="26">
        <v>0.80314044028248399</v>
      </c>
      <c r="X20" s="28">
        <v>0.92</v>
      </c>
      <c r="Y20" s="28">
        <v>0.926741477874232</v>
      </c>
      <c r="Z20" s="28">
        <v>0.94277227722772305</v>
      </c>
      <c r="AA20" s="28">
        <v>0.94124107633168597</v>
      </c>
      <c r="AB20" s="28">
        <v>0.93420550766648902</v>
      </c>
      <c r="AC20" s="28">
        <v>0.92</v>
      </c>
      <c r="AD20" s="26">
        <v>0.99842188321935799</v>
      </c>
      <c r="AE20" s="26">
        <v>0.998068565910188</v>
      </c>
      <c r="AF20" s="26">
        <v>0.99449385853451899</v>
      </c>
      <c r="AG20" s="26">
        <v>0.99643965674639401</v>
      </c>
      <c r="AH20" s="28">
        <v>0.92</v>
      </c>
      <c r="AI20" s="26">
        <v>0.94388240380458299</v>
      </c>
      <c r="AJ20" s="26">
        <v>0.94939916027218796</v>
      </c>
      <c r="AK20" s="26">
        <v>0.95866124708120704</v>
      </c>
      <c r="AL20" s="26">
        <v>0.95215709243360702</v>
      </c>
      <c r="AM20" s="25">
        <v>0.99</v>
      </c>
      <c r="AN20" s="30">
        <v>1</v>
      </c>
      <c r="AO20" s="30">
        <v>1</v>
      </c>
      <c r="AP20" s="30">
        <v>1</v>
      </c>
      <c r="AQ20" s="30">
        <v>1</v>
      </c>
      <c r="AR20" s="32">
        <v>8.7218210012826203E-2</v>
      </c>
      <c r="AS20" s="34">
        <v>5.8823529411764698E-2</v>
      </c>
      <c r="AT20" s="34">
        <v>2.7777777777777801E-2</v>
      </c>
      <c r="AU20" s="34">
        <v>7.5757575757575801E-2</v>
      </c>
      <c r="AV20" s="34">
        <v>4.6913580246913597E-2</v>
      </c>
      <c r="AW20" s="10"/>
      <c r="AX20" s="8"/>
    </row>
    <row r="21" spans="1:50">
      <c r="A21" s="7"/>
      <c r="B21" s="10"/>
      <c r="C21" s="22" t="s">
        <v>56</v>
      </c>
      <c r="D21" s="23" t="s">
        <v>29</v>
      </c>
      <c r="E21" s="35" t="s">
        <v>69</v>
      </c>
      <c r="F21" s="35" t="s">
        <v>69</v>
      </c>
      <c r="G21" s="35" t="s">
        <v>69</v>
      </c>
      <c r="H21" s="35" t="s">
        <v>69</v>
      </c>
      <c r="I21" s="25">
        <v>0.9</v>
      </c>
      <c r="J21" s="26">
        <v>0.84210526315789502</v>
      </c>
      <c r="K21" s="26">
        <v>0.85</v>
      </c>
      <c r="L21" s="27">
        <v>0.95</v>
      </c>
      <c r="M21" s="26">
        <v>0.88888888888888895</v>
      </c>
      <c r="N21" s="28">
        <v>0.9</v>
      </c>
      <c r="O21" s="26">
        <v>0.97487711632987395</v>
      </c>
      <c r="P21" s="26">
        <v>0.99494252873563205</v>
      </c>
      <c r="Q21" s="26">
        <v>0.89994216310005803</v>
      </c>
      <c r="R21" s="26">
        <v>0.97461282101548696</v>
      </c>
      <c r="S21" s="28">
        <v>0.9</v>
      </c>
      <c r="T21" s="26">
        <v>0.87329328235936599</v>
      </c>
      <c r="U21" s="26">
        <v>0.85839080459770101</v>
      </c>
      <c r="V21" s="26">
        <v>0.89589358010410602</v>
      </c>
      <c r="W21" s="26">
        <v>0.88119976475200901</v>
      </c>
      <c r="X21" s="28">
        <v>0.92</v>
      </c>
      <c r="Y21" s="28">
        <v>0.95612244897959198</v>
      </c>
      <c r="Z21" s="28">
        <v>0.930915371329879</v>
      </c>
      <c r="AA21" s="28">
        <v>0.95206055508831</v>
      </c>
      <c r="AB21" s="28">
        <v>0.93294987674609697</v>
      </c>
      <c r="AC21" s="28">
        <v>0.92</v>
      </c>
      <c r="AD21" s="26">
        <v>0.99615126153094302</v>
      </c>
      <c r="AE21" s="26">
        <v>0.98808589919592105</v>
      </c>
      <c r="AF21" s="26">
        <v>0.88565307833214302</v>
      </c>
      <c r="AG21" s="26">
        <v>0.95889594032879699</v>
      </c>
      <c r="AH21" s="28">
        <v>0.92</v>
      </c>
      <c r="AI21" s="26">
        <v>0.96905016008537903</v>
      </c>
      <c r="AJ21" s="26">
        <v>0.95920815836832596</v>
      </c>
      <c r="AK21" s="26">
        <v>0.96607265250171304</v>
      </c>
      <c r="AL21" s="26">
        <v>0.95604125736738699</v>
      </c>
      <c r="AM21" s="25">
        <v>0.99</v>
      </c>
      <c r="AN21" s="30">
        <v>1</v>
      </c>
      <c r="AO21" s="30">
        <v>1</v>
      </c>
      <c r="AP21" s="30">
        <v>1</v>
      </c>
      <c r="AQ21" s="30">
        <v>1</v>
      </c>
      <c r="AR21" s="32">
        <v>8.7218210012826203E-2</v>
      </c>
      <c r="AS21" s="34">
        <v>0</v>
      </c>
      <c r="AT21" s="34">
        <v>0.14285714285714299</v>
      </c>
      <c r="AU21" s="34">
        <v>0.125</v>
      </c>
      <c r="AV21" s="34">
        <v>6.8181818181818205E-2</v>
      </c>
      <c r="AW21" s="10"/>
      <c r="AX21" s="8"/>
    </row>
    <row r="22" spans="1:50">
      <c r="A22" s="7"/>
      <c r="B22" s="10"/>
      <c r="C22" s="22" t="s">
        <v>56</v>
      </c>
      <c r="D22" s="23" t="s">
        <v>29</v>
      </c>
      <c r="E22" s="35" t="s">
        <v>70</v>
      </c>
      <c r="F22" s="35" t="s">
        <v>70</v>
      </c>
      <c r="G22" s="35" t="s">
        <v>70</v>
      </c>
      <c r="H22" s="35" t="s">
        <v>70</v>
      </c>
      <c r="I22" s="25">
        <v>0.9</v>
      </c>
      <c r="J22" s="26">
        <v>0.91304347826086996</v>
      </c>
      <c r="K22" s="26">
        <v>0.95555555555555605</v>
      </c>
      <c r="L22" s="27">
        <v>0.91111111111111098</v>
      </c>
      <c r="M22" s="26">
        <v>0.91320754716981101</v>
      </c>
      <c r="N22" s="28">
        <v>0.9</v>
      </c>
      <c r="O22" s="26">
        <v>0.98954419212546996</v>
      </c>
      <c r="P22" s="26">
        <v>0.98733665633840795</v>
      </c>
      <c r="Q22" s="26">
        <v>0.89770658900618905</v>
      </c>
      <c r="R22" s="26">
        <v>0.95228449897277101</v>
      </c>
      <c r="S22" s="28">
        <v>0.9</v>
      </c>
      <c r="T22" s="26">
        <v>0.78826989054076102</v>
      </c>
      <c r="U22" s="26">
        <v>0.73662939512326597</v>
      </c>
      <c r="V22" s="26">
        <v>0.78157990535129196</v>
      </c>
      <c r="W22" s="26">
        <v>0.76370844063775001</v>
      </c>
      <c r="X22" s="28">
        <v>0.92</v>
      </c>
      <c r="Y22" s="28">
        <v>0.94287298946200804</v>
      </c>
      <c r="Z22" s="28">
        <v>0.95491388044579495</v>
      </c>
      <c r="AA22" s="28">
        <v>0.948688711516534</v>
      </c>
      <c r="AB22" s="28">
        <v>0.95620615744349202</v>
      </c>
      <c r="AC22" s="28">
        <v>0.92</v>
      </c>
      <c r="AD22" s="26">
        <v>0.99047447339162797</v>
      </c>
      <c r="AE22" s="26">
        <v>0.99147754476682903</v>
      </c>
      <c r="AF22" s="26">
        <v>0.99086656580097998</v>
      </c>
      <c r="AG22" s="26">
        <v>0.97863831481591401</v>
      </c>
      <c r="AH22" s="28">
        <v>0.92</v>
      </c>
      <c r="AI22" s="26">
        <v>0.95960115131578905</v>
      </c>
      <c r="AJ22" s="26">
        <v>0.96957439324657102</v>
      </c>
      <c r="AK22" s="26">
        <v>0.96438328442780497</v>
      </c>
      <c r="AL22" s="26">
        <v>0.97045264800900199</v>
      </c>
      <c r="AM22" s="25">
        <v>0.99</v>
      </c>
      <c r="AN22" s="30">
        <v>1</v>
      </c>
      <c r="AO22" s="30">
        <v>1</v>
      </c>
      <c r="AP22" s="30">
        <v>1</v>
      </c>
      <c r="AQ22" s="30">
        <v>1</v>
      </c>
      <c r="AR22" s="32">
        <v>8.7218210012826203E-2</v>
      </c>
      <c r="AS22" s="34">
        <v>8.3333333333333301E-2</v>
      </c>
      <c r="AT22" s="34">
        <v>4.5454545454545497E-2</v>
      </c>
      <c r="AU22" s="34">
        <v>0.17647058823529399</v>
      </c>
      <c r="AV22" s="34">
        <v>7.8571428571428598E-2</v>
      </c>
      <c r="AW22" s="10"/>
      <c r="AX22" s="8"/>
    </row>
    <row r="23" spans="1:50">
      <c r="A23" s="7"/>
      <c r="B23" s="10"/>
      <c r="C23" s="22" t="s">
        <v>56</v>
      </c>
      <c r="D23" s="23" t="s">
        <v>29</v>
      </c>
      <c r="E23" s="35" t="s">
        <v>71</v>
      </c>
      <c r="F23" s="35" t="s">
        <v>71</v>
      </c>
      <c r="G23" s="35" t="s">
        <v>71</v>
      </c>
      <c r="H23" s="35" t="s">
        <v>71</v>
      </c>
      <c r="I23" s="25">
        <v>0.9</v>
      </c>
      <c r="J23" s="26">
        <v>0.84756097560975596</v>
      </c>
      <c r="K23" s="26">
        <v>0.9</v>
      </c>
      <c r="L23" s="27">
        <v>0.83647798742138402</v>
      </c>
      <c r="M23" s="26">
        <v>0.82373271889400901</v>
      </c>
      <c r="N23" s="28">
        <v>0.9</v>
      </c>
      <c r="O23" s="26">
        <v>0.88903904971904102</v>
      </c>
      <c r="P23" s="26">
        <v>0.92172619047618998</v>
      </c>
      <c r="Q23" s="26">
        <v>0.91045262129599502</v>
      </c>
      <c r="R23" s="26">
        <v>0.88433785039870805</v>
      </c>
      <c r="S23" s="28">
        <v>0.9</v>
      </c>
      <c r="T23" s="26">
        <v>0.67216729497119299</v>
      </c>
      <c r="U23" s="26">
        <v>0.57607142857142901</v>
      </c>
      <c r="V23" s="26">
        <v>0.68870074894171296</v>
      </c>
      <c r="W23" s="26">
        <v>0.61857296609754897</v>
      </c>
      <c r="X23" s="28">
        <v>0.92</v>
      </c>
      <c r="Y23" s="28">
        <v>0.95081967213114704</v>
      </c>
      <c r="Z23" s="28">
        <v>0.95505617977528101</v>
      </c>
      <c r="AA23" s="28">
        <v>0.96274315858885595</v>
      </c>
      <c r="AB23" s="28">
        <v>0.95798629414865599</v>
      </c>
      <c r="AC23" s="28">
        <v>0.92</v>
      </c>
      <c r="AD23" s="26">
        <v>0.758586544446331</v>
      </c>
      <c r="AE23" s="26">
        <v>0.608348642580118</v>
      </c>
      <c r="AF23" s="26">
        <v>0.54410288029595699</v>
      </c>
      <c r="AG23" s="26">
        <v>0.68722850723323703</v>
      </c>
      <c r="AH23" s="28">
        <v>0.92</v>
      </c>
      <c r="AI23" s="26">
        <v>0.95953895451719395</v>
      </c>
      <c r="AJ23" s="26">
        <v>0.96950122649223203</v>
      </c>
      <c r="AK23" s="26">
        <v>0.971116096466629</v>
      </c>
      <c r="AL23" s="26">
        <v>0.96558144972069404</v>
      </c>
      <c r="AM23" s="25">
        <v>0.99</v>
      </c>
      <c r="AN23" s="30">
        <v>1</v>
      </c>
      <c r="AO23" s="30">
        <v>1</v>
      </c>
      <c r="AP23" s="30">
        <v>1</v>
      </c>
      <c r="AQ23" s="30">
        <v>0.99298021697511196</v>
      </c>
      <c r="AR23" s="32">
        <v>8.7218210012826203E-2</v>
      </c>
      <c r="AS23" s="34">
        <v>2.74725274725275E-2</v>
      </c>
      <c r="AT23" s="34">
        <v>5.1401869158878503E-2</v>
      </c>
      <c r="AU23" s="34">
        <v>1.1111111111111099E-2</v>
      </c>
      <c r="AV23" s="34">
        <v>3.6596523330283598E-2</v>
      </c>
      <c r="AW23" s="10"/>
      <c r="AX23" s="8"/>
    </row>
    <row r="24" spans="1:50">
      <c r="A24" s="7"/>
      <c r="B24" s="10"/>
      <c r="C24" s="22" t="s">
        <v>56</v>
      </c>
      <c r="D24" s="23" t="s">
        <v>29</v>
      </c>
      <c r="E24" s="35" t="s">
        <v>72</v>
      </c>
      <c r="F24" s="35" t="s">
        <v>72</v>
      </c>
      <c r="G24" s="35" t="s">
        <v>72</v>
      </c>
      <c r="H24" s="35" t="s">
        <v>72</v>
      </c>
      <c r="I24" s="25">
        <v>0.9</v>
      </c>
      <c r="J24" s="26">
        <v>0.83660130718954295</v>
      </c>
      <c r="K24" s="26">
        <v>0.87421383647798701</v>
      </c>
      <c r="L24" s="27">
        <v>0.84563758389261701</v>
      </c>
      <c r="M24" s="26">
        <v>0.82039397450753204</v>
      </c>
      <c r="N24" s="28">
        <v>0.9</v>
      </c>
      <c r="O24" s="26">
        <v>0.94745958429561195</v>
      </c>
      <c r="P24" s="26">
        <v>0.95975632268783495</v>
      </c>
      <c r="Q24" s="26">
        <v>0.97420781134856305</v>
      </c>
      <c r="R24" s="26">
        <v>0.96544662872909104</v>
      </c>
      <c r="S24" s="28">
        <v>0.9</v>
      </c>
      <c r="T24" s="26">
        <v>0.68302540415704405</v>
      </c>
      <c r="U24" s="26">
        <v>0.67260476278382897</v>
      </c>
      <c r="V24" s="26">
        <v>0.75490051584377305</v>
      </c>
      <c r="W24" s="26">
        <v>0.68509656837385802</v>
      </c>
      <c r="X24" s="28">
        <v>0.92</v>
      </c>
      <c r="Y24" s="28">
        <v>0.88714938030006496</v>
      </c>
      <c r="Z24" s="28">
        <v>0.91048426544920902</v>
      </c>
      <c r="AA24" s="28">
        <v>0.90508189836203301</v>
      </c>
      <c r="AB24" s="28">
        <v>0.89094031773293303</v>
      </c>
      <c r="AC24" s="28">
        <v>0.92</v>
      </c>
      <c r="AD24" s="26">
        <v>0.84615384615384603</v>
      </c>
      <c r="AE24" s="26">
        <v>0.98113207547169801</v>
      </c>
      <c r="AF24" s="26">
        <v>0.33333333333333298</v>
      </c>
      <c r="AG24" s="26">
        <v>0.73469387755102</v>
      </c>
      <c r="AH24" s="28">
        <v>0.92</v>
      </c>
      <c r="AI24" s="26">
        <v>0.91623850730124401</v>
      </c>
      <c r="AJ24" s="26">
        <v>0.93363588141686804</v>
      </c>
      <c r="AK24" s="26">
        <v>0.92958150886512103</v>
      </c>
      <c r="AL24" s="26">
        <v>0.91991646098348201</v>
      </c>
      <c r="AM24" s="25">
        <v>0.99</v>
      </c>
      <c r="AN24" s="30">
        <v>1</v>
      </c>
      <c r="AO24" s="30">
        <v>1</v>
      </c>
      <c r="AP24" s="30">
        <v>1</v>
      </c>
      <c r="AQ24" s="30">
        <v>1</v>
      </c>
      <c r="AR24" s="32">
        <v>8.7218210012826203E-2</v>
      </c>
      <c r="AS24" s="34">
        <v>5.4794520547945202E-2</v>
      </c>
      <c r="AT24" s="34">
        <v>4.49438202247191E-2</v>
      </c>
      <c r="AU24" s="34">
        <v>0.11111111111111099</v>
      </c>
      <c r="AV24" s="34">
        <v>5.3364269141531299E-2</v>
      </c>
      <c r="AW24" s="10"/>
      <c r="AX24" s="8"/>
    </row>
    <row r="25" spans="1:50">
      <c r="A25" s="7"/>
      <c r="B25" s="10"/>
      <c r="C25" s="22" t="s">
        <v>56</v>
      </c>
      <c r="D25" s="23" t="s">
        <v>29</v>
      </c>
      <c r="E25" s="35" t="s">
        <v>73</v>
      </c>
      <c r="F25" s="35" t="s">
        <v>73</v>
      </c>
      <c r="G25" s="35" t="s">
        <v>73</v>
      </c>
      <c r="H25" s="35" t="s">
        <v>73</v>
      </c>
      <c r="I25" s="25">
        <v>0.9</v>
      </c>
      <c r="J25" s="26">
        <v>0.97196261682243001</v>
      </c>
      <c r="K25" s="26">
        <v>0.96363636363636396</v>
      </c>
      <c r="L25" s="27">
        <v>1</v>
      </c>
      <c r="M25" s="26">
        <v>0.97818791946308703</v>
      </c>
      <c r="N25" s="28">
        <v>0.9</v>
      </c>
      <c r="O25" s="26">
        <v>0.98959554513481796</v>
      </c>
      <c r="P25" s="26">
        <v>0.98929336188436801</v>
      </c>
      <c r="Q25" s="26">
        <v>0.99139710942876802</v>
      </c>
      <c r="R25" s="26">
        <v>0.98180771143627499</v>
      </c>
      <c r="S25" s="28">
        <v>0.9</v>
      </c>
      <c r="T25" s="26">
        <v>0.77667057444314203</v>
      </c>
      <c r="U25" s="26">
        <v>0.72568466133213105</v>
      </c>
      <c r="V25" s="26">
        <v>0.823124569855471</v>
      </c>
      <c r="W25" s="26">
        <v>0.76912807894668</v>
      </c>
      <c r="X25" s="28">
        <v>0.92</v>
      </c>
      <c r="Y25" s="28">
        <v>0.89459520071764997</v>
      </c>
      <c r="Z25" s="28">
        <v>0.90401505646173197</v>
      </c>
      <c r="AA25" s="28">
        <v>0.90931076178960102</v>
      </c>
      <c r="AB25" s="28">
        <v>0.90058479532163704</v>
      </c>
      <c r="AC25" s="28">
        <v>0.92</v>
      </c>
      <c r="AD25" s="26">
        <v>0.995955510616785</v>
      </c>
      <c r="AE25" s="26">
        <v>0.99906241628716896</v>
      </c>
      <c r="AF25" s="26">
        <v>0.99790250253146295</v>
      </c>
      <c r="AG25" s="26">
        <v>0.99624168396805401</v>
      </c>
      <c r="AH25" s="28">
        <v>0.92</v>
      </c>
      <c r="AI25" s="26">
        <v>0.91961357794912701</v>
      </c>
      <c r="AJ25" s="26">
        <v>0.93475873178589697</v>
      </c>
      <c r="AK25" s="26">
        <v>0.92690285320231003</v>
      </c>
      <c r="AL25" s="26">
        <v>0.92802185723706898</v>
      </c>
      <c r="AM25" s="25">
        <v>0.99</v>
      </c>
      <c r="AN25" s="30">
        <v>1</v>
      </c>
      <c r="AO25" s="30">
        <v>1</v>
      </c>
      <c r="AP25" s="30">
        <v>1</v>
      </c>
      <c r="AQ25" s="30">
        <v>1</v>
      </c>
      <c r="AR25" s="32">
        <v>8.7218210012826203E-2</v>
      </c>
      <c r="AS25" s="34">
        <v>-1.2987012987013E-2</v>
      </c>
      <c r="AT25" s="34">
        <v>6.9767441860465101E-2</v>
      </c>
      <c r="AU25" s="34">
        <v>1.3157894736842099E-2</v>
      </c>
      <c r="AV25" s="34">
        <v>4.0178571428571397E-2</v>
      </c>
      <c r="AW25" s="10"/>
      <c r="AX25" s="8"/>
    </row>
    <row r="26" spans="1:50">
      <c r="A26" s="7"/>
      <c r="B26" s="10"/>
      <c r="C26" s="22" t="s">
        <v>56</v>
      </c>
      <c r="D26" s="23" t="s">
        <v>29</v>
      </c>
      <c r="E26" s="35" t="s">
        <v>74</v>
      </c>
      <c r="F26" s="35" t="s">
        <v>74</v>
      </c>
      <c r="G26" s="35" t="s">
        <v>74</v>
      </c>
      <c r="H26" s="35" t="s">
        <v>74</v>
      </c>
      <c r="I26" s="25">
        <v>0.9</v>
      </c>
      <c r="J26" s="26">
        <v>0.89565217391304397</v>
      </c>
      <c r="K26" s="26">
        <v>0.92241379310344795</v>
      </c>
      <c r="L26" s="27">
        <v>0.86111111111111105</v>
      </c>
      <c r="M26" s="26">
        <v>0.89079563182527299</v>
      </c>
      <c r="N26" s="28">
        <v>0.9</v>
      </c>
      <c r="O26" s="26">
        <v>0.95444809367413996</v>
      </c>
      <c r="P26" s="26">
        <v>0.93643285648361796</v>
      </c>
      <c r="Q26" s="26">
        <v>0.84406993227279903</v>
      </c>
      <c r="R26" s="26">
        <v>0.92903801990303603</v>
      </c>
      <c r="S26" s="28">
        <v>0.9</v>
      </c>
      <c r="T26" s="26">
        <v>0.68642010566899903</v>
      </c>
      <c r="U26" s="26">
        <v>0.61502076603599398</v>
      </c>
      <c r="V26" s="26">
        <v>0.613009922822492</v>
      </c>
      <c r="W26" s="26">
        <v>0.65493748405205399</v>
      </c>
      <c r="X26" s="28">
        <v>0.92</v>
      </c>
      <c r="Y26" s="28">
        <v>0.91662774404483904</v>
      </c>
      <c r="Z26" s="28">
        <v>0.92224268467362402</v>
      </c>
      <c r="AA26" s="28">
        <v>0.92039720006511505</v>
      </c>
      <c r="AB26" s="28">
        <v>0.90363876173481295</v>
      </c>
      <c r="AC26" s="28">
        <v>0.92</v>
      </c>
      <c r="AD26" s="26">
        <v>0.99852984416348101</v>
      </c>
      <c r="AE26" s="26">
        <v>0.99573257467994303</v>
      </c>
      <c r="AF26" s="26">
        <v>0.99760765550239205</v>
      </c>
      <c r="AG26" s="26">
        <v>0.98557758344398105</v>
      </c>
      <c r="AH26" s="28">
        <v>0.92</v>
      </c>
      <c r="AI26" s="26">
        <v>0.93628710677891003</v>
      </c>
      <c r="AJ26" s="26">
        <v>0.94260843906757197</v>
      </c>
      <c r="AK26" s="26">
        <v>0.93602882305844703</v>
      </c>
      <c r="AL26" s="26">
        <v>0.93221486840080003</v>
      </c>
      <c r="AM26" s="25">
        <v>0.99</v>
      </c>
      <c r="AN26" s="30">
        <v>1</v>
      </c>
      <c r="AO26" s="30">
        <v>1</v>
      </c>
      <c r="AP26" s="30">
        <v>1</v>
      </c>
      <c r="AQ26" s="30">
        <v>1</v>
      </c>
      <c r="AR26" s="32">
        <v>8.7218210012826203E-2</v>
      </c>
      <c r="AS26" s="34">
        <v>2.5974025974026E-2</v>
      </c>
      <c r="AT26" s="34">
        <v>1.49253731343284E-2</v>
      </c>
      <c r="AU26" s="34">
        <v>1.6949152542372899E-2</v>
      </c>
      <c r="AV26" s="34">
        <v>1.81347150259067E-2</v>
      </c>
      <c r="AW26" s="10"/>
      <c r="AX26" s="8"/>
    </row>
    <row r="27" spans="1:50">
      <c r="A27" s="7"/>
      <c r="B27" s="10"/>
      <c r="C27" s="22" t="s">
        <v>56</v>
      </c>
      <c r="D27" s="23" t="s">
        <v>29</v>
      </c>
      <c r="E27" s="35" t="s">
        <v>75</v>
      </c>
      <c r="F27" s="35" t="s">
        <v>75</v>
      </c>
      <c r="G27" s="35" t="s">
        <v>75</v>
      </c>
      <c r="H27" s="35" t="s">
        <v>75</v>
      </c>
      <c r="I27" s="25">
        <v>0.9</v>
      </c>
      <c r="J27" s="26">
        <v>0.98148148148148195</v>
      </c>
      <c r="K27" s="26">
        <v>0.96521739130434803</v>
      </c>
      <c r="L27" s="27">
        <v>0.96363636363636396</v>
      </c>
      <c r="M27" s="26">
        <v>0.96241830065359502</v>
      </c>
      <c r="N27" s="28">
        <v>0.9</v>
      </c>
      <c r="O27" s="26">
        <v>0.97356828193832601</v>
      </c>
      <c r="P27" s="26">
        <v>0.97620404673696204</v>
      </c>
      <c r="Q27" s="26">
        <v>0.70938657221059398</v>
      </c>
      <c r="R27" s="26">
        <v>0.92071757315147695</v>
      </c>
      <c r="S27" s="28">
        <v>0.9</v>
      </c>
      <c r="T27" s="26">
        <v>0.87358743535721095</v>
      </c>
      <c r="U27" s="26">
        <v>0.88629239099458501</v>
      </c>
      <c r="V27" s="26">
        <v>0.93012397359523402</v>
      </c>
      <c r="W27" s="26">
        <v>0.89673127960493204</v>
      </c>
      <c r="X27" s="28">
        <v>0.92</v>
      </c>
      <c r="Y27" s="28">
        <v>0.94535823808196295</v>
      </c>
      <c r="Z27" s="28">
        <v>0.95851584643133203</v>
      </c>
      <c r="AA27" s="28">
        <v>0.95973154362416102</v>
      </c>
      <c r="AB27" s="28">
        <v>0.95128689835684199</v>
      </c>
      <c r="AC27" s="28">
        <v>0.92</v>
      </c>
      <c r="AD27" s="26">
        <v>1</v>
      </c>
      <c r="AE27" s="26">
        <v>0.85714285714285698</v>
      </c>
      <c r="AF27" s="26">
        <v>1</v>
      </c>
      <c r="AG27" s="26">
        <v>0.78571428571428603</v>
      </c>
      <c r="AH27" s="28">
        <v>0.92</v>
      </c>
      <c r="AI27" s="26">
        <v>0.95980013627072402</v>
      </c>
      <c r="AJ27" s="26">
        <v>0.96889622901183603</v>
      </c>
      <c r="AK27" s="26">
        <v>0.974796898079764</v>
      </c>
      <c r="AL27" s="26">
        <v>0.96741998849183497</v>
      </c>
      <c r="AM27" s="25">
        <v>0.99</v>
      </c>
      <c r="AN27" s="30">
        <v>1</v>
      </c>
      <c r="AO27" s="30">
        <v>1</v>
      </c>
      <c r="AP27" s="30">
        <v>1</v>
      </c>
      <c r="AQ27" s="30">
        <v>1</v>
      </c>
      <c r="AR27" s="32">
        <v>8.7218210012826203E-2</v>
      </c>
      <c r="AS27" s="34">
        <v>1.7543859649122799E-2</v>
      </c>
      <c r="AT27" s="34">
        <v>2.2222222222222199E-2</v>
      </c>
      <c r="AU27" s="34">
        <v>0.125</v>
      </c>
      <c r="AV27" s="34">
        <v>5.0724637681159403E-2</v>
      </c>
      <c r="AW27" s="10"/>
      <c r="AX27" s="8"/>
    </row>
    <row r="28" spans="1:50">
      <c r="A28" s="7"/>
      <c r="B28" s="10"/>
      <c r="C28" s="22" t="s">
        <v>56</v>
      </c>
      <c r="D28" s="23" t="s">
        <v>29</v>
      </c>
      <c r="E28" s="35" t="s">
        <v>76</v>
      </c>
      <c r="F28" s="35" t="s">
        <v>76</v>
      </c>
      <c r="G28" s="35" t="s">
        <v>76</v>
      </c>
      <c r="H28" s="35" t="s">
        <v>76</v>
      </c>
      <c r="I28" s="25">
        <v>0.9</v>
      </c>
      <c r="J28" s="26">
        <v>1</v>
      </c>
      <c r="K28" s="26">
        <v>0.96610169491525399</v>
      </c>
      <c r="L28" s="27">
        <v>0.98039215686274495</v>
      </c>
      <c r="M28" s="26">
        <v>0.97187500000000004</v>
      </c>
      <c r="N28" s="28">
        <v>0.9</v>
      </c>
      <c r="O28" s="26">
        <v>0.98348387096774204</v>
      </c>
      <c r="P28" s="26">
        <v>0.980070776680946</v>
      </c>
      <c r="Q28" s="26">
        <v>0.98086124401913899</v>
      </c>
      <c r="R28" s="26">
        <v>0.97995245997219405</v>
      </c>
      <c r="S28" s="28">
        <v>0.9</v>
      </c>
      <c r="T28" s="26">
        <v>0.87019354838709695</v>
      </c>
      <c r="U28" s="26">
        <v>0.80908921586887705</v>
      </c>
      <c r="V28" s="26">
        <v>0.89114832535885202</v>
      </c>
      <c r="W28" s="26">
        <v>0.86249271202403899</v>
      </c>
      <c r="X28" s="28">
        <v>0.92</v>
      </c>
      <c r="Y28" s="28">
        <v>0.95670338017470602</v>
      </c>
      <c r="Z28" s="28">
        <v>0.95536663124335797</v>
      </c>
      <c r="AA28" s="28">
        <v>0.96085626911315003</v>
      </c>
      <c r="AB28" s="28">
        <v>0.95638233918909898</v>
      </c>
      <c r="AC28" s="28">
        <v>0.92</v>
      </c>
      <c r="AD28" s="26">
        <v>0.99869195552648804</v>
      </c>
      <c r="AE28" s="26">
        <v>0.98244229631090896</v>
      </c>
      <c r="AF28" s="26">
        <v>0.98823092170465798</v>
      </c>
      <c r="AG28" s="26">
        <v>0.99208176042721696</v>
      </c>
      <c r="AH28" s="28">
        <v>0.92</v>
      </c>
      <c r="AI28" s="26">
        <v>0.96497157781533305</v>
      </c>
      <c r="AJ28" s="26">
        <v>0.96521420725009199</v>
      </c>
      <c r="AK28" s="26">
        <v>0.96945872391896004</v>
      </c>
      <c r="AL28" s="26">
        <v>0.96826291079812199</v>
      </c>
      <c r="AM28" s="25">
        <v>0.99</v>
      </c>
      <c r="AN28" s="30">
        <v>1</v>
      </c>
      <c r="AO28" s="30">
        <v>1</v>
      </c>
      <c r="AP28" s="30">
        <v>1</v>
      </c>
      <c r="AQ28" s="30">
        <v>1</v>
      </c>
      <c r="AR28" s="32">
        <v>8.7218210012826203E-2</v>
      </c>
      <c r="AS28" s="34">
        <v>0</v>
      </c>
      <c r="AT28" s="34">
        <v>9.0909090909090898E-2</v>
      </c>
      <c r="AU28" s="34">
        <v>0</v>
      </c>
      <c r="AV28" s="34">
        <v>4.2654028436019002E-2</v>
      </c>
      <c r="AW28" s="10"/>
      <c r="AX28" s="8"/>
    </row>
    <row r="29" spans="1:50">
      <c r="A29" s="7"/>
      <c r="B29" s="10"/>
      <c r="C29" s="22" t="s">
        <v>56</v>
      </c>
      <c r="D29" s="23" t="s">
        <v>29</v>
      </c>
      <c r="E29" s="35" t="s">
        <v>77</v>
      </c>
      <c r="F29" s="35" t="s">
        <v>77</v>
      </c>
      <c r="G29" s="35" t="s">
        <v>77</v>
      </c>
      <c r="H29" s="35" t="s">
        <v>77</v>
      </c>
      <c r="I29" s="25">
        <v>0.9</v>
      </c>
      <c r="J29" s="26">
        <v>0.86363636363636398</v>
      </c>
      <c r="K29" s="26">
        <v>0.91304347826086996</v>
      </c>
      <c r="L29" s="27">
        <v>0.93846153846153801</v>
      </c>
      <c r="M29" s="26">
        <v>0.85904255319148903</v>
      </c>
      <c r="N29" s="28">
        <v>0.9</v>
      </c>
      <c r="O29" s="26">
        <v>0.99532067162125004</v>
      </c>
      <c r="P29" s="26">
        <v>0.99587673611111105</v>
      </c>
      <c r="Q29" s="26">
        <v>0.99674001629991804</v>
      </c>
      <c r="R29" s="26">
        <v>0.99114710394607797</v>
      </c>
      <c r="S29" s="28">
        <v>0.9</v>
      </c>
      <c r="T29" s="26">
        <v>0.85989540324800395</v>
      </c>
      <c r="U29" s="26">
        <v>0.74652777777777801</v>
      </c>
      <c r="V29" s="26">
        <v>0.88459657701711503</v>
      </c>
      <c r="W29" s="26">
        <v>0.82208696964362105</v>
      </c>
      <c r="X29" s="28">
        <v>0.92</v>
      </c>
      <c r="Y29" s="28">
        <v>0.96261444557477105</v>
      </c>
      <c r="Z29" s="28">
        <v>0.96984346224677698</v>
      </c>
      <c r="AA29" s="28">
        <v>0.96571924495552197</v>
      </c>
      <c r="AB29" s="28">
        <v>0.96558026195552804</v>
      </c>
      <c r="AC29" s="28">
        <v>0.92</v>
      </c>
      <c r="AD29" s="26">
        <v>0.99671052631578905</v>
      </c>
      <c r="AE29" s="26">
        <v>0.97753247640519603</v>
      </c>
      <c r="AF29" s="26">
        <v>0.94873637055194004</v>
      </c>
      <c r="AG29" s="26">
        <v>0.95215563481337995</v>
      </c>
      <c r="AH29" s="28">
        <v>0.92</v>
      </c>
      <c r="AI29" s="26">
        <v>0.97107401124899595</v>
      </c>
      <c r="AJ29" s="26">
        <v>0.98237852982378504</v>
      </c>
      <c r="AK29" s="26">
        <v>0.97859668713940096</v>
      </c>
      <c r="AL29" s="26">
        <v>0.97718219191178801</v>
      </c>
      <c r="AM29" s="25">
        <v>0.99</v>
      </c>
      <c r="AN29" s="30">
        <v>1</v>
      </c>
      <c r="AO29" s="30">
        <v>1</v>
      </c>
      <c r="AP29" s="30">
        <v>1</v>
      </c>
      <c r="AQ29" s="30">
        <v>1</v>
      </c>
      <c r="AR29" s="32">
        <v>8.7218210012826203E-2</v>
      </c>
      <c r="AS29" s="34">
        <v>5.0632911392405097E-2</v>
      </c>
      <c r="AT29" s="34">
        <v>3.5087719298245598E-2</v>
      </c>
      <c r="AU29" s="34">
        <v>8.5106382978723402E-2</v>
      </c>
      <c r="AV29" s="34">
        <v>5.9190031152648002E-2</v>
      </c>
      <c r="AW29" s="10"/>
      <c r="AX29" s="8"/>
    </row>
    <row r="30" spans="1:50">
      <c r="A30" s="7"/>
      <c r="B30" s="10"/>
      <c r="C30" s="22" t="s">
        <v>56</v>
      </c>
      <c r="D30" s="23" t="s">
        <v>29</v>
      </c>
      <c r="E30" s="35" t="s">
        <v>78</v>
      </c>
      <c r="F30" s="35" t="s">
        <v>78</v>
      </c>
      <c r="G30" s="35" t="s">
        <v>78</v>
      </c>
      <c r="H30" s="35" t="s">
        <v>78</v>
      </c>
      <c r="I30" s="25">
        <v>0.9</v>
      </c>
      <c r="J30" s="26">
        <v>0.91044776119403004</v>
      </c>
      <c r="K30" s="26">
        <v>0.92</v>
      </c>
      <c r="L30" s="27">
        <v>0.90540540540540504</v>
      </c>
      <c r="M30" s="26">
        <v>0.89810426540284405</v>
      </c>
      <c r="N30" s="28">
        <v>0.9</v>
      </c>
      <c r="O30" s="26">
        <v>0.96449416342412497</v>
      </c>
      <c r="P30" s="26">
        <v>0.95858419996350996</v>
      </c>
      <c r="Q30" s="26">
        <v>0.98135781858653304</v>
      </c>
      <c r="R30" s="26">
        <v>0.96618170893953004</v>
      </c>
      <c r="S30" s="28">
        <v>0.9</v>
      </c>
      <c r="T30" s="26">
        <v>0.782830739299611</v>
      </c>
      <c r="U30" s="26">
        <v>0.77723043240284595</v>
      </c>
      <c r="V30" s="26">
        <v>0.850306065664997</v>
      </c>
      <c r="W30" s="26">
        <v>0.80438607785073601</v>
      </c>
      <c r="X30" s="28">
        <v>0.92</v>
      </c>
      <c r="Y30" s="28">
        <v>0.90815154994259495</v>
      </c>
      <c r="Z30" s="28">
        <v>0.93922852983988403</v>
      </c>
      <c r="AA30" s="28">
        <v>0.91373534338358497</v>
      </c>
      <c r="AB30" s="28">
        <v>0.916914731758947</v>
      </c>
      <c r="AC30" s="28">
        <v>0.92</v>
      </c>
      <c r="AD30" s="26">
        <v>0</v>
      </c>
      <c r="AE30" s="26">
        <v>0.1</v>
      </c>
      <c r="AF30" s="26">
        <v>0.86046511627906996</v>
      </c>
      <c r="AG30" s="26">
        <v>0.64179104477611904</v>
      </c>
      <c r="AH30" s="28">
        <v>0.92</v>
      </c>
      <c r="AI30" s="26">
        <v>0.93353159851301104</v>
      </c>
      <c r="AJ30" s="26">
        <v>0.95069823922282903</v>
      </c>
      <c r="AK30" s="26">
        <v>0.93674237146439998</v>
      </c>
      <c r="AL30" s="26">
        <v>0.93958528219519799</v>
      </c>
      <c r="AM30" s="25">
        <v>0.99</v>
      </c>
      <c r="AN30" s="30">
        <v>1</v>
      </c>
      <c r="AO30" s="30">
        <v>1</v>
      </c>
      <c r="AP30" s="30">
        <v>1</v>
      </c>
      <c r="AQ30" s="30">
        <v>1</v>
      </c>
      <c r="AR30" s="32">
        <v>8.7218210012826203E-2</v>
      </c>
      <c r="AS30" s="34">
        <v>3.3333333333333298E-2</v>
      </c>
      <c r="AT30" s="34">
        <v>0</v>
      </c>
      <c r="AU30" s="34">
        <v>2.8571428571428598E-2</v>
      </c>
      <c r="AV30" s="34">
        <v>2.8571428571428598E-2</v>
      </c>
      <c r="AW30" s="10"/>
      <c r="AX30" s="8"/>
    </row>
    <row r="31" spans="1:50">
      <c r="A31" s="7"/>
      <c r="B31" s="10"/>
      <c r="C31" s="22" t="s">
        <v>56</v>
      </c>
      <c r="D31" s="23" t="s">
        <v>29</v>
      </c>
      <c r="E31" s="35" t="s">
        <v>79</v>
      </c>
      <c r="F31" s="35" t="s">
        <v>79</v>
      </c>
      <c r="G31" s="35" t="s">
        <v>79</v>
      </c>
      <c r="H31" s="35" t="s">
        <v>79</v>
      </c>
      <c r="I31" s="25">
        <v>0.9</v>
      </c>
      <c r="J31" s="26">
        <v>0.91208791208791196</v>
      </c>
      <c r="K31" s="26">
        <v>0.93258426966292096</v>
      </c>
      <c r="L31" s="27">
        <v>0.92134831460674205</v>
      </c>
      <c r="M31" s="26">
        <v>0.92682926829268297</v>
      </c>
      <c r="N31" s="28">
        <v>0.9</v>
      </c>
      <c r="O31" s="26">
        <v>0.967297997002316</v>
      </c>
      <c r="P31" s="26">
        <v>0.69535415079969498</v>
      </c>
      <c r="Q31" s="26">
        <v>0.95203648372385596</v>
      </c>
      <c r="R31" s="26">
        <v>0.90608713252036599</v>
      </c>
      <c r="S31" s="28">
        <v>0.9</v>
      </c>
      <c r="T31" s="26">
        <v>0.81237225780079003</v>
      </c>
      <c r="U31" s="26">
        <v>0.74899358067674904</v>
      </c>
      <c r="V31" s="26">
        <v>0.83833936153483302</v>
      </c>
      <c r="W31" s="26">
        <v>0.73523756514699201</v>
      </c>
      <c r="X31" s="28">
        <v>0.92</v>
      </c>
      <c r="Y31" s="28">
        <v>0.92111731843575395</v>
      </c>
      <c r="Z31" s="28">
        <v>0.92719227674979898</v>
      </c>
      <c r="AA31" s="28">
        <v>0.92107458701818801</v>
      </c>
      <c r="AB31" s="28">
        <v>0.87351024948355305</v>
      </c>
      <c r="AC31" s="28">
        <v>0.92</v>
      </c>
      <c r="AD31" s="26">
        <v>0.99874973952906898</v>
      </c>
      <c r="AE31" s="26">
        <v>0.98394391677973803</v>
      </c>
      <c r="AF31" s="26">
        <v>0.99749373433583999</v>
      </c>
      <c r="AG31" s="26">
        <v>0.99515410653839298</v>
      </c>
      <c r="AH31" s="28">
        <v>0.92</v>
      </c>
      <c r="AI31" s="26">
        <v>0.94837071519255201</v>
      </c>
      <c r="AJ31" s="26">
        <v>0.94917049064595804</v>
      </c>
      <c r="AK31" s="26">
        <v>0.943904808159301</v>
      </c>
      <c r="AL31" s="26">
        <v>0.89830639428871695</v>
      </c>
      <c r="AM31" s="25">
        <v>0.99</v>
      </c>
      <c r="AN31" s="30">
        <v>1</v>
      </c>
      <c r="AO31" s="30">
        <v>1</v>
      </c>
      <c r="AP31" s="30">
        <v>1</v>
      </c>
      <c r="AQ31" s="30">
        <v>1</v>
      </c>
      <c r="AR31" s="32">
        <v>8.7218210012826203E-2</v>
      </c>
      <c r="AS31" s="34">
        <v>0.13725490196078399</v>
      </c>
      <c r="AT31" s="34">
        <v>7.2727272727272696E-2</v>
      </c>
      <c r="AU31" s="34">
        <v>6.3829787234042507E-2</v>
      </c>
      <c r="AV31" s="34">
        <v>9.3959731543624206E-2</v>
      </c>
      <c r="AW31" s="10"/>
      <c r="AX31" s="8"/>
    </row>
    <row r="32" spans="1:50">
      <c r="A32" s="7"/>
      <c r="B32" s="10"/>
      <c r="C32" s="22" t="s">
        <v>56</v>
      </c>
      <c r="D32" s="23" t="s">
        <v>29</v>
      </c>
      <c r="E32" s="35" t="s">
        <v>80</v>
      </c>
      <c r="F32" s="35" t="s">
        <v>80</v>
      </c>
      <c r="G32" s="35" t="s">
        <v>80</v>
      </c>
      <c r="H32" s="35" t="s">
        <v>80</v>
      </c>
      <c r="I32" s="25">
        <v>0.9</v>
      </c>
      <c r="J32" s="26">
        <v>0.95945945945945899</v>
      </c>
      <c r="K32" s="26">
        <v>0.987179487179487</v>
      </c>
      <c r="L32" s="27">
        <v>0.96</v>
      </c>
      <c r="M32" s="26">
        <v>0.93556085918854404</v>
      </c>
      <c r="N32" s="28">
        <v>0.9</v>
      </c>
      <c r="O32" s="26">
        <v>0.93612818261633002</v>
      </c>
      <c r="P32" s="26">
        <v>0.94363116271243497</v>
      </c>
      <c r="Q32" s="26">
        <v>0.98656126482213402</v>
      </c>
      <c r="R32" s="26">
        <v>0.93392226148409896</v>
      </c>
      <c r="S32" s="28">
        <v>0.9</v>
      </c>
      <c r="T32" s="26">
        <v>0.86062335381914001</v>
      </c>
      <c r="U32" s="26">
        <v>0.85478714453979499</v>
      </c>
      <c r="V32" s="26">
        <v>0.90777338603425595</v>
      </c>
      <c r="W32" s="26">
        <v>0.86721633294071498</v>
      </c>
      <c r="X32" s="28">
        <v>0.92</v>
      </c>
      <c r="Y32" s="28">
        <v>0.94632660829843895</v>
      </c>
      <c r="Z32" s="28">
        <v>0.94757156642007101</v>
      </c>
      <c r="AA32" s="28">
        <v>0.96141304347826095</v>
      </c>
      <c r="AB32" s="28">
        <v>0.95013918960717603</v>
      </c>
      <c r="AC32" s="28">
        <v>0.92</v>
      </c>
      <c r="AD32" s="26">
        <v>0.99940029985007495</v>
      </c>
      <c r="AE32" s="26">
        <v>0.997733711048159</v>
      </c>
      <c r="AF32" s="26">
        <v>0.99934007919049705</v>
      </c>
      <c r="AG32" s="26">
        <v>0.99761010583817</v>
      </c>
      <c r="AH32" s="28">
        <v>0.92</v>
      </c>
      <c r="AI32" s="26">
        <v>0.95461506334400703</v>
      </c>
      <c r="AJ32" s="26">
        <v>0.963102076889085</v>
      </c>
      <c r="AK32" s="26">
        <v>0.97177257525083605</v>
      </c>
      <c r="AL32" s="26">
        <v>0.96339881838704999</v>
      </c>
      <c r="AM32" s="25">
        <v>0.99</v>
      </c>
      <c r="AN32" s="30">
        <v>1</v>
      </c>
      <c r="AO32" s="30">
        <v>1</v>
      </c>
      <c r="AP32" s="30">
        <v>1</v>
      </c>
      <c r="AQ32" s="30">
        <v>1</v>
      </c>
      <c r="AR32" s="32">
        <v>8.7218210012826203E-2</v>
      </c>
      <c r="AS32" s="34">
        <v>8.3333333333333301E-2</v>
      </c>
      <c r="AT32" s="34">
        <v>6.3829787234042507E-2</v>
      </c>
      <c r="AU32" s="34">
        <v>0.1</v>
      </c>
      <c r="AV32" s="34">
        <v>6.0747663551401897E-2</v>
      </c>
      <c r="AW32" s="10"/>
      <c r="AX32" s="8"/>
    </row>
    <row r="33" spans="1:50">
      <c r="A33" s="7"/>
      <c r="B33" s="10"/>
      <c r="C33" s="22" t="s">
        <v>56</v>
      </c>
      <c r="D33" s="23" t="s">
        <v>29</v>
      </c>
      <c r="E33" s="35" t="s">
        <v>81</v>
      </c>
      <c r="F33" s="35" t="s">
        <v>81</v>
      </c>
      <c r="G33" s="35" t="s">
        <v>81</v>
      </c>
      <c r="H33" s="35" t="s">
        <v>81</v>
      </c>
      <c r="I33" s="25">
        <v>0.9</v>
      </c>
      <c r="J33" s="26">
        <v>0.89333333333333298</v>
      </c>
      <c r="K33" s="26">
        <v>0.94366197183098599</v>
      </c>
      <c r="L33" s="27">
        <v>0.95588235294117696</v>
      </c>
      <c r="M33" s="26">
        <v>0.94329896907216504</v>
      </c>
      <c r="N33" s="28">
        <v>0.9</v>
      </c>
      <c r="O33" s="26">
        <v>0.88601130767827796</v>
      </c>
      <c r="P33" s="26">
        <v>0.897298779651721</v>
      </c>
      <c r="Q33" s="26">
        <v>0.87832105380665304</v>
      </c>
      <c r="R33" s="26">
        <v>0.85485445061416798</v>
      </c>
      <c r="S33" s="28">
        <v>0.9</v>
      </c>
      <c r="T33" s="26">
        <v>0.75232536932336302</v>
      </c>
      <c r="U33" s="26">
        <v>0.74427533251062705</v>
      </c>
      <c r="V33" s="26">
        <v>0.80196472426881005</v>
      </c>
      <c r="W33" s="26">
        <v>0.76264512872286705</v>
      </c>
      <c r="X33" s="28">
        <v>0.92</v>
      </c>
      <c r="Y33" s="28">
        <v>0.91044776119403004</v>
      </c>
      <c r="Z33" s="28">
        <v>0.94608399545970501</v>
      </c>
      <c r="AA33" s="28">
        <v>0.943624868282403</v>
      </c>
      <c r="AB33" s="28">
        <v>0.93579136690647502</v>
      </c>
      <c r="AC33" s="28">
        <v>0.92</v>
      </c>
      <c r="AD33" s="26">
        <v>0.94283347141673601</v>
      </c>
      <c r="AE33" s="26">
        <v>0.97447772293962498</v>
      </c>
      <c r="AF33" s="26">
        <v>0.97060565674514998</v>
      </c>
      <c r="AG33" s="26">
        <v>0.95833209886053194</v>
      </c>
      <c r="AH33" s="28">
        <v>0.92</v>
      </c>
      <c r="AI33" s="26">
        <v>0.94070911893750697</v>
      </c>
      <c r="AJ33" s="26">
        <v>0.95008319467554103</v>
      </c>
      <c r="AK33" s="26">
        <v>0.95820751298466</v>
      </c>
      <c r="AL33" s="26">
        <v>0.95246406792078797</v>
      </c>
      <c r="AM33" s="25">
        <v>0.99</v>
      </c>
      <c r="AN33" s="30">
        <v>1</v>
      </c>
      <c r="AO33" s="30">
        <v>1</v>
      </c>
      <c r="AP33" s="30">
        <v>1</v>
      </c>
      <c r="AQ33" s="30">
        <v>1</v>
      </c>
      <c r="AR33" s="32">
        <v>8.7218210012826203E-2</v>
      </c>
      <c r="AS33" s="34">
        <v>6.3829787234042507E-2</v>
      </c>
      <c r="AT33" s="34">
        <v>6.8181818181818205E-2</v>
      </c>
      <c r="AU33" s="34">
        <v>0.214285714285714</v>
      </c>
      <c r="AV33" s="34">
        <v>5.9259259259259303E-2</v>
      </c>
      <c r="AW33" s="10"/>
      <c r="AX33" s="8"/>
    </row>
    <row r="34" spans="1:50">
      <c r="A34" s="7"/>
      <c r="B34" s="10"/>
      <c r="C34" s="22" t="s">
        <v>56</v>
      </c>
      <c r="D34" s="23" t="s">
        <v>29</v>
      </c>
      <c r="E34" s="35" t="s">
        <v>82</v>
      </c>
      <c r="F34" s="35" t="s">
        <v>82</v>
      </c>
      <c r="G34" s="35" t="s">
        <v>82</v>
      </c>
      <c r="H34" s="35" t="s">
        <v>82</v>
      </c>
      <c r="I34" s="25">
        <v>0.9</v>
      </c>
      <c r="J34" s="26">
        <v>0.97560975609756095</v>
      </c>
      <c r="K34" s="26">
        <v>0.99253731343283602</v>
      </c>
      <c r="L34" s="27">
        <v>0.99248120300751896</v>
      </c>
      <c r="M34" s="26">
        <v>0.97493036211699202</v>
      </c>
      <c r="N34" s="28">
        <v>0.9</v>
      </c>
      <c r="O34" s="26">
        <v>0.99293992273877696</v>
      </c>
      <c r="P34" s="26">
        <v>0.99413700884591605</v>
      </c>
      <c r="Q34" s="26">
        <v>0.99348072562358303</v>
      </c>
      <c r="R34" s="26">
        <v>0.99300747875616502</v>
      </c>
      <c r="S34" s="28">
        <v>0.9</v>
      </c>
      <c r="T34" s="26">
        <v>0.88357532969228703</v>
      </c>
      <c r="U34" s="26">
        <v>0.88531166426661201</v>
      </c>
      <c r="V34" s="26">
        <v>0.90873015873015905</v>
      </c>
      <c r="W34" s="26">
        <v>0.87001319780499697</v>
      </c>
      <c r="X34" s="28">
        <v>0.92</v>
      </c>
      <c r="Y34" s="28">
        <v>0.93560526865983695</v>
      </c>
      <c r="Z34" s="28">
        <v>0.94677299703264095</v>
      </c>
      <c r="AA34" s="28">
        <v>0.94494883989047396</v>
      </c>
      <c r="AB34" s="28">
        <v>0.93013750822624797</v>
      </c>
      <c r="AC34" s="28">
        <v>0.92</v>
      </c>
      <c r="AD34" s="26">
        <v>0.99100968188105099</v>
      </c>
      <c r="AE34" s="26">
        <v>0.99079320113314495</v>
      </c>
      <c r="AF34" s="26">
        <v>0.96634146341463401</v>
      </c>
      <c r="AG34" s="26">
        <v>0.981187884524373</v>
      </c>
      <c r="AH34" s="28">
        <v>0.92</v>
      </c>
      <c r="AI34" s="26">
        <v>0.95630593978844602</v>
      </c>
      <c r="AJ34" s="26">
        <v>0.96625421822272195</v>
      </c>
      <c r="AK34" s="26">
        <v>0.96312968917470498</v>
      </c>
      <c r="AL34" s="26">
        <v>0.95251179572578404</v>
      </c>
      <c r="AM34" s="25">
        <v>0.99</v>
      </c>
      <c r="AN34" s="30">
        <v>1</v>
      </c>
      <c r="AO34" s="30">
        <v>1</v>
      </c>
      <c r="AP34" s="30">
        <v>1</v>
      </c>
      <c r="AQ34" s="30">
        <v>1</v>
      </c>
      <c r="AR34" s="32">
        <v>8.7218210012826203E-2</v>
      </c>
      <c r="AS34" s="34">
        <v>2.7397260273972601E-2</v>
      </c>
      <c r="AT34" s="34">
        <v>8.0645161290322606E-2</v>
      </c>
      <c r="AU34" s="34">
        <v>4.7619047619047603E-2</v>
      </c>
      <c r="AV34" s="34">
        <v>3.3492822966507199E-2</v>
      </c>
      <c r="AW34" s="10"/>
      <c r="AX34" s="8"/>
    </row>
    <row r="35" spans="1:50">
      <c r="A35" s="7"/>
      <c r="B35" s="10"/>
      <c r="C35" s="22" t="s">
        <v>56</v>
      </c>
      <c r="D35" s="23" t="s">
        <v>29</v>
      </c>
      <c r="E35" s="35" t="s">
        <v>83</v>
      </c>
      <c r="F35" s="35" t="s">
        <v>83</v>
      </c>
      <c r="G35" s="35" t="s">
        <v>83</v>
      </c>
      <c r="H35" s="35" t="s">
        <v>83</v>
      </c>
      <c r="I35" s="25">
        <v>0.9</v>
      </c>
      <c r="J35" s="26">
        <v>0.91836734693877597</v>
      </c>
      <c r="K35" s="26">
        <v>0.841584158415842</v>
      </c>
      <c r="L35" s="27">
        <v>0.91304347826086996</v>
      </c>
      <c r="M35" s="26">
        <v>0.86891385767790297</v>
      </c>
      <c r="N35" s="28">
        <v>0.9</v>
      </c>
      <c r="O35" s="26">
        <v>0.90798397040690504</v>
      </c>
      <c r="P35" s="26">
        <v>0.95168042100227201</v>
      </c>
      <c r="Q35" s="26">
        <v>0.98941991973732202</v>
      </c>
      <c r="R35" s="26">
        <v>0.95877773776214104</v>
      </c>
      <c r="S35" s="28">
        <v>0.9</v>
      </c>
      <c r="T35" s="26">
        <v>0.81997533908754605</v>
      </c>
      <c r="U35" s="26">
        <v>0.77957182155244598</v>
      </c>
      <c r="V35" s="26">
        <v>0.820868296242247</v>
      </c>
      <c r="W35" s="26">
        <v>0.79582790813641002</v>
      </c>
      <c r="X35" s="28">
        <v>0.92</v>
      </c>
      <c r="Y35" s="28">
        <v>0.91995614035087703</v>
      </c>
      <c r="Z35" s="28">
        <v>0.947978303747535</v>
      </c>
      <c r="AA35" s="28">
        <v>0.94737936772046605</v>
      </c>
      <c r="AB35" s="28">
        <v>0.94009591892136501</v>
      </c>
      <c r="AC35" s="28">
        <v>0.92</v>
      </c>
      <c r="AD35" s="26">
        <v>0.95955516898608395</v>
      </c>
      <c r="AE35" s="26">
        <v>0.97584647353624299</v>
      </c>
      <c r="AF35" s="26">
        <v>0.82298447671507302</v>
      </c>
      <c r="AG35" s="26">
        <v>0.91101055806938203</v>
      </c>
      <c r="AH35" s="28">
        <v>0.92</v>
      </c>
      <c r="AI35" s="26">
        <v>0.95037979678405804</v>
      </c>
      <c r="AJ35" s="26">
        <v>0.96530628672623398</v>
      </c>
      <c r="AK35" s="26">
        <v>0.96288379323746598</v>
      </c>
      <c r="AL35" s="26">
        <v>0.96068293855957698</v>
      </c>
      <c r="AM35" s="25">
        <v>0.99</v>
      </c>
      <c r="AN35" s="30">
        <v>1</v>
      </c>
      <c r="AO35" s="30">
        <v>1</v>
      </c>
      <c r="AP35" s="30">
        <v>1</v>
      </c>
      <c r="AQ35" s="30">
        <v>1</v>
      </c>
      <c r="AR35" s="32">
        <v>8.7218210012826203E-2</v>
      </c>
      <c r="AS35" s="34">
        <v>6.5217391304347797E-2</v>
      </c>
      <c r="AT35" s="34">
        <v>0.12</v>
      </c>
      <c r="AU35" s="34">
        <v>4.08163265306122E-2</v>
      </c>
      <c r="AV35" s="34">
        <v>6.8965517241379296E-2</v>
      </c>
      <c r="AW35" s="10"/>
      <c r="AX35" s="8"/>
    </row>
    <row r="36" spans="1:50">
      <c r="A36" s="7"/>
      <c r="B36" s="10"/>
      <c r="C36" s="22" t="s">
        <v>56</v>
      </c>
      <c r="D36" s="23" t="s">
        <v>29</v>
      </c>
      <c r="E36" s="35" t="s">
        <v>84</v>
      </c>
      <c r="F36" s="35" t="s">
        <v>84</v>
      </c>
      <c r="G36" s="35" t="s">
        <v>84</v>
      </c>
      <c r="H36" s="35" t="s">
        <v>84</v>
      </c>
      <c r="I36" s="25">
        <v>0.9</v>
      </c>
      <c r="J36" s="26">
        <v>0.87951807228915702</v>
      </c>
      <c r="K36" s="26">
        <v>0.94047619047619002</v>
      </c>
      <c r="L36" s="27">
        <v>0.94478527607361995</v>
      </c>
      <c r="M36" s="26">
        <v>0.91135135135135104</v>
      </c>
      <c r="N36" s="28">
        <v>0.9</v>
      </c>
      <c r="O36" s="26">
        <v>0.94634902188650005</v>
      </c>
      <c r="P36" s="26">
        <v>0.93280603729772904</v>
      </c>
      <c r="Q36" s="26">
        <v>0.94259098786828399</v>
      </c>
      <c r="R36" s="26">
        <v>0.93910807606899005</v>
      </c>
      <c r="S36" s="28">
        <v>0.9</v>
      </c>
      <c r="T36" s="26">
        <v>0.75537478210342801</v>
      </c>
      <c r="U36" s="26">
        <v>0.71584065017052501</v>
      </c>
      <c r="V36" s="26">
        <v>0.78520363951473104</v>
      </c>
      <c r="W36" s="26">
        <v>0.74145559581253195</v>
      </c>
      <c r="X36" s="28">
        <v>0.92</v>
      </c>
      <c r="Y36" s="28">
        <v>0.90212901175722904</v>
      </c>
      <c r="Z36" s="28">
        <v>0.89715626725566</v>
      </c>
      <c r="AA36" s="28">
        <v>0.92367193720850904</v>
      </c>
      <c r="AB36" s="28">
        <v>0.90335361905995104</v>
      </c>
      <c r="AC36" s="28">
        <v>0.92</v>
      </c>
      <c r="AD36" s="26">
        <v>0.85221674876847298</v>
      </c>
      <c r="AE36" s="26">
        <v>0.96834532374100701</v>
      </c>
      <c r="AF36" s="26">
        <v>0.989037758830694</v>
      </c>
      <c r="AG36" s="26">
        <v>0.96063859069639401</v>
      </c>
      <c r="AH36" s="28">
        <v>0.92</v>
      </c>
      <c r="AI36" s="26">
        <v>0.92399807437718096</v>
      </c>
      <c r="AJ36" s="26">
        <v>0.92618662608199398</v>
      </c>
      <c r="AK36" s="26">
        <v>0.93630714602751897</v>
      </c>
      <c r="AL36" s="26">
        <v>0.92743237070496898</v>
      </c>
      <c r="AM36" s="25">
        <v>0.99</v>
      </c>
      <c r="AN36" s="30">
        <v>1</v>
      </c>
      <c r="AO36" s="30">
        <v>1</v>
      </c>
      <c r="AP36" s="30">
        <v>1</v>
      </c>
      <c r="AQ36" s="30">
        <v>1</v>
      </c>
      <c r="AR36" s="32">
        <v>8.7218210012826203E-2</v>
      </c>
      <c r="AS36" s="34">
        <v>5.4347826086956499E-2</v>
      </c>
      <c r="AT36" s="34">
        <v>5.31914893617021E-2</v>
      </c>
      <c r="AU36" s="34">
        <v>2.7027027027027001E-2</v>
      </c>
      <c r="AV36" s="34">
        <v>5.3061224489795902E-2</v>
      </c>
      <c r="AW36" s="10"/>
      <c r="AX36" s="8"/>
    </row>
    <row r="37" spans="1:50">
      <c r="A37" s="7"/>
      <c r="B37" s="10"/>
      <c r="C37" s="22" t="s">
        <v>56</v>
      </c>
      <c r="D37" s="23" t="s">
        <v>29</v>
      </c>
      <c r="E37" s="35" t="s">
        <v>85</v>
      </c>
      <c r="F37" s="35" t="s">
        <v>85</v>
      </c>
      <c r="G37" s="35" t="s">
        <v>85</v>
      </c>
      <c r="H37" s="35" t="s">
        <v>85</v>
      </c>
      <c r="I37" s="25">
        <v>0.9</v>
      </c>
      <c r="J37" s="26">
        <v>0</v>
      </c>
      <c r="K37" s="26">
        <v>0</v>
      </c>
      <c r="L37" s="27">
        <v>0</v>
      </c>
      <c r="M37" s="26">
        <v>0</v>
      </c>
      <c r="N37" s="28">
        <v>0.9</v>
      </c>
      <c r="O37" s="26">
        <v>0.97619047619047605</v>
      </c>
      <c r="P37" s="26">
        <v>0.99786324786324798</v>
      </c>
      <c r="Q37" s="26">
        <v>0.99735799207397602</v>
      </c>
      <c r="R37" s="26">
        <v>0.99298824499896898</v>
      </c>
      <c r="S37" s="28">
        <v>0.9</v>
      </c>
      <c r="T37" s="26">
        <v>0.92857142857142905</v>
      </c>
      <c r="U37" s="26">
        <v>1</v>
      </c>
      <c r="V37" s="26">
        <v>1</v>
      </c>
      <c r="W37" s="26">
        <v>0.99587543823468805</v>
      </c>
      <c r="X37" s="28">
        <v>0.92</v>
      </c>
      <c r="Y37" s="28">
        <v>0.875</v>
      </c>
      <c r="Z37" s="28">
        <v>1</v>
      </c>
      <c r="AA37" s="28">
        <v>0.99685534591195002</v>
      </c>
      <c r="AB37" s="28">
        <v>0.99783174327840396</v>
      </c>
      <c r="AC37" s="28">
        <v>0.92</v>
      </c>
      <c r="AD37" s="26">
        <v>0</v>
      </c>
      <c r="AE37" s="26">
        <v>0</v>
      </c>
      <c r="AF37" s="26">
        <v>0</v>
      </c>
      <c r="AG37" s="26">
        <v>0.99939772990502695</v>
      </c>
      <c r="AH37" s="28">
        <v>0.92</v>
      </c>
      <c r="AI37" s="26">
        <v>0.91379310344827602</v>
      </c>
      <c r="AJ37" s="26">
        <v>0.99948717948717902</v>
      </c>
      <c r="AK37" s="26">
        <v>0.998142989786444</v>
      </c>
      <c r="AL37" s="26">
        <v>0.99692737430167599</v>
      </c>
      <c r="AM37" s="25">
        <v>0.99</v>
      </c>
      <c r="AN37" s="30">
        <v>0</v>
      </c>
      <c r="AO37" s="30">
        <v>0</v>
      </c>
      <c r="AP37" s="30">
        <v>0</v>
      </c>
      <c r="AQ37" s="30">
        <v>1</v>
      </c>
      <c r="AR37" s="32">
        <v>8.7218210012826203E-2</v>
      </c>
      <c r="AS37" s="34">
        <v>0</v>
      </c>
      <c r="AT37" s="34">
        <v>0</v>
      </c>
      <c r="AU37" s="34">
        <v>0</v>
      </c>
      <c r="AV37" s="34">
        <v>0</v>
      </c>
      <c r="AW37" s="10"/>
      <c r="AX37" s="8"/>
    </row>
    <row r="38" spans="1:50">
      <c r="A38" s="7"/>
      <c r="B38" s="10"/>
      <c r="C38" s="22" t="s">
        <v>56</v>
      </c>
      <c r="D38" s="23" t="s">
        <v>29</v>
      </c>
      <c r="E38" s="35" t="s">
        <v>86</v>
      </c>
      <c r="F38" s="35" t="s">
        <v>86</v>
      </c>
      <c r="G38" s="35" t="s">
        <v>86</v>
      </c>
      <c r="H38" s="35" t="s">
        <v>86</v>
      </c>
      <c r="I38" s="25">
        <v>0.9</v>
      </c>
      <c r="J38" s="26">
        <v>0.98630136986301398</v>
      </c>
      <c r="K38" s="26">
        <v>1</v>
      </c>
      <c r="L38" s="27">
        <v>0.97142857142857097</v>
      </c>
      <c r="M38" s="26">
        <v>0.980582524271845</v>
      </c>
      <c r="N38" s="28">
        <v>0.9</v>
      </c>
      <c r="O38" s="26">
        <v>0.983423356304712</v>
      </c>
      <c r="P38" s="26">
        <v>0.97525984482506201</v>
      </c>
      <c r="Q38" s="26">
        <v>0.96970971813209905</v>
      </c>
      <c r="R38" s="26">
        <v>0.971983039791259</v>
      </c>
      <c r="S38" s="28">
        <v>0.9</v>
      </c>
      <c r="T38" s="26">
        <v>0.81355932203389802</v>
      </c>
      <c r="U38" s="26">
        <v>0.821402430098082</v>
      </c>
      <c r="V38" s="26">
        <v>0.84034497265460695</v>
      </c>
      <c r="W38" s="26">
        <v>0.82433137638617104</v>
      </c>
      <c r="X38" s="28">
        <v>0.92</v>
      </c>
      <c r="Y38" s="28">
        <v>0.93300887489264195</v>
      </c>
      <c r="Z38" s="28">
        <v>0.93105209397344202</v>
      </c>
      <c r="AA38" s="28">
        <v>0.945806451612903</v>
      </c>
      <c r="AB38" s="28">
        <v>0.93147710273608997</v>
      </c>
      <c r="AC38" s="28">
        <v>0.92</v>
      </c>
      <c r="AD38" s="26">
        <v>0.99831172339276097</v>
      </c>
      <c r="AE38" s="26">
        <v>0.99889221225213298</v>
      </c>
      <c r="AF38" s="26">
        <v>0.76063877642824995</v>
      </c>
      <c r="AG38" s="26">
        <v>0.938165663836248</v>
      </c>
      <c r="AH38" s="28">
        <v>0.92</v>
      </c>
      <c r="AI38" s="26">
        <v>0.95081227436823101</v>
      </c>
      <c r="AJ38" s="26">
        <v>0.94995348837209304</v>
      </c>
      <c r="AK38" s="26">
        <v>0.95799659719268404</v>
      </c>
      <c r="AL38" s="26">
        <v>0.94991633264583397</v>
      </c>
      <c r="AM38" s="25">
        <v>0.99</v>
      </c>
      <c r="AN38" s="30">
        <v>1</v>
      </c>
      <c r="AO38" s="30">
        <v>1</v>
      </c>
      <c r="AP38" s="30">
        <v>1</v>
      </c>
      <c r="AQ38" s="30">
        <v>1</v>
      </c>
      <c r="AR38" s="32">
        <v>8.7218210012826203E-2</v>
      </c>
      <c r="AS38" s="34">
        <v>3.5714285714285698E-2</v>
      </c>
      <c r="AT38" s="34">
        <v>0</v>
      </c>
      <c r="AU38" s="34">
        <v>0</v>
      </c>
      <c r="AV38" s="34">
        <v>1.1494252873563199E-2</v>
      </c>
      <c r="AW38" s="10"/>
      <c r="AX38" s="8"/>
    </row>
    <row r="39" spans="1:50">
      <c r="A39" s="7"/>
      <c r="B39" s="10"/>
      <c r="C39" s="22" t="s">
        <v>56</v>
      </c>
      <c r="D39" s="23" t="s">
        <v>29</v>
      </c>
      <c r="E39" s="35" t="s">
        <v>87</v>
      </c>
      <c r="F39" s="35" t="s">
        <v>87</v>
      </c>
      <c r="G39" s="35" t="s">
        <v>87</v>
      </c>
      <c r="H39" s="35" t="s">
        <v>87</v>
      </c>
      <c r="I39" s="25">
        <v>0.9</v>
      </c>
      <c r="J39" s="26">
        <v>0.95833333333333304</v>
      </c>
      <c r="K39" s="26">
        <v>0.94666666666666699</v>
      </c>
      <c r="L39" s="27">
        <v>0.95774647887323905</v>
      </c>
      <c r="M39" s="26">
        <v>0.94927536231884102</v>
      </c>
      <c r="N39" s="28">
        <v>0.9</v>
      </c>
      <c r="O39" s="26">
        <v>0.99672131147540999</v>
      </c>
      <c r="P39" s="26">
        <v>0.99881493185858194</v>
      </c>
      <c r="Q39" s="26">
        <v>0.99707773232028096</v>
      </c>
      <c r="R39" s="26">
        <v>0.99690707786095301</v>
      </c>
      <c r="S39" s="28">
        <v>0.9</v>
      </c>
      <c r="T39" s="26">
        <v>0.84867591424968503</v>
      </c>
      <c r="U39" s="26">
        <v>0.83053525577720699</v>
      </c>
      <c r="V39" s="26">
        <v>0.86674459380479296</v>
      </c>
      <c r="W39" s="26">
        <v>0.83396835357927301</v>
      </c>
      <c r="X39" s="28">
        <v>0.92</v>
      </c>
      <c r="Y39" s="28">
        <v>0.909555642941408</v>
      </c>
      <c r="Z39" s="28">
        <v>0.94572182434979302</v>
      </c>
      <c r="AA39" s="28">
        <v>0.95367160416010099</v>
      </c>
      <c r="AB39" s="28">
        <v>0.93597497393117801</v>
      </c>
      <c r="AC39" s="28">
        <v>0.92</v>
      </c>
      <c r="AD39" s="26">
        <v>0.98294243070362497</v>
      </c>
      <c r="AE39" s="26">
        <v>0.98076923076923095</v>
      </c>
      <c r="AF39" s="26">
        <v>0.97505668934240397</v>
      </c>
      <c r="AG39" s="26">
        <v>0.98016467065868296</v>
      </c>
      <c r="AH39" s="28">
        <v>0.92</v>
      </c>
      <c r="AI39" s="26">
        <v>0.93945912722802705</v>
      </c>
      <c r="AJ39" s="26">
        <v>0.96487817522032104</v>
      </c>
      <c r="AK39" s="26">
        <v>0.96542835481425304</v>
      </c>
      <c r="AL39" s="26">
        <v>0.95538901757732697</v>
      </c>
      <c r="AM39" s="25">
        <v>0.99</v>
      </c>
      <c r="AN39" s="30">
        <v>1</v>
      </c>
      <c r="AO39" s="30">
        <v>1</v>
      </c>
      <c r="AP39" s="30">
        <v>1</v>
      </c>
      <c r="AQ39" s="30">
        <v>1</v>
      </c>
      <c r="AR39" s="32">
        <v>8.7218210012826203E-2</v>
      </c>
      <c r="AS39" s="34">
        <v>2.9411764705882401E-2</v>
      </c>
      <c r="AT39" s="34">
        <v>0.08</v>
      </c>
      <c r="AU39" s="34">
        <v>3.3333333333333298E-2</v>
      </c>
      <c r="AV39" s="34">
        <v>7.3033707865168496E-2</v>
      </c>
      <c r="AW39" s="10"/>
      <c r="AX39" s="8"/>
    </row>
    <row r="40" spans="1:50">
      <c r="A40" s="7"/>
      <c r="B40" s="10"/>
      <c r="C40" s="22" t="s">
        <v>56</v>
      </c>
      <c r="D40" s="23" t="s">
        <v>29</v>
      </c>
      <c r="E40" s="35" t="s">
        <v>88</v>
      </c>
      <c r="F40" s="35" t="s">
        <v>88</v>
      </c>
      <c r="G40" s="35" t="s">
        <v>88</v>
      </c>
      <c r="H40" s="35" t="s">
        <v>88</v>
      </c>
      <c r="I40" s="25">
        <v>0.9</v>
      </c>
      <c r="J40" s="26">
        <v>0.96385542168674698</v>
      </c>
      <c r="K40" s="26">
        <v>0.96590909090909105</v>
      </c>
      <c r="L40" s="27">
        <v>0.94252873563218398</v>
      </c>
      <c r="M40" s="26">
        <v>0.94639175257732</v>
      </c>
      <c r="N40" s="28">
        <v>0.9</v>
      </c>
      <c r="O40" s="26">
        <v>0.96823183015651604</v>
      </c>
      <c r="P40" s="26">
        <v>0.97926267281106005</v>
      </c>
      <c r="Q40" s="26">
        <v>0.96278659611992901</v>
      </c>
      <c r="R40" s="26">
        <v>0.96867380016638505</v>
      </c>
      <c r="S40" s="28">
        <v>0.9</v>
      </c>
      <c r="T40" s="26">
        <v>0.78955524562219104</v>
      </c>
      <c r="U40" s="26">
        <v>0.79633896569380402</v>
      </c>
      <c r="V40" s="26">
        <v>0.83668430335096999</v>
      </c>
      <c r="W40" s="26">
        <v>0.80946097134169104</v>
      </c>
      <c r="X40" s="28">
        <v>0.92</v>
      </c>
      <c r="Y40" s="28">
        <v>0.937311935807422</v>
      </c>
      <c r="Z40" s="28">
        <v>0.94135657089025004</v>
      </c>
      <c r="AA40" s="28">
        <v>0.93161750892353901</v>
      </c>
      <c r="AB40" s="28">
        <v>0.93373833803428097</v>
      </c>
      <c r="AC40" s="28">
        <v>0.92</v>
      </c>
      <c r="AD40" s="26">
        <v>0.99698340874811497</v>
      </c>
      <c r="AE40" s="26">
        <v>0.97014636662582998</v>
      </c>
      <c r="AF40" s="26">
        <v>0.98026744944553201</v>
      </c>
      <c r="AG40" s="26">
        <v>0.93782447466007401</v>
      </c>
      <c r="AH40" s="28">
        <v>0.92</v>
      </c>
      <c r="AI40" s="26">
        <v>0.93937942922811701</v>
      </c>
      <c r="AJ40" s="26">
        <v>0.95215191972800395</v>
      </c>
      <c r="AK40" s="26">
        <v>0.937329452428597</v>
      </c>
      <c r="AL40" s="26">
        <v>0.94640513847641405</v>
      </c>
      <c r="AM40" s="25">
        <v>0.99</v>
      </c>
      <c r="AN40" s="30">
        <v>1</v>
      </c>
      <c r="AO40" s="30">
        <v>1</v>
      </c>
      <c r="AP40" s="30">
        <v>1</v>
      </c>
      <c r="AQ40" s="30">
        <v>1</v>
      </c>
      <c r="AR40" s="32">
        <v>8.7218210012826203E-2</v>
      </c>
      <c r="AS40" s="34">
        <v>0.05</v>
      </c>
      <c r="AT40" s="34">
        <v>8.5106382978723402E-2</v>
      </c>
      <c r="AU40" s="34">
        <v>0</v>
      </c>
      <c r="AV40" s="34">
        <v>4.6808510638297898E-2</v>
      </c>
      <c r="AW40" s="10"/>
      <c r="AX40" s="8"/>
    </row>
    <row r="41" spans="1:50">
      <c r="A41" s="7"/>
      <c r="B41" s="10"/>
      <c r="C41" s="22" t="s">
        <v>56</v>
      </c>
      <c r="D41" s="23" t="s">
        <v>29</v>
      </c>
      <c r="E41" s="35" t="s">
        <v>89</v>
      </c>
      <c r="F41" s="35" t="s">
        <v>89</v>
      </c>
      <c r="G41" s="35" t="s">
        <v>89</v>
      </c>
      <c r="H41" s="35" t="s">
        <v>89</v>
      </c>
      <c r="I41" s="25">
        <v>0.9</v>
      </c>
      <c r="J41" s="26">
        <v>0.96825396825396803</v>
      </c>
      <c r="K41" s="26">
        <v>0.952755905511811</v>
      </c>
      <c r="L41" s="27">
        <v>0.99186991869918695</v>
      </c>
      <c r="M41" s="26">
        <v>0.97446808510638305</v>
      </c>
      <c r="N41" s="28">
        <v>0.9</v>
      </c>
      <c r="O41" s="26">
        <v>0.99224806201550397</v>
      </c>
      <c r="P41" s="26">
        <v>0.98670377241805796</v>
      </c>
      <c r="Q41" s="26">
        <v>0.982600732600733</v>
      </c>
      <c r="R41" s="26">
        <v>0.98998998998998999</v>
      </c>
      <c r="S41" s="28">
        <v>0.9</v>
      </c>
      <c r="T41" s="26">
        <v>0.90067008277493099</v>
      </c>
      <c r="U41" s="26">
        <v>0.85930735930735902</v>
      </c>
      <c r="V41" s="26">
        <v>0.90750915750915795</v>
      </c>
      <c r="W41" s="26">
        <v>0.88805084153921399</v>
      </c>
      <c r="X41" s="28">
        <v>0.92</v>
      </c>
      <c r="Y41" s="28">
        <v>0.94044375243285305</v>
      </c>
      <c r="Z41" s="28">
        <v>0.95656995010164503</v>
      </c>
      <c r="AA41" s="28">
        <v>0.95909732016925198</v>
      </c>
      <c r="AB41" s="28">
        <v>0.95202424324968504</v>
      </c>
      <c r="AC41" s="28">
        <v>0.92</v>
      </c>
      <c r="AD41" s="26">
        <v>0.99338778685336404</v>
      </c>
      <c r="AE41" s="26">
        <v>0.99619337647506701</v>
      </c>
      <c r="AF41" s="26">
        <v>0.92547033285094105</v>
      </c>
      <c r="AG41" s="26">
        <v>0.97514466070489203</v>
      </c>
      <c r="AH41" s="28">
        <v>0.92</v>
      </c>
      <c r="AI41" s="26">
        <v>0.95686612814681204</v>
      </c>
      <c r="AJ41" s="26">
        <v>0.96943231441047995</v>
      </c>
      <c r="AK41" s="26">
        <v>0.97147054275552802</v>
      </c>
      <c r="AL41" s="26">
        <v>0.96718002599054398</v>
      </c>
      <c r="AM41" s="25">
        <v>0.99</v>
      </c>
      <c r="AN41" s="30">
        <v>1</v>
      </c>
      <c r="AO41" s="30">
        <v>1</v>
      </c>
      <c r="AP41" s="30">
        <v>1</v>
      </c>
      <c r="AQ41" s="30">
        <v>1</v>
      </c>
      <c r="AR41" s="32">
        <v>8.7218210012826203E-2</v>
      </c>
      <c r="AS41" s="34">
        <v>4.6511627906976702E-2</v>
      </c>
      <c r="AT41" s="34">
        <v>3.5087719298245598E-2</v>
      </c>
      <c r="AU41" s="34">
        <v>6.5217391304347797E-2</v>
      </c>
      <c r="AV41" s="34">
        <v>4.1811846689895502E-2</v>
      </c>
      <c r="AW41" s="10"/>
      <c r="AX41" s="8"/>
    </row>
    <row r="42" spans="1:50">
      <c r="A42" s="7"/>
      <c r="B42" s="10"/>
      <c r="C42" s="22" t="s">
        <v>56</v>
      </c>
      <c r="D42" s="23" t="s">
        <v>29</v>
      </c>
      <c r="E42" s="35" t="s">
        <v>90</v>
      </c>
      <c r="F42" s="35" t="s">
        <v>90</v>
      </c>
      <c r="G42" s="35" t="s">
        <v>90</v>
      </c>
      <c r="H42" s="35" t="s">
        <v>90</v>
      </c>
      <c r="I42" s="25">
        <v>0.9</v>
      </c>
      <c r="J42" s="26">
        <v>0.97902097902097895</v>
      </c>
      <c r="K42" s="26">
        <v>0.97350993377483397</v>
      </c>
      <c r="L42" s="27">
        <v>0.972413793103448</v>
      </c>
      <c r="M42" s="26">
        <v>0.96433121019108303</v>
      </c>
      <c r="N42" s="28">
        <v>0.9</v>
      </c>
      <c r="O42" s="26">
        <v>0.99679182509505704</v>
      </c>
      <c r="P42" s="26">
        <v>0.99900108972030499</v>
      </c>
      <c r="Q42" s="26">
        <v>0.99823321554770295</v>
      </c>
      <c r="R42" s="26">
        <v>0.99832765562093495</v>
      </c>
      <c r="S42" s="28">
        <v>0.9</v>
      </c>
      <c r="T42" s="26">
        <v>0.88414923954372604</v>
      </c>
      <c r="U42" s="26">
        <v>0.85116236832546299</v>
      </c>
      <c r="V42" s="26">
        <v>0.91274802935580301</v>
      </c>
      <c r="W42" s="26">
        <v>0.87647362444513299</v>
      </c>
      <c r="X42" s="28">
        <v>0.92</v>
      </c>
      <c r="Y42" s="28">
        <v>0.93767759045273702</v>
      </c>
      <c r="Z42" s="28">
        <v>0.94142906217794597</v>
      </c>
      <c r="AA42" s="28">
        <v>0.95017648655986997</v>
      </c>
      <c r="AB42" s="28">
        <v>0.94092972296134003</v>
      </c>
      <c r="AC42" s="28">
        <v>0.92</v>
      </c>
      <c r="AD42" s="26">
        <v>0.76783706110208705</v>
      </c>
      <c r="AE42" s="26">
        <v>0.996186023622047</v>
      </c>
      <c r="AF42" s="26">
        <v>0.99067909454061298</v>
      </c>
      <c r="AG42" s="26">
        <v>0.95164493567049502</v>
      </c>
      <c r="AH42" s="28">
        <v>0.92</v>
      </c>
      <c r="AI42" s="26">
        <v>0.95290939621814996</v>
      </c>
      <c r="AJ42" s="26">
        <v>0.96198622000475198</v>
      </c>
      <c r="AK42" s="26">
        <v>0.96434392828035898</v>
      </c>
      <c r="AL42" s="26">
        <v>0.95933270302547802</v>
      </c>
      <c r="AM42" s="25">
        <v>0.99</v>
      </c>
      <c r="AN42" s="30">
        <v>1</v>
      </c>
      <c r="AO42" s="30">
        <v>1</v>
      </c>
      <c r="AP42" s="30">
        <v>1</v>
      </c>
      <c r="AQ42" s="30">
        <v>1</v>
      </c>
      <c r="AR42" s="32">
        <v>8.7218210012826203E-2</v>
      </c>
      <c r="AS42" s="34">
        <v>1.58730158730159E-2</v>
      </c>
      <c r="AT42" s="34">
        <v>0.02</v>
      </c>
      <c r="AU42" s="34">
        <v>7.2463768115942004E-2</v>
      </c>
      <c r="AV42" s="34">
        <v>4.2553191489361701E-2</v>
      </c>
      <c r="AW42" s="10"/>
      <c r="AX42" s="8"/>
    </row>
    <row r="43" spans="1:50">
      <c r="A43" s="7"/>
      <c r="B43" s="10"/>
      <c r="C43" s="22" t="s">
        <v>56</v>
      </c>
      <c r="D43" s="23" t="s">
        <v>29</v>
      </c>
      <c r="E43" s="35" t="s">
        <v>91</v>
      </c>
      <c r="F43" s="35" t="s">
        <v>91</v>
      </c>
      <c r="G43" s="35" t="s">
        <v>91</v>
      </c>
      <c r="H43" s="35" t="s">
        <v>91</v>
      </c>
      <c r="I43" s="25">
        <v>0.9</v>
      </c>
      <c r="J43" s="26">
        <v>0</v>
      </c>
      <c r="K43" s="26">
        <v>0</v>
      </c>
      <c r="L43" s="27">
        <v>0</v>
      </c>
      <c r="M43" s="26">
        <v>0</v>
      </c>
      <c r="N43" s="28">
        <v>0.9</v>
      </c>
      <c r="O43" s="26">
        <v>0</v>
      </c>
      <c r="P43" s="26">
        <v>1</v>
      </c>
      <c r="Q43" s="26">
        <v>0.75</v>
      </c>
      <c r="R43" s="26">
        <v>0.61538461538461497</v>
      </c>
      <c r="S43" s="28">
        <v>0.9</v>
      </c>
      <c r="T43" s="26">
        <v>0</v>
      </c>
      <c r="U43" s="26">
        <v>1</v>
      </c>
      <c r="V43" s="26">
        <v>0.75</v>
      </c>
      <c r="W43" s="26">
        <v>0.76923076923076905</v>
      </c>
      <c r="X43" s="28">
        <v>0.92</v>
      </c>
      <c r="Y43" s="28">
        <v>1</v>
      </c>
      <c r="Z43" s="28">
        <v>0</v>
      </c>
      <c r="AA43" s="28">
        <v>0</v>
      </c>
      <c r="AB43" s="28">
        <v>1</v>
      </c>
      <c r="AC43" s="28">
        <v>0.92</v>
      </c>
      <c r="AD43" s="26">
        <v>0</v>
      </c>
      <c r="AE43" s="26">
        <v>0</v>
      </c>
      <c r="AF43" s="26">
        <v>1</v>
      </c>
      <c r="AG43" s="26">
        <v>0.94736842105263197</v>
      </c>
      <c r="AH43" s="28">
        <v>0.92</v>
      </c>
      <c r="AI43" s="26">
        <v>1</v>
      </c>
      <c r="AJ43" s="26">
        <v>1</v>
      </c>
      <c r="AK43" s="26">
        <v>0.75</v>
      </c>
      <c r="AL43" s="26">
        <v>0.83333333333333304</v>
      </c>
      <c r="AM43" s="25">
        <v>0.99</v>
      </c>
      <c r="AN43" s="30">
        <v>0</v>
      </c>
      <c r="AO43" s="30">
        <v>0</v>
      </c>
      <c r="AP43" s="30">
        <v>0</v>
      </c>
      <c r="AQ43" s="30">
        <v>1</v>
      </c>
      <c r="AR43" s="32">
        <v>8.7218210012826203E-2</v>
      </c>
      <c r="AS43" s="34">
        <v>0</v>
      </c>
      <c r="AT43" s="34">
        <v>0</v>
      </c>
      <c r="AU43" s="34">
        <v>0</v>
      </c>
      <c r="AV43" s="34">
        <v>0</v>
      </c>
      <c r="AW43" s="10"/>
      <c r="AX43" s="8"/>
    </row>
    <row r="44" spans="1:50">
      <c r="A44" s="7"/>
      <c r="B44" s="10"/>
      <c r="C44" s="22" t="s">
        <v>56</v>
      </c>
      <c r="D44" s="23" t="s">
        <v>29</v>
      </c>
      <c r="E44" s="35" t="s">
        <v>92</v>
      </c>
      <c r="F44" s="35" t="s">
        <v>92</v>
      </c>
      <c r="G44" s="35" t="s">
        <v>92</v>
      </c>
      <c r="H44" s="35" t="s">
        <v>92</v>
      </c>
      <c r="I44" s="25">
        <v>0.9</v>
      </c>
      <c r="J44" s="26">
        <v>0.79104477611940305</v>
      </c>
      <c r="K44" s="26">
        <v>0.80303030303030298</v>
      </c>
      <c r="L44" s="27">
        <v>0.83076923076923104</v>
      </c>
      <c r="M44" s="26">
        <v>0.80055401662049896</v>
      </c>
      <c r="N44" s="28">
        <v>0.9</v>
      </c>
      <c r="O44" s="26">
        <v>0.897394429469901</v>
      </c>
      <c r="P44" s="26">
        <v>0.91260069919440601</v>
      </c>
      <c r="Q44" s="26">
        <v>0.89861660079051398</v>
      </c>
      <c r="R44" s="26">
        <v>0.93767922640880297</v>
      </c>
      <c r="S44" s="28">
        <v>0.9</v>
      </c>
      <c r="T44" s="26">
        <v>0.56100628930817598</v>
      </c>
      <c r="U44" s="26">
        <v>0.50159598723210197</v>
      </c>
      <c r="V44" s="26">
        <v>0.57905138339920903</v>
      </c>
      <c r="W44" s="26">
        <v>0.51333777925975299</v>
      </c>
      <c r="X44" s="28">
        <v>0.92</v>
      </c>
      <c r="Y44" s="28">
        <v>0.92203389830508498</v>
      </c>
      <c r="Z44" s="28">
        <v>0.84701017811704804</v>
      </c>
      <c r="AA44" s="28">
        <v>0.90807488125174596</v>
      </c>
      <c r="AB44" s="28">
        <v>0.85880090197638903</v>
      </c>
      <c r="AC44" s="28">
        <v>0.92</v>
      </c>
      <c r="AD44" s="26">
        <v>0.64</v>
      </c>
      <c r="AE44" s="26">
        <v>0.15</v>
      </c>
      <c r="AF44" s="26">
        <v>0.625</v>
      </c>
      <c r="AG44" s="26">
        <v>0.59459459459459496</v>
      </c>
      <c r="AH44" s="28">
        <v>0.92</v>
      </c>
      <c r="AI44" s="26">
        <v>0.93211678832116796</v>
      </c>
      <c r="AJ44" s="26">
        <v>0.90169665809768595</v>
      </c>
      <c r="AK44" s="26">
        <v>0.91575049184122204</v>
      </c>
      <c r="AL44" s="26">
        <v>0.874520244037715</v>
      </c>
      <c r="AM44" s="25">
        <v>0.99</v>
      </c>
      <c r="AN44" s="30">
        <v>1</v>
      </c>
      <c r="AO44" s="30">
        <v>1</v>
      </c>
      <c r="AP44" s="30">
        <v>1</v>
      </c>
      <c r="AQ44" s="30">
        <v>1</v>
      </c>
      <c r="AR44" s="32">
        <v>8.7218210012826203E-2</v>
      </c>
      <c r="AS44" s="34">
        <v>1.6949152542372899E-2</v>
      </c>
      <c r="AT44" s="34">
        <v>8.6206896551724102E-2</v>
      </c>
      <c r="AU44" s="34">
        <v>1.8181818181818198E-2</v>
      </c>
      <c r="AV44" s="34">
        <v>2.9649595687331502E-2</v>
      </c>
      <c r="AW44" s="10"/>
      <c r="AX44" s="8"/>
    </row>
    <row r="45" spans="1:50">
      <c r="A45" s="7"/>
      <c r="B45" s="10"/>
      <c r="C45" s="22" t="s">
        <v>56</v>
      </c>
      <c r="D45" s="23" t="s">
        <v>29</v>
      </c>
      <c r="E45" s="35" t="s">
        <v>93</v>
      </c>
      <c r="F45" s="35" t="s">
        <v>93</v>
      </c>
      <c r="G45" s="35" t="s">
        <v>93</v>
      </c>
      <c r="H45" s="35" t="s">
        <v>93</v>
      </c>
      <c r="I45" s="25">
        <v>0.9</v>
      </c>
      <c r="J45" s="26">
        <v>0.89552238805970197</v>
      </c>
      <c r="K45" s="26">
        <v>0.89552238805970197</v>
      </c>
      <c r="L45" s="27">
        <v>0.90476190476190499</v>
      </c>
      <c r="M45" s="26">
        <v>0.89729729729729701</v>
      </c>
      <c r="N45" s="28">
        <v>0.9</v>
      </c>
      <c r="O45" s="26">
        <v>0.89866559646834598</v>
      </c>
      <c r="P45" s="26">
        <v>0.92538392050587204</v>
      </c>
      <c r="Q45" s="26">
        <v>0.90163934426229497</v>
      </c>
      <c r="R45" s="26">
        <v>0.89543664758136599</v>
      </c>
      <c r="S45" s="28">
        <v>0.9</v>
      </c>
      <c r="T45" s="26">
        <v>0.848299387980335</v>
      </c>
      <c r="U45" s="26">
        <v>0.82990063233965705</v>
      </c>
      <c r="V45" s="26">
        <v>0.86130627114233704</v>
      </c>
      <c r="W45" s="26">
        <v>0.84002586977611204</v>
      </c>
      <c r="X45" s="28">
        <v>0.92</v>
      </c>
      <c r="Y45" s="28">
        <v>0.92052565707133904</v>
      </c>
      <c r="Z45" s="28">
        <v>0.98473122777661604</v>
      </c>
      <c r="AA45" s="28">
        <v>0.98665377176015501</v>
      </c>
      <c r="AB45" s="28">
        <v>0.96906943287650504</v>
      </c>
      <c r="AC45" s="28">
        <v>0.92</v>
      </c>
      <c r="AD45" s="26">
        <v>0.99974188949182996</v>
      </c>
      <c r="AE45" s="26">
        <v>0.99881826303574095</v>
      </c>
      <c r="AF45" s="26">
        <v>0.99762937519724604</v>
      </c>
      <c r="AG45" s="26">
        <v>0.99721350479752002</v>
      </c>
      <c r="AH45" s="28">
        <v>0.92</v>
      </c>
      <c r="AI45" s="26">
        <v>0.94024497529945195</v>
      </c>
      <c r="AJ45" s="26">
        <v>0.98752127056154304</v>
      </c>
      <c r="AK45" s="26">
        <v>0.988493235888664</v>
      </c>
      <c r="AL45" s="26">
        <v>0.97580379954972096</v>
      </c>
      <c r="AM45" s="25">
        <v>0.99</v>
      </c>
      <c r="AN45" s="30">
        <v>1</v>
      </c>
      <c r="AO45" s="30">
        <v>1</v>
      </c>
      <c r="AP45" s="30">
        <v>1</v>
      </c>
      <c r="AQ45" s="30">
        <v>1</v>
      </c>
      <c r="AR45" s="32">
        <v>8.7218210012826203E-2</v>
      </c>
      <c r="AS45" s="34">
        <v>5.1282051282051301E-2</v>
      </c>
      <c r="AT45" s="34">
        <v>0.14285714285714299</v>
      </c>
      <c r="AU45" s="34">
        <v>2.9411764705882401E-2</v>
      </c>
      <c r="AV45" s="34">
        <v>4.3715846994535498E-2</v>
      </c>
      <c r="AW45" s="10"/>
      <c r="AX45" s="8"/>
    </row>
    <row r="46" spans="1:50">
      <c r="A46" s="7"/>
      <c r="B46" s="10"/>
      <c r="C46" s="22" t="s">
        <v>56</v>
      </c>
      <c r="D46" s="23" t="s">
        <v>29</v>
      </c>
      <c r="E46" s="35" t="s">
        <v>94</v>
      </c>
      <c r="F46" s="35" t="s">
        <v>94</v>
      </c>
      <c r="G46" s="35" t="s">
        <v>94</v>
      </c>
      <c r="H46" s="35" t="s">
        <v>94</v>
      </c>
      <c r="I46" s="25">
        <v>0.9</v>
      </c>
      <c r="J46" s="26">
        <v>0.93220338983050799</v>
      </c>
      <c r="K46" s="26">
        <v>0.94915254237288105</v>
      </c>
      <c r="L46" s="27">
        <v>0.929824561403509</v>
      </c>
      <c r="M46" s="26">
        <v>0.93051359516616305</v>
      </c>
      <c r="N46" s="28">
        <v>0.9</v>
      </c>
      <c r="O46" s="26">
        <v>0.96292963829404399</v>
      </c>
      <c r="P46" s="26">
        <v>0.93196371398079003</v>
      </c>
      <c r="Q46" s="26">
        <v>0.91671497584541095</v>
      </c>
      <c r="R46" s="26">
        <v>0.93882280241001104</v>
      </c>
      <c r="S46" s="28">
        <v>0.9</v>
      </c>
      <c r="T46" s="26">
        <v>0.77289904624797601</v>
      </c>
      <c r="U46" s="26">
        <v>0.69036819637139801</v>
      </c>
      <c r="V46" s="26">
        <v>0.81140096618357505</v>
      </c>
      <c r="W46" s="26">
        <v>0.75563108295998804</v>
      </c>
      <c r="X46" s="28">
        <v>0.92</v>
      </c>
      <c r="Y46" s="28">
        <v>0.90566572237960297</v>
      </c>
      <c r="Z46" s="28">
        <v>0.85954474909467105</v>
      </c>
      <c r="AA46" s="28">
        <v>0.93617476975797798</v>
      </c>
      <c r="AB46" s="28">
        <v>0.88241784600623696</v>
      </c>
      <c r="AC46" s="28">
        <v>0.92</v>
      </c>
      <c r="AD46" s="26">
        <v>0.99248183109180499</v>
      </c>
      <c r="AE46" s="26">
        <v>0.93282933030039505</v>
      </c>
      <c r="AF46" s="26">
        <v>0.97776089800396704</v>
      </c>
      <c r="AG46" s="26">
        <v>0.96518994451059203</v>
      </c>
      <c r="AH46" s="28">
        <v>0.92</v>
      </c>
      <c r="AI46" s="26">
        <v>0.935622317596567</v>
      </c>
      <c r="AJ46" s="26">
        <v>0.91992256247800097</v>
      </c>
      <c r="AK46" s="26">
        <v>0.960178789110118</v>
      </c>
      <c r="AL46" s="26">
        <v>0.92669635642745696</v>
      </c>
      <c r="AM46" s="25">
        <v>0.99</v>
      </c>
      <c r="AN46" s="30">
        <v>1</v>
      </c>
      <c r="AO46" s="30">
        <v>1</v>
      </c>
      <c r="AP46" s="30">
        <v>1</v>
      </c>
      <c r="AQ46" s="30">
        <v>1</v>
      </c>
      <c r="AR46" s="32">
        <v>8.7218210012826203E-2</v>
      </c>
      <c r="AS46" s="34">
        <v>0.105263157894737</v>
      </c>
      <c r="AT46" s="34">
        <v>8.5714285714285701E-2</v>
      </c>
      <c r="AU46" s="34">
        <v>0</v>
      </c>
      <c r="AV46" s="34">
        <v>6.8292682926829301E-2</v>
      </c>
      <c r="AW46" s="10"/>
      <c r="AX46" s="8"/>
    </row>
    <row r="47" spans="1:50">
      <c r="A47" s="7"/>
      <c r="B47" s="10"/>
      <c r="C47" s="22" t="s">
        <v>56</v>
      </c>
      <c r="D47" s="23" t="s">
        <v>29</v>
      </c>
      <c r="E47" s="35" t="s">
        <v>95</v>
      </c>
      <c r="F47" s="35" t="s">
        <v>95</v>
      </c>
      <c r="G47" s="35" t="s">
        <v>95</v>
      </c>
      <c r="H47" s="35" t="s">
        <v>95</v>
      </c>
      <c r="I47" s="25">
        <v>0.9</v>
      </c>
      <c r="J47" s="26">
        <v>0.87596899224806202</v>
      </c>
      <c r="K47" s="26">
        <v>0.890625</v>
      </c>
      <c r="L47" s="27">
        <v>0.94399999999999995</v>
      </c>
      <c r="M47" s="26">
        <v>0.90042674253200605</v>
      </c>
      <c r="N47" s="28">
        <v>0.9</v>
      </c>
      <c r="O47" s="26">
        <v>0.94513605816899904</v>
      </c>
      <c r="P47" s="26">
        <v>0.91920541599857497</v>
      </c>
      <c r="Q47" s="26">
        <v>0.95406009436304895</v>
      </c>
      <c r="R47" s="26">
        <v>0.93644368978044501</v>
      </c>
      <c r="S47" s="28">
        <v>0.9</v>
      </c>
      <c r="T47" s="26">
        <v>0.82527266718078696</v>
      </c>
      <c r="U47" s="26">
        <v>0.75048993408159603</v>
      </c>
      <c r="V47" s="26">
        <v>0.84045194934194201</v>
      </c>
      <c r="W47" s="26">
        <v>0.78927104722792596</v>
      </c>
      <c r="X47" s="28">
        <v>0.92</v>
      </c>
      <c r="Y47" s="28">
        <v>0.93087051938551602</v>
      </c>
      <c r="Z47" s="28">
        <v>0.96007507251322299</v>
      </c>
      <c r="AA47" s="28">
        <v>0.94820384294068505</v>
      </c>
      <c r="AB47" s="28">
        <v>0.94168831575323197</v>
      </c>
      <c r="AC47" s="28">
        <v>0.92</v>
      </c>
      <c r="AD47" s="26">
        <v>0.98781270044900604</v>
      </c>
      <c r="AE47" s="26">
        <v>0.99688610323765403</v>
      </c>
      <c r="AF47" s="26">
        <v>0.98702612112806298</v>
      </c>
      <c r="AG47" s="26">
        <v>0.97976011510345795</v>
      </c>
      <c r="AH47" s="28">
        <v>0.92</v>
      </c>
      <c r="AI47" s="26">
        <v>0.94884840151254701</v>
      </c>
      <c r="AJ47" s="26">
        <v>0.97138677589233502</v>
      </c>
      <c r="AK47" s="26">
        <v>0.963113678130743</v>
      </c>
      <c r="AL47" s="26">
        <v>0.95713386436820602</v>
      </c>
      <c r="AM47" s="25">
        <v>0.99</v>
      </c>
      <c r="AN47" s="30">
        <v>1</v>
      </c>
      <c r="AO47" s="30">
        <v>1</v>
      </c>
      <c r="AP47" s="30">
        <v>1</v>
      </c>
      <c r="AQ47" s="30">
        <v>1</v>
      </c>
      <c r="AR47" s="32">
        <v>8.7218210012826203E-2</v>
      </c>
      <c r="AS47" s="34">
        <v>0.101694915254237</v>
      </c>
      <c r="AT47" s="34">
        <v>0.152542372881356</v>
      </c>
      <c r="AU47" s="34">
        <v>0.148148148148148</v>
      </c>
      <c r="AV47" s="34">
        <v>8.5959885386819507E-2</v>
      </c>
      <c r="AW47" s="10"/>
      <c r="AX47" s="8"/>
    </row>
    <row r="48" spans="1:50">
      <c r="A48" s="7"/>
      <c r="B48" s="10"/>
      <c r="C48" s="22" t="s">
        <v>56</v>
      </c>
      <c r="D48" s="23" t="s">
        <v>29</v>
      </c>
      <c r="E48" s="35" t="s">
        <v>96</v>
      </c>
      <c r="F48" s="35" t="s">
        <v>96</v>
      </c>
      <c r="G48" s="35" t="s">
        <v>96</v>
      </c>
      <c r="H48" s="35" t="s">
        <v>96</v>
      </c>
      <c r="I48" s="25">
        <v>0.9</v>
      </c>
      <c r="J48" s="26">
        <v>0.95890410958904104</v>
      </c>
      <c r="K48" s="26">
        <v>1</v>
      </c>
      <c r="L48" s="27">
        <v>1</v>
      </c>
      <c r="M48" s="26">
        <v>0.98122065727699503</v>
      </c>
      <c r="N48" s="28">
        <v>0.9</v>
      </c>
      <c r="O48" s="26">
        <v>0.95581565471836105</v>
      </c>
      <c r="P48" s="26">
        <v>0.94029495718363498</v>
      </c>
      <c r="Q48" s="26">
        <v>0.94572060575123396</v>
      </c>
      <c r="R48" s="26">
        <v>0.93712330569811797</v>
      </c>
      <c r="S48" s="28">
        <v>0.9</v>
      </c>
      <c r="T48" s="26">
        <v>0.81272860277980996</v>
      </c>
      <c r="U48" s="26">
        <v>0.78651284490961004</v>
      </c>
      <c r="V48" s="26">
        <v>0.88548579207078404</v>
      </c>
      <c r="W48" s="26">
        <v>0.833372812212133</v>
      </c>
      <c r="X48" s="28">
        <v>0.92</v>
      </c>
      <c r="Y48" s="28">
        <v>0.93519197847884605</v>
      </c>
      <c r="Z48" s="28">
        <v>0.96875</v>
      </c>
      <c r="AA48" s="28">
        <v>0.96855597836971796</v>
      </c>
      <c r="AB48" s="28">
        <v>0.956056051818297</v>
      </c>
      <c r="AC48" s="28">
        <v>0.92</v>
      </c>
      <c r="AD48" s="26">
        <v>0.99556541019955702</v>
      </c>
      <c r="AE48" s="26">
        <v>0.98093028217848199</v>
      </c>
      <c r="AF48" s="26">
        <v>0.98903804764162995</v>
      </c>
      <c r="AG48" s="26">
        <v>0.98205788433760599</v>
      </c>
      <c r="AH48" s="28">
        <v>0.92</v>
      </c>
      <c r="AI48" s="26">
        <v>0.94644818747711501</v>
      </c>
      <c r="AJ48" s="26">
        <v>0.97504678727386196</v>
      </c>
      <c r="AK48" s="26">
        <v>0.97718910963944094</v>
      </c>
      <c r="AL48" s="26">
        <v>0.96700907128831803</v>
      </c>
      <c r="AM48" s="25">
        <v>0.99</v>
      </c>
      <c r="AN48" s="30">
        <v>1</v>
      </c>
      <c r="AO48" s="30">
        <v>1</v>
      </c>
      <c r="AP48" s="30">
        <v>1</v>
      </c>
      <c r="AQ48" s="30">
        <v>1</v>
      </c>
      <c r="AR48" s="32">
        <v>8.7218210012826203E-2</v>
      </c>
      <c r="AS48" s="34">
        <v>2.4390243902439001E-2</v>
      </c>
      <c r="AT48" s="34">
        <v>4.8780487804878099E-2</v>
      </c>
      <c r="AU48" s="34">
        <v>0</v>
      </c>
      <c r="AV48" s="34">
        <v>4.4354838709677401E-2</v>
      </c>
      <c r="AW48" s="10"/>
      <c r="AX48" s="8"/>
    </row>
    <row r="49" spans="1:50">
      <c r="A49" s="7"/>
      <c r="B49" s="10"/>
      <c r="C49" s="22" t="s">
        <v>56</v>
      </c>
      <c r="D49" s="23" t="s">
        <v>29</v>
      </c>
      <c r="E49" s="35" t="s">
        <v>97</v>
      </c>
      <c r="F49" s="35" t="s">
        <v>97</v>
      </c>
      <c r="G49" s="35" t="s">
        <v>97</v>
      </c>
      <c r="H49" s="35" t="s">
        <v>97</v>
      </c>
      <c r="I49" s="25">
        <v>0.9</v>
      </c>
      <c r="J49" s="26">
        <v>0.9</v>
      </c>
      <c r="K49" s="26">
        <v>0.96078431372549</v>
      </c>
      <c r="L49" s="27">
        <v>0.92156862745098</v>
      </c>
      <c r="M49" s="26">
        <v>0.93333333333333302</v>
      </c>
      <c r="N49" s="28">
        <v>0.9</v>
      </c>
      <c r="O49" s="26">
        <v>0.98769055960609797</v>
      </c>
      <c r="P49" s="26">
        <v>0.99185483870967694</v>
      </c>
      <c r="Q49" s="26">
        <v>0.98938679245283001</v>
      </c>
      <c r="R49" s="26">
        <v>0.95306402278240698</v>
      </c>
      <c r="S49" s="28">
        <v>0.9</v>
      </c>
      <c r="T49" s="26">
        <v>0.91051983713663498</v>
      </c>
      <c r="U49" s="26">
        <v>0.91572580645161294</v>
      </c>
      <c r="V49" s="26">
        <v>0.93797169811320802</v>
      </c>
      <c r="W49" s="26">
        <v>0.91910136061596903</v>
      </c>
      <c r="X49" s="28">
        <v>0.92</v>
      </c>
      <c r="Y49" s="28">
        <v>0.95882990249187405</v>
      </c>
      <c r="Z49" s="28">
        <v>0.97501676727028797</v>
      </c>
      <c r="AA49" s="28">
        <v>0.96913357400722</v>
      </c>
      <c r="AB49" s="28">
        <v>0.97368339288488404</v>
      </c>
      <c r="AC49" s="28">
        <v>0.92</v>
      </c>
      <c r="AD49" s="26">
        <v>0.99513365885955496</v>
      </c>
      <c r="AE49" s="26">
        <v>0.97826227921847997</v>
      </c>
      <c r="AF49" s="26">
        <v>0.96464395140365</v>
      </c>
      <c r="AG49" s="26">
        <v>0.97876504380867901</v>
      </c>
      <c r="AH49" s="28">
        <v>0.92</v>
      </c>
      <c r="AI49" s="26">
        <v>0.97286556969885096</v>
      </c>
      <c r="AJ49" s="26">
        <v>0.98491942508710795</v>
      </c>
      <c r="AK49" s="26">
        <v>0.98359837409969297</v>
      </c>
      <c r="AL49" s="26">
        <v>0.98306454328137105</v>
      </c>
      <c r="AM49" s="25">
        <v>0.99</v>
      </c>
      <c r="AN49" s="30">
        <v>1</v>
      </c>
      <c r="AO49" s="30">
        <v>1</v>
      </c>
      <c r="AP49" s="30">
        <v>1</v>
      </c>
      <c r="AQ49" s="30">
        <v>1</v>
      </c>
      <c r="AR49" s="32">
        <v>8.7218210012826203E-2</v>
      </c>
      <c r="AS49" s="34">
        <v>6.8965517241379296E-2</v>
      </c>
      <c r="AT49" s="34">
        <v>5.8823529411764698E-2</v>
      </c>
      <c r="AU49" s="34">
        <v>6.25E-2</v>
      </c>
      <c r="AV49" s="34">
        <v>8.5271317829457405E-2</v>
      </c>
      <c r="AW49" s="10"/>
      <c r="AX49" s="8"/>
    </row>
    <row r="50" spans="1:50">
      <c r="A50" s="7"/>
      <c r="B50" s="10"/>
      <c r="C50" s="22" t="s">
        <v>56</v>
      </c>
      <c r="D50" s="23" t="s">
        <v>29</v>
      </c>
      <c r="E50" s="35" t="s">
        <v>98</v>
      </c>
      <c r="F50" s="35" t="s">
        <v>98</v>
      </c>
      <c r="G50" s="35" t="s">
        <v>98</v>
      </c>
      <c r="H50" s="35" t="s">
        <v>98</v>
      </c>
      <c r="I50" s="25">
        <v>0.9</v>
      </c>
      <c r="J50" s="26">
        <v>0.96031746031746001</v>
      </c>
      <c r="K50" s="26">
        <v>0.93700787401574803</v>
      </c>
      <c r="L50" s="27">
        <v>0.94399999999999995</v>
      </c>
      <c r="M50" s="26">
        <v>0.94500723589001401</v>
      </c>
      <c r="N50" s="28">
        <v>0.9</v>
      </c>
      <c r="O50" s="26">
        <v>0.86625453831812405</v>
      </c>
      <c r="P50" s="26">
        <v>0.88617693522906804</v>
      </c>
      <c r="Q50" s="26">
        <v>0.91156173691474696</v>
      </c>
      <c r="R50" s="26">
        <v>0.89936526881137102</v>
      </c>
      <c r="S50" s="28">
        <v>0.9</v>
      </c>
      <c r="T50" s="26">
        <v>0.63536453733686604</v>
      </c>
      <c r="U50" s="26">
        <v>0.57132701421800902</v>
      </c>
      <c r="V50" s="26">
        <v>0.68075167215203303</v>
      </c>
      <c r="W50" s="26">
        <v>0.61957720754444001</v>
      </c>
      <c r="X50" s="28">
        <v>0.92</v>
      </c>
      <c r="Y50" s="28">
        <v>0.90569931735196096</v>
      </c>
      <c r="Z50" s="28">
        <v>0.89664082687338498</v>
      </c>
      <c r="AA50" s="28">
        <v>0.91901897269782495</v>
      </c>
      <c r="AB50" s="28">
        <v>0.88000335889828096</v>
      </c>
      <c r="AC50" s="28">
        <v>0.92</v>
      </c>
      <c r="AD50" s="26">
        <v>0.98360655737704905</v>
      </c>
      <c r="AE50" s="26">
        <v>0.93865030674846595</v>
      </c>
      <c r="AF50" s="26">
        <v>0.96499999999999997</v>
      </c>
      <c r="AG50" s="26">
        <v>0.95591397849462401</v>
      </c>
      <c r="AH50" s="28">
        <v>0.92</v>
      </c>
      <c r="AI50" s="26">
        <v>0.935968954644676</v>
      </c>
      <c r="AJ50" s="26">
        <v>0.94104758993172299</v>
      </c>
      <c r="AK50" s="26">
        <v>0.94818997010959805</v>
      </c>
      <c r="AL50" s="26">
        <v>0.91864399332102997</v>
      </c>
      <c r="AM50" s="25">
        <v>0.99</v>
      </c>
      <c r="AN50" s="30">
        <v>1</v>
      </c>
      <c r="AO50" s="30">
        <v>1</v>
      </c>
      <c r="AP50" s="30">
        <v>1</v>
      </c>
      <c r="AQ50" s="30">
        <v>1</v>
      </c>
      <c r="AR50" s="32">
        <v>8.7218210012826203E-2</v>
      </c>
      <c r="AS50" s="34">
        <v>2.32558139534884E-2</v>
      </c>
      <c r="AT50" s="34">
        <v>5.4054054054054099E-2</v>
      </c>
      <c r="AU50" s="34">
        <v>8.1081081081081099E-2</v>
      </c>
      <c r="AV50" s="34">
        <v>6.0532687651331699E-2</v>
      </c>
      <c r="AW50" s="10"/>
      <c r="AX50" s="8"/>
    </row>
    <row r="51" spans="1:50">
      <c r="A51" s="7"/>
      <c r="B51" s="10"/>
      <c r="C51" s="22" t="s">
        <v>56</v>
      </c>
      <c r="D51" s="23" t="s">
        <v>29</v>
      </c>
      <c r="E51" s="35" t="s">
        <v>99</v>
      </c>
      <c r="F51" s="35" t="s">
        <v>99</v>
      </c>
      <c r="G51" s="35" t="s">
        <v>99</v>
      </c>
      <c r="H51" s="35" t="s">
        <v>99</v>
      </c>
      <c r="I51" s="25">
        <v>0.9</v>
      </c>
      <c r="J51" s="26">
        <v>0.98019801980197996</v>
      </c>
      <c r="K51" s="26">
        <v>0.97029702970297005</v>
      </c>
      <c r="L51" s="27">
        <v>0.95049504950495001</v>
      </c>
      <c r="M51" s="26">
        <v>0.936594202898551</v>
      </c>
      <c r="N51" s="28">
        <v>0.9</v>
      </c>
      <c r="O51" s="26">
        <v>0.95292553191489404</v>
      </c>
      <c r="P51" s="26">
        <v>0.95947931975645595</v>
      </c>
      <c r="Q51" s="26">
        <v>0.88943418013856801</v>
      </c>
      <c r="R51" s="26">
        <v>0.92645951035781504</v>
      </c>
      <c r="S51" s="28">
        <v>0.9</v>
      </c>
      <c r="T51" s="26">
        <v>0.78257978723404298</v>
      </c>
      <c r="U51" s="26">
        <v>0.71278605920638205</v>
      </c>
      <c r="V51" s="26">
        <v>0.86431870669746003</v>
      </c>
      <c r="W51" s="26">
        <v>0.79522128060263697</v>
      </c>
      <c r="X51" s="28">
        <v>0.92</v>
      </c>
      <c r="Y51" s="28">
        <v>0.92888888888888899</v>
      </c>
      <c r="Z51" s="28">
        <v>0.94356955380577401</v>
      </c>
      <c r="AA51" s="28">
        <v>0.93984505544584496</v>
      </c>
      <c r="AB51" s="28">
        <v>0.93354590912385005</v>
      </c>
      <c r="AC51" s="28">
        <v>0.92</v>
      </c>
      <c r="AD51" s="26">
        <v>0.4</v>
      </c>
      <c r="AE51" s="26">
        <v>0.33333333333333298</v>
      </c>
      <c r="AF51" s="26">
        <v>0.125</v>
      </c>
      <c r="AG51" s="26">
        <v>0.45945945945945899</v>
      </c>
      <c r="AH51" s="28">
        <v>0.92</v>
      </c>
      <c r="AI51" s="26">
        <v>0.94143582064720099</v>
      </c>
      <c r="AJ51" s="26">
        <v>0.95888844031758802</v>
      </c>
      <c r="AK51" s="26">
        <v>0.96025460735696799</v>
      </c>
      <c r="AL51" s="26">
        <v>0.95412385844748904</v>
      </c>
      <c r="AM51" s="25">
        <v>0.99</v>
      </c>
      <c r="AN51" s="30">
        <v>1</v>
      </c>
      <c r="AO51" s="30">
        <v>1</v>
      </c>
      <c r="AP51" s="30">
        <v>0</v>
      </c>
      <c r="AQ51" s="30">
        <v>1</v>
      </c>
      <c r="AR51" s="32">
        <v>8.7218210012826203E-2</v>
      </c>
      <c r="AS51" s="34">
        <v>0.02</v>
      </c>
      <c r="AT51" s="34">
        <v>5.0847457627118599E-2</v>
      </c>
      <c r="AU51" s="34">
        <v>3.4482758620689703E-2</v>
      </c>
      <c r="AV51" s="34">
        <v>4.0625000000000001E-2</v>
      </c>
      <c r="AW51" s="10"/>
      <c r="AX51" s="8"/>
    </row>
    <row r="52" spans="1:50">
      <c r="A52" s="7"/>
      <c r="B52" s="10"/>
      <c r="C52" s="22" t="s">
        <v>56</v>
      </c>
      <c r="D52" s="23" t="s">
        <v>29</v>
      </c>
      <c r="E52" s="35" t="s">
        <v>100</v>
      </c>
      <c r="F52" s="35" t="s">
        <v>100</v>
      </c>
      <c r="G52" s="35" t="s">
        <v>100</v>
      </c>
      <c r="H52" s="35" t="s">
        <v>100</v>
      </c>
      <c r="I52" s="25">
        <v>0.9</v>
      </c>
      <c r="J52" s="26">
        <v>0.97727272727272696</v>
      </c>
      <c r="K52" s="26">
        <v>0.96842105263157896</v>
      </c>
      <c r="L52" s="27">
        <v>0.97777777777777797</v>
      </c>
      <c r="M52" s="26">
        <v>0.96887159533073897</v>
      </c>
      <c r="N52" s="28">
        <v>0.9</v>
      </c>
      <c r="O52" s="26">
        <v>0.98413251961639103</v>
      </c>
      <c r="P52" s="26">
        <v>0.98951420228298403</v>
      </c>
      <c r="Q52" s="26">
        <v>0.99152698471173295</v>
      </c>
      <c r="R52" s="26">
        <v>0.99081000213720904</v>
      </c>
      <c r="S52" s="28">
        <v>0.9</v>
      </c>
      <c r="T52" s="26">
        <v>0.89782040104620797</v>
      </c>
      <c r="U52" s="26">
        <v>0.92328112556410902</v>
      </c>
      <c r="V52" s="26">
        <v>0.93608399336894499</v>
      </c>
      <c r="W52" s="26">
        <v>0.91054254572100302</v>
      </c>
      <c r="X52" s="28">
        <v>0.92</v>
      </c>
      <c r="Y52" s="28">
        <v>0.93028659953524395</v>
      </c>
      <c r="Z52" s="28">
        <v>0.96198830409356695</v>
      </c>
      <c r="AA52" s="28">
        <v>0.952380952380952</v>
      </c>
      <c r="AB52" s="28">
        <v>0.94743806177852796</v>
      </c>
      <c r="AC52" s="28">
        <v>0.92</v>
      </c>
      <c r="AD52" s="26">
        <v>0.97090517241379304</v>
      </c>
      <c r="AE52" s="26">
        <v>0.99675249362096996</v>
      </c>
      <c r="AF52" s="26">
        <v>0.96518544436668996</v>
      </c>
      <c r="AG52" s="26">
        <v>0.98170212765957399</v>
      </c>
      <c r="AH52" s="28">
        <v>0.92</v>
      </c>
      <c r="AI52" s="26">
        <v>0.94348459616985803</v>
      </c>
      <c r="AJ52" s="26">
        <v>0.97225085910652898</v>
      </c>
      <c r="AK52" s="26">
        <v>0.96692087702573903</v>
      </c>
      <c r="AL52" s="26">
        <v>0.96226932713938196</v>
      </c>
      <c r="AM52" s="25">
        <v>0.99</v>
      </c>
      <c r="AN52" s="30">
        <v>1</v>
      </c>
      <c r="AO52" s="30">
        <v>1</v>
      </c>
      <c r="AP52" s="30">
        <v>1</v>
      </c>
      <c r="AQ52" s="30">
        <v>1</v>
      </c>
      <c r="AR52" s="32">
        <v>8.7218210012826203E-2</v>
      </c>
      <c r="AS52" s="34">
        <v>9.0909090909090898E-2</v>
      </c>
      <c r="AT52" s="34">
        <v>0.1</v>
      </c>
      <c r="AU52" s="34">
        <v>6.25E-2</v>
      </c>
      <c r="AV52" s="34">
        <v>6.5162907268170395E-2</v>
      </c>
      <c r="AW52" s="10"/>
      <c r="AX52" s="8"/>
    </row>
    <row r="53" spans="1:50">
      <c r="A53" s="7"/>
      <c r="B53" s="10"/>
      <c r="C53" s="22" t="s">
        <v>56</v>
      </c>
      <c r="D53" s="23" t="s">
        <v>29</v>
      </c>
      <c r="E53" s="35" t="s">
        <v>101</v>
      </c>
      <c r="F53" s="35" t="s">
        <v>101</v>
      </c>
      <c r="G53" s="35" t="s">
        <v>101</v>
      </c>
      <c r="H53" s="35" t="s">
        <v>101</v>
      </c>
      <c r="I53" s="25">
        <v>0.9</v>
      </c>
      <c r="J53" s="26">
        <v>0.94545454545454499</v>
      </c>
      <c r="K53" s="26">
        <v>0.98181818181818203</v>
      </c>
      <c r="L53" s="27">
        <v>1</v>
      </c>
      <c r="M53" s="26">
        <v>0.95765472312703603</v>
      </c>
      <c r="N53" s="28">
        <v>0.9</v>
      </c>
      <c r="O53" s="26">
        <v>0.97191011235955105</v>
      </c>
      <c r="P53" s="26">
        <v>0.97292671541932496</v>
      </c>
      <c r="Q53" s="26">
        <v>0.91808801853021704</v>
      </c>
      <c r="R53" s="26">
        <v>0.96475109170305695</v>
      </c>
      <c r="S53" s="28">
        <v>0.9</v>
      </c>
      <c r="T53" s="26">
        <v>0.80357142857142905</v>
      </c>
      <c r="U53" s="26">
        <v>0.72817799906643799</v>
      </c>
      <c r="V53" s="26">
        <v>0.88334386186565605</v>
      </c>
      <c r="W53" s="26">
        <v>0.80310917030567697</v>
      </c>
      <c r="X53" s="28">
        <v>0.92</v>
      </c>
      <c r="Y53" s="28">
        <v>0.93253572615486902</v>
      </c>
      <c r="Z53" s="28">
        <v>0.937025583356761</v>
      </c>
      <c r="AA53" s="28">
        <v>0.92836158192090401</v>
      </c>
      <c r="AB53" s="28">
        <v>0.92751908807398598</v>
      </c>
      <c r="AC53" s="28">
        <v>0.92</v>
      </c>
      <c r="AD53" s="26">
        <v>0.96387926768926302</v>
      </c>
      <c r="AE53" s="26">
        <v>0.94951786727169596</v>
      </c>
      <c r="AF53" s="26">
        <v>0.95305886879569102</v>
      </c>
      <c r="AG53" s="26">
        <v>0.94928293285212295</v>
      </c>
      <c r="AH53" s="28">
        <v>0.92</v>
      </c>
      <c r="AI53" s="26">
        <v>0.95196998123827403</v>
      </c>
      <c r="AJ53" s="26">
        <v>0.95863795693540299</v>
      </c>
      <c r="AK53" s="26">
        <v>0.95172714394682401</v>
      </c>
      <c r="AL53" s="26">
        <v>0.95030700825746395</v>
      </c>
      <c r="AM53" s="25">
        <v>0.99</v>
      </c>
      <c r="AN53" s="30">
        <v>1</v>
      </c>
      <c r="AO53" s="30">
        <v>1</v>
      </c>
      <c r="AP53" s="30">
        <v>1</v>
      </c>
      <c r="AQ53" s="30">
        <v>1</v>
      </c>
      <c r="AR53" s="32">
        <v>8.7218210012826203E-2</v>
      </c>
      <c r="AS53" s="34">
        <v>2.5641025641025599E-2</v>
      </c>
      <c r="AT53" s="34">
        <v>6.0606060606060601E-2</v>
      </c>
      <c r="AU53" s="34">
        <v>0.14285714285714299</v>
      </c>
      <c r="AV53" s="34">
        <v>5.7971014492753603E-2</v>
      </c>
      <c r="AW53" s="10"/>
      <c r="AX53" s="8"/>
    </row>
    <row r="54" spans="1:50">
      <c r="A54" s="7"/>
      <c r="B54" s="10"/>
      <c r="C54" s="22" t="s">
        <v>56</v>
      </c>
      <c r="D54" s="23" t="s">
        <v>29</v>
      </c>
      <c r="E54" s="35" t="s">
        <v>102</v>
      </c>
      <c r="F54" s="35" t="s">
        <v>102</v>
      </c>
      <c r="G54" s="35" t="s">
        <v>102</v>
      </c>
      <c r="H54" s="35" t="s">
        <v>102</v>
      </c>
      <c r="I54" s="25">
        <v>0.9</v>
      </c>
      <c r="J54" s="26">
        <v>0.92</v>
      </c>
      <c r="K54" s="26">
        <v>1</v>
      </c>
      <c r="L54" s="27">
        <v>1</v>
      </c>
      <c r="M54" s="26">
        <v>0.939393939393939</v>
      </c>
      <c r="N54" s="28">
        <v>0.9</v>
      </c>
      <c r="O54" s="26">
        <v>0.97128378378378399</v>
      </c>
      <c r="P54" s="26">
        <v>0.96076892899176103</v>
      </c>
      <c r="Q54" s="26">
        <v>0.962323390894819</v>
      </c>
      <c r="R54" s="26">
        <v>0.96304891110317703</v>
      </c>
      <c r="S54" s="28">
        <v>0.9</v>
      </c>
      <c r="T54" s="26">
        <v>0.92454954954955004</v>
      </c>
      <c r="U54" s="26">
        <v>0.849352687328364</v>
      </c>
      <c r="V54" s="26">
        <v>0.90633176347462097</v>
      </c>
      <c r="W54" s="26">
        <v>0.88513031060335601</v>
      </c>
      <c r="X54" s="28">
        <v>0.92</v>
      </c>
      <c r="Y54" s="28">
        <v>0.95443449959316495</v>
      </c>
      <c r="Z54" s="28">
        <v>0.95115143056524798</v>
      </c>
      <c r="AA54" s="28">
        <v>0.95378151260504196</v>
      </c>
      <c r="AB54" s="28">
        <v>0.94669980668323706</v>
      </c>
      <c r="AC54" s="28">
        <v>0.92</v>
      </c>
      <c r="AD54" s="26">
        <v>0.99834024896265605</v>
      </c>
      <c r="AE54" s="26">
        <v>0.830550918196995</v>
      </c>
      <c r="AF54" s="26">
        <v>0.82222222222222197</v>
      </c>
      <c r="AG54" s="26">
        <v>0.79922441831373503</v>
      </c>
      <c r="AH54" s="28">
        <v>0.92</v>
      </c>
      <c r="AI54" s="26">
        <v>0.96838602329450896</v>
      </c>
      <c r="AJ54" s="26">
        <v>0.96987195581220198</v>
      </c>
      <c r="AK54" s="26">
        <v>0.97092535644394695</v>
      </c>
      <c r="AL54" s="26">
        <v>0.96590601116591701</v>
      </c>
      <c r="AM54" s="25">
        <v>0.99</v>
      </c>
      <c r="AN54" s="30">
        <v>1</v>
      </c>
      <c r="AO54" s="30">
        <v>1</v>
      </c>
      <c r="AP54" s="30">
        <v>1</v>
      </c>
      <c r="AQ54" s="30">
        <v>1</v>
      </c>
      <c r="AR54" s="32">
        <v>8.7218210012826203E-2</v>
      </c>
      <c r="AS54" s="34">
        <v>0.157894736842105</v>
      </c>
      <c r="AT54" s="34">
        <v>3.8461538461538498E-2</v>
      </c>
      <c r="AU54" s="34">
        <v>5.5555555555555601E-2</v>
      </c>
      <c r="AV54" s="34">
        <v>6.3063063063063099E-2</v>
      </c>
      <c r="AW54" s="10"/>
      <c r="AX54" s="8"/>
    </row>
    <row r="55" spans="1:50">
      <c r="A55" s="7"/>
      <c r="B55" s="10"/>
      <c r="C55" s="22" t="s">
        <v>56</v>
      </c>
      <c r="D55" s="23" t="s">
        <v>29</v>
      </c>
      <c r="E55" s="35" t="s">
        <v>103</v>
      </c>
      <c r="F55" s="35" t="s">
        <v>103</v>
      </c>
      <c r="G55" s="35" t="s">
        <v>103</v>
      </c>
      <c r="H55" s="35" t="s">
        <v>103</v>
      </c>
      <c r="I55" s="25">
        <v>0.9</v>
      </c>
      <c r="J55" s="26">
        <v>0.96078431372549</v>
      </c>
      <c r="K55" s="26">
        <v>0.96190476190476204</v>
      </c>
      <c r="L55" s="27">
        <v>0.961165048543689</v>
      </c>
      <c r="M55" s="26">
        <v>0.92988929889298899</v>
      </c>
      <c r="N55" s="28">
        <v>0.9</v>
      </c>
      <c r="O55" s="26">
        <v>0.96760013025073299</v>
      </c>
      <c r="P55" s="26">
        <v>0.96733169991832901</v>
      </c>
      <c r="Q55" s="26">
        <v>0.977292730153142</v>
      </c>
      <c r="R55" s="26">
        <v>0.97355239982386599</v>
      </c>
      <c r="S55" s="28">
        <v>0.9</v>
      </c>
      <c r="T55" s="26">
        <v>0.90214913708889599</v>
      </c>
      <c r="U55" s="26">
        <v>0.88379418970948498</v>
      </c>
      <c r="V55" s="26">
        <v>0.91638795986622101</v>
      </c>
      <c r="W55" s="26">
        <v>0.88380669308674598</v>
      </c>
      <c r="X55" s="28">
        <v>0.92</v>
      </c>
      <c r="Y55" s="28">
        <v>0.94480073293632605</v>
      </c>
      <c r="Z55" s="28">
        <v>0.96084828711256098</v>
      </c>
      <c r="AA55" s="28">
        <v>0.93918346603421998</v>
      </c>
      <c r="AB55" s="28">
        <v>0.94078973424690104</v>
      </c>
      <c r="AC55" s="28">
        <v>0.92</v>
      </c>
      <c r="AD55" s="26">
        <v>0.98160919540229896</v>
      </c>
      <c r="AE55" s="26">
        <v>0.64629315223542705</v>
      </c>
      <c r="AF55" s="26">
        <v>0.94722066254912995</v>
      </c>
      <c r="AG55" s="26">
        <v>0.89551371455137097</v>
      </c>
      <c r="AH55" s="28">
        <v>0.92</v>
      </c>
      <c r="AI55" s="26">
        <v>0.96279025504377602</v>
      </c>
      <c r="AJ55" s="26">
        <v>0.97372912801484202</v>
      </c>
      <c r="AK55" s="26">
        <v>0.95865699982737795</v>
      </c>
      <c r="AL55" s="26">
        <v>0.95895237631318297</v>
      </c>
      <c r="AM55" s="25">
        <v>0.99</v>
      </c>
      <c r="AN55" s="30">
        <v>1</v>
      </c>
      <c r="AO55" s="30">
        <v>1</v>
      </c>
      <c r="AP55" s="30">
        <v>1</v>
      </c>
      <c r="AQ55" s="30">
        <v>1</v>
      </c>
      <c r="AR55" s="32">
        <v>8.7218210012826203E-2</v>
      </c>
      <c r="AS55" s="34">
        <v>0</v>
      </c>
      <c r="AT55" s="34">
        <v>1.88679245283019E-2</v>
      </c>
      <c r="AU55" s="34">
        <v>0</v>
      </c>
      <c r="AV55" s="34">
        <v>4.1095890410958902E-2</v>
      </c>
      <c r="AW55" s="10"/>
      <c r="AX55" s="8"/>
    </row>
    <row r="56" spans="1:50">
      <c r="A56" s="7"/>
      <c r="B56" s="10"/>
      <c r="C56" s="22" t="s">
        <v>56</v>
      </c>
      <c r="D56" s="23" t="s">
        <v>29</v>
      </c>
      <c r="E56" s="35" t="s">
        <v>104</v>
      </c>
      <c r="F56" s="35" t="s">
        <v>104</v>
      </c>
      <c r="G56" s="35" t="s">
        <v>104</v>
      </c>
      <c r="H56" s="35" t="s">
        <v>104</v>
      </c>
      <c r="I56" s="25">
        <v>0.9</v>
      </c>
      <c r="J56" s="26">
        <v>1</v>
      </c>
      <c r="K56" s="26">
        <v>1</v>
      </c>
      <c r="L56" s="27">
        <v>0.98837209302325602</v>
      </c>
      <c r="M56" s="26">
        <v>0.993723849372385</v>
      </c>
      <c r="N56" s="28">
        <v>0.9</v>
      </c>
      <c r="O56" s="26">
        <v>0.97944811727507897</v>
      </c>
      <c r="P56" s="26">
        <v>0.98034137728075299</v>
      </c>
      <c r="Q56" s="26">
        <v>0.98306664595308402</v>
      </c>
      <c r="R56" s="26">
        <v>0.97522691422512997</v>
      </c>
      <c r="S56" s="28">
        <v>0.9</v>
      </c>
      <c r="T56" s="26">
        <v>0.92052313883299797</v>
      </c>
      <c r="U56" s="26">
        <v>0.91359623307828097</v>
      </c>
      <c r="V56" s="26">
        <v>0.93086841696442402</v>
      </c>
      <c r="W56" s="26">
        <v>0.90799306974218397</v>
      </c>
      <c r="X56" s="28">
        <v>0.92</v>
      </c>
      <c r="Y56" s="28">
        <v>0.94517743403093701</v>
      </c>
      <c r="Z56" s="28">
        <v>0.95913757700205304</v>
      </c>
      <c r="AA56" s="28">
        <v>0.96073977936404897</v>
      </c>
      <c r="AB56" s="28">
        <v>0.94009609423434604</v>
      </c>
      <c r="AC56" s="28">
        <v>0.92</v>
      </c>
      <c r="AD56" s="26">
        <v>0.99780861943024102</v>
      </c>
      <c r="AE56" s="26">
        <v>0.99784133837021005</v>
      </c>
      <c r="AF56" s="26">
        <v>0.81554756195043998</v>
      </c>
      <c r="AG56" s="26">
        <v>0.92808677796625305</v>
      </c>
      <c r="AH56" s="28">
        <v>0.92</v>
      </c>
      <c r="AI56" s="26">
        <v>0.96327285538136298</v>
      </c>
      <c r="AJ56" s="26">
        <v>0.97673026561915499</v>
      </c>
      <c r="AK56" s="26">
        <v>0.97413109030312695</v>
      </c>
      <c r="AL56" s="26">
        <v>0.95888711403359095</v>
      </c>
      <c r="AM56" s="25">
        <v>0.99</v>
      </c>
      <c r="AN56" s="30">
        <v>1</v>
      </c>
      <c r="AO56" s="30">
        <v>1</v>
      </c>
      <c r="AP56" s="30">
        <v>1</v>
      </c>
      <c r="AQ56" s="30">
        <v>1</v>
      </c>
      <c r="AR56" s="32">
        <v>8.7218210012826203E-2</v>
      </c>
      <c r="AS56" s="34">
        <v>4.5454545454545497E-2</v>
      </c>
      <c r="AT56" s="34">
        <v>4.7619047619047603E-2</v>
      </c>
      <c r="AU56" s="34">
        <v>1.85185185185185E-2</v>
      </c>
      <c r="AV56" s="34">
        <v>3.4090909090909102E-2</v>
      </c>
      <c r="AW56" s="10"/>
      <c r="AX56" s="8"/>
    </row>
    <row r="57" spans="1:50">
      <c r="A57" s="7"/>
      <c r="B57" s="10"/>
      <c r="C57" s="22" t="s">
        <v>56</v>
      </c>
      <c r="D57" s="23" t="s">
        <v>29</v>
      </c>
      <c r="E57" s="35" t="s">
        <v>105</v>
      </c>
      <c r="F57" s="35" t="s">
        <v>105</v>
      </c>
      <c r="G57" s="35" t="s">
        <v>105</v>
      </c>
      <c r="H57" s="35" t="s">
        <v>105</v>
      </c>
      <c r="I57" s="25">
        <v>0.9</v>
      </c>
      <c r="J57" s="26">
        <v>1</v>
      </c>
      <c r="K57" s="26">
        <v>1</v>
      </c>
      <c r="L57" s="27">
        <v>0.96551724137931005</v>
      </c>
      <c r="M57" s="26">
        <v>0.95707070707070696</v>
      </c>
      <c r="N57" s="28">
        <v>0.9</v>
      </c>
      <c r="O57" s="26">
        <v>0.97692174214818694</v>
      </c>
      <c r="P57" s="26">
        <v>0.97261774370208098</v>
      </c>
      <c r="Q57" s="26">
        <v>0.97198561423433705</v>
      </c>
      <c r="R57" s="26">
        <v>0.97222731439046794</v>
      </c>
      <c r="S57" s="28">
        <v>0.9</v>
      </c>
      <c r="T57" s="26">
        <v>0.92729481173000206</v>
      </c>
      <c r="U57" s="26">
        <v>0.92059145673603504</v>
      </c>
      <c r="V57" s="26">
        <v>0.89418890781752802</v>
      </c>
      <c r="W57" s="26">
        <v>0.91530705774518795</v>
      </c>
      <c r="X57" s="28">
        <v>0.92</v>
      </c>
      <c r="Y57" s="28">
        <v>0.94580467675378299</v>
      </c>
      <c r="Z57" s="28">
        <v>0.96314307652930597</v>
      </c>
      <c r="AA57" s="28">
        <v>0.94407064760302795</v>
      </c>
      <c r="AB57" s="28">
        <v>0.94833720764742202</v>
      </c>
      <c r="AC57" s="28">
        <v>0.92</v>
      </c>
      <c r="AD57" s="26">
        <v>0.98546524018584003</v>
      </c>
      <c r="AE57" s="26">
        <v>0.96181478200964499</v>
      </c>
      <c r="AF57" s="26">
        <v>0.98355957292683704</v>
      </c>
      <c r="AG57" s="26">
        <v>0.97711153685118701</v>
      </c>
      <c r="AH57" s="28">
        <v>0.92</v>
      </c>
      <c r="AI57" s="26">
        <v>0.96340425531914897</v>
      </c>
      <c r="AJ57" s="26">
        <v>0.97582946842668605</v>
      </c>
      <c r="AK57" s="26">
        <v>0.96325067224380001</v>
      </c>
      <c r="AL57" s="26">
        <v>0.96712934574576803</v>
      </c>
      <c r="AM57" s="25">
        <v>0.99</v>
      </c>
      <c r="AN57" s="30">
        <v>1</v>
      </c>
      <c r="AO57" s="30">
        <v>1</v>
      </c>
      <c r="AP57" s="30">
        <v>1</v>
      </c>
      <c r="AQ57" s="30">
        <v>1</v>
      </c>
      <c r="AR57" s="32">
        <v>8.7218210012826203E-2</v>
      </c>
      <c r="AS57" s="34">
        <v>2.5641025641025599E-2</v>
      </c>
      <c r="AT57" s="34">
        <v>1.7543859649122799E-2</v>
      </c>
      <c r="AU57" s="34">
        <v>3.4482758620689703E-2</v>
      </c>
      <c r="AV57" s="34">
        <v>3.3112582781456998E-2</v>
      </c>
      <c r="AW57" s="10"/>
      <c r="AX57" s="8"/>
    </row>
    <row r="58" spans="1:50">
      <c r="A58" s="7"/>
      <c r="B58" s="10"/>
      <c r="C58" s="22" t="s">
        <v>56</v>
      </c>
      <c r="D58" s="23" t="s">
        <v>29</v>
      </c>
      <c r="E58" s="35" t="s">
        <v>106</v>
      </c>
      <c r="F58" s="35" t="s">
        <v>106</v>
      </c>
      <c r="G58" s="35" t="s">
        <v>106</v>
      </c>
      <c r="H58" s="35" t="s">
        <v>106</v>
      </c>
      <c r="I58" s="25">
        <v>0.9</v>
      </c>
      <c r="J58" s="26">
        <v>0.96969696969696995</v>
      </c>
      <c r="K58" s="26">
        <v>0.96969696969696995</v>
      </c>
      <c r="L58" s="27">
        <v>1</v>
      </c>
      <c r="M58" s="26">
        <v>0.97905759162303696</v>
      </c>
      <c r="N58" s="28">
        <v>0.9</v>
      </c>
      <c r="O58" s="26">
        <v>0.92481726418377996</v>
      </c>
      <c r="P58" s="26">
        <v>0.97679814385150798</v>
      </c>
      <c r="Q58" s="26">
        <v>0.93412727949385899</v>
      </c>
      <c r="R58" s="26">
        <v>0.95516304347826098</v>
      </c>
      <c r="S58" s="28">
        <v>0.9</v>
      </c>
      <c r="T58" s="26">
        <v>0.90288896623738302</v>
      </c>
      <c r="U58" s="26">
        <v>0.88038154163444204</v>
      </c>
      <c r="V58" s="26">
        <v>0.93524376628209904</v>
      </c>
      <c r="W58" s="26">
        <v>0.91416587901701296</v>
      </c>
      <c r="X58" s="28">
        <v>0.92</v>
      </c>
      <c r="Y58" s="28">
        <v>0.96607245543415798</v>
      </c>
      <c r="Z58" s="28">
        <v>0.96496081143384005</v>
      </c>
      <c r="AA58" s="28">
        <v>0.97225622195022399</v>
      </c>
      <c r="AB58" s="28">
        <v>0.96239222161071403</v>
      </c>
      <c r="AC58" s="28">
        <v>0.92</v>
      </c>
      <c r="AD58" s="26">
        <v>0.99771167048054898</v>
      </c>
      <c r="AE58" s="26">
        <v>0.98548567175288404</v>
      </c>
      <c r="AF58" s="26">
        <v>0.97764705882352898</v>
      </c>
      <c r="AG58" s="26">
        <v>0.98090815273477805</v>
      </c>
      <c r="AH58" s="28">
        <v>0.92</v>
      </c>
      <c r="AI58" s="26">
        <v>0.97703141928493997</v>
      </c>
      <c r="AJ58" s="26">
        <v>0.97752066115702496</v>
      </c>
      <c r="AK58" s="26">
        <v>0.98035019455252903</v>
      </c>
      <c r="AL58" s="26">
        <v>0.97331274020329706</v>
      </c>
      <c r="AM58" s="25">
        <v>0.99</v>
      </c>
      <c r="AN58" s="30">
        <v>1</v>
      </c>
      <c r="AO58" s="30">
        <v>1</v>
      </c>
      <c r="AP58" s="30">
        <v>1</v>
      </c>
      <c r="AQ58" s="30">
        <v>1</v>
      </c>
      <c r="AR58" s="32">
        <v>8.7218210012826203E-2</v>
      </c>
      <c r="AS58" s="34">
        <v>0</v>
      </c>
      <c r="AT58" s="34">
        <v>0.12</v>
      </c>
      <c r="AU58" s="34">
        <v>0</v>
      </c>
      <c r="AV58" s="34">
        <v>7.5471698113207503E-2</v>
      </c>
      <c r="AW58" s="10"/>
      <c r="AX58" s="8"/>
    </row>
    <row r="59" spans="1:50">
      <c r="A59" s="7"/>
      <c r="B59" s="10"/>
      <c r="C59" s="22" t="s">
        <v>56</v>
      </c>
      <c r="D59" s="23" t="s">
        <v>29</v>
      </c>
      <c r="E59" s="35" t="s">
        <v>107</v>
      </c>
      <c r="F59" s="35" t="s">
        <v>107</v>
      </c>
      <c r="G59" s="35" t="s">
        <v>107</v>
      </c>
      <c r="H59" s="35" t="s">
        <v>107</v>
      </c>
      <c r="I59" s="25">
        <v>0.9</v>
      </c>
      <c r="J59" s="26">
        <v>0.92592592592592604</v>
      </c>
      <c r="K59" s="26">
        <v>0.81308411214953302</v>
      </c>
      <c r="L59" s="27">
        <v>0.81818181818181801</v>
      </c>
      <c r="M59" s="26">
        <v>0.84094754653130299</v>
      </c>
      <c r="N59" s="28">
        <v>0.9</v>
      </c>
      <c r="O59" s="26">
        <v>0.96431838975297302</v>
      </c>
      <c r="P59" s="26">
        <v>0.96239583333333301</v>
      </c>
      <c r="Q59" s="26">
        <v>0.93890532544378702</v>
      </c>
      <c r="R59" s="26">
        <v>0.95395277810407597</v>
      </c>
      <c r="S59" s="28">
        <v>0.9</v>
      </c>
      <c r="T59" s="26">
        <v>0.67154620311070401</v>
      </c>
      <c r="U59" s="26">
        <v>0.632083333333333</v>
      </c>
      <c r="V59" s="26">
        <v>0.71908284023668601</v>
      </c>
      <c r="W59" s="26">
        <v>0.64647010454598897</v>
      </c>
      <c r="X59" s="28">
        <v>0.92</v>
      </c>
      <c r="Y59" s="28">
        <v>0.93388601036269403</v>
      </c>
      <c r="Z59" s="28">
        <v>0.93356643356643398</v>
      </c>
      <c r="AA59" s="28">
        <v>0.95321368308022703</v>
      </c>
      <c r="AB59" s="28">
        <v>0.91391699138454896</v>
      </c>
      <c r="AC59" s="28">
        <v>0.92</v>
      </c>
      <c r="AD59" s="26">
        <v>0.99629743906201795</v>
      </c>
      <c r="AE59" s="26">
        <v>0.99783549783549796</v>
      </c>
      <c r="AF59" s="26">
        <v>0.99943693693693703</v>
      </c>
      <c r="AG59" s="26">
        <v>0.99789670483757897</v>
      </c>
      <c r="AH59" s="28">
        <v>0.92</v>
      </c>
      <c r="AI59" s="26">
        <v>0.94974350753446601</v>
      </c>
      <c r="AJ59" s="26">
        <v>0.95327863294229298</v>
      </c>
      <c r="AK59" s="26">
        <v>0.96378284767713296</v>
      </c>
      <c r="AL59" s="26">
        <v>0.93811933823842097</v>
      </c>
      <c r="AM59" s="25">
        <v>0.99</v>
      </c>
      <c r="AN59" s="30">
        <v>1</v>
      </c>
      <c r="AO59" s="30">
        <v>1</v>
      </c>
      <c r="AP59" s="30">
        <v>1</v>
      </c>
      <c r="AQ59" s="30">
        <v>1</v>
      </c>
      <c r="AR59" s="32">
        <v>8.7218210012826203E-2</v>
      </c>
      <c r="AS59" s="34">
        <v>2.0833333333333301E-2</v>
      </c>
      <c r="AT59" s="34">
        <v>2.1276595744680899E-2</v>
      </c>
      <c r="AU59" s="34">
        <v>5.2631578947368397E-2</v>
      </c>
      <c r="AV59" s="34">
        <v>5.5762081784386602E-2</v>
      </c>
      <c r="AW59" s="10"/>
      <c r="AX59" s="8"/>
    </row>
    <row r="60" spans="1:50">
      <c r="A60" s="7"/>
      <c r="B60" s="10"/>
      <c r="C60" s="22" t="s">
        <v>56</v>
      </c>
      <c r="D60" s="23" t="s">
        <v>29</v>
      </c>
      <c r="E60" s="35" t="s">
        <v>108</v>
      </c>
      <c r="F60" s="35" t="s">
        <v>108</v>
      </c>
      <c r="G60" s="35" t="s">
        <v>108</v>
      </c>
      <c r="H60" s="35" t="s">
        <v>108</v>
      </c>
      <c r="I60" s="25">
        <v>0.9</v>
      </c>
      <c r="J60" s="26">
        <v>0.938271604938272</v>
      </c>
      <c r="K60" s="26">
        <v>0.95</v>
      </c>
      <c r="L60" s="27">
        <v>0.974683544303797</v>
      </c>
      <c r="M60" s="26">
        <v>0.94117647058823495</v>
      </c>
      <c r="N60" s="28">
        <v>0.9</v>
      </c>
      <c r="O60" s="26">
        <v>0.944328552803129</v>
      </c>
      <c r="P60" s="26">
        <v>0.86080098330431198</v>
      </c>
      <c r="Q60" s="26">
        <v>0.96939631078815003</v>
      </c>
      <c r="R60" s="26">
        <v>0.92916932035301603</v>
      </c>
      <c r="S60" s="28">
        <v>0.9</v>
      </c>
      <c r="T60" s="26">
        <v>0.798956975228162</v>
      </c>
      <c r="U60" s="26">
        <v>0.672027040868585</v>
      </c>
      <c r="V60" s="26">
        <v>0.76145891559530499</v>
      </c>
      <c r="W60" s="26">
        <v>0.727003912291875</v>
      </c>
      <c r="X60" s="28">
        <v>0.92</v>
      </c>
      <c r="Y60" s="28">
        <v>0.92251082251082295</v>
      </c>
      <c r="Z60" s="28">
        <v>0.94539036544850497</v>
      </c>
      <c r="AA60" s="28">
        <v>0.95088181968023699</v>
      </c>
      <c r="AB60" s="28">
        <v>0.94209028685687901</v>
      </c>
      <c r="AC60" s="28">
        <v>0.92</v>
      </c>
      <c r="AD60" s="26">
        <v>0.99633237822349596</v>
      </c>
      <c r="AE60" s="26">
        <v>0.992136841320713</v>
      </c>
      <c r="AF60" s="26">
        <v>0.98687680522416199</v>
      </c>
      <c r="AG60" s="26">
        <v>0.98901769799722095</v>
      </c>
      <c r="AH60" s="28">
        <v>0.92</v>
      </c>
      <c r="AI60" s="26">
        <v>0.93938161106590701</v>
      </c>
      <c r="AJ60" s="26">
        <v>0.96001645977642103</v>
      </c>
      <c r="AK60" s="26">
        <v>0.96022383545069601</v>
      </c>
      <c r="AL60" s="26">
        <v>0.95702628156574698</v>
      </c>
      <c r="AM60" s="25">
        <v>0.99</v>
      </c>
      <c r="AN60" s="30">
        <v>1</v>
      </c>
      <c r="AO60" s="30">
        <v>1</v>
      </c>
      <c r="AP60" s="30">
        <v>1</v>
      </c>
      <c r="AQ60" s="30">
        <v>1</v>
      </c>
      <c r="AR60" s="32">
        <v>8.7218210012826203E-2</v>
      </c>
      <c r="AS60" s="34">
        <v>6.5217391304347797E-2</v>
      </c>
      <c r="AT60" s="34">
        <v>4.4444444444444398E-2</v>
      </c>
      <c r="AU60" s="34">
        <v>1.9230769230769201E-2</v>
      </c>
      <c r="AV60" s="34">
        <v>3.0716723549488099E-2</v>
      </c>
      <c r="AW60" s="10"/>
      <c r="AX60" s="8"/>
    </row>
    <row r="61" spans="1:50">
      <c r="A61" s="7"/>
      <c r="B61" s="10"/>
      <c r="C61" s="22" t="s">
        <v>56</v>
      </c>
      <c r="D61" s="23" t="s">
        <v>29</v>
      </c>
      <c r="E61" s="35" t="s">
        <v>109</v>
      </c>
      <c r="F61" s="35" t="s">
        <v>109</v>
      </c>
      <c r="G61" s="35" t="s">
        <v>109</v>
      </c>
      <c r="H61" s="35" t="s">
        <v>109</v>
      </c>
      <c r="I61" s="25">
        <v>0.9</v>
      </c>
      <c r="J61" s="26">
        <v>0.918604651162791</v>
      </c>
      <c r="K61" s="26">
        <v>0.97752808988763995</v>
      </c>
      <c r="L61" s="27">
        <v>0.98888888888888904</v>
      </c>
      <c r="M61" s="26">
        <v>0.94178794178794201</v>
      </c>
      <c r="N61" s="28">
        <v>0.9</v>
      </c>
      <c r="O61" s="26">
        <v>0.97771362586605104</v>
      </c>
      <c r="P61" s="26">
        <v>0.978623914495658</v>
      </c>
      <c r="Q61" s="26">
        <v>0.96854717923115297</v>
      </c>
      <c r="R61" s="26">
        <v>0.96571872963827099</v>
      </c>
      <c r="S61" s="28">
        <v>0.9</v>
      </c>
      <c r="T61" s="26">
        <v>0.81870669745958402</v>
      </c>
      <c r="U61" s="26">
        <v>0.77221108884435496</v>
      </c>
      <c r="V61" s="26">
        <v>0.84860209685471799</v>
      </c>
      <c r="W61" s="26">
        <v>0.81062277991466503</v>
      </c>
      <c r="X61" s="28">
        <v>0.92</v>
      </c>
      <c r="Y61" s="28">
        <v>0.93907652843095302</v>
      </c>
      <c r="Z61" s="28">
        <v>0.95618941088739795</v>
      </c>
      <c r="AA61" s="28">
        <v>0.951083684527393</v>
      </c>
      <c r="AB61" s="28">
        <v>0.94702340660515205</v>
      </c>
      <c r="AC61" s="28">
        <v>0.92</v>
      </c>
      <c r="AD61" s="26">
        <v>0.98681928546652797</v>
      </c>
      <c r="AE61" s="26">
        <v>0.90592249573482797</v>
      </c>
      <c r="AF61" s="26">
        <v>0.97946565574510303</v>
      </c>
      <c r="AG61" s="26">
        <v>0.96611515213605204</v>
      </c>
      <c r="AH61" s="28">
        <v>0.92</v>
      </c>
      <c r="AI61" s="26">
        <v>0.95233812949640295</v>
      </c>
      <c r="AJ61" s="26">
        <v>0.96623966681390805</v>
      </c>
      <c r="AK61" s="26">
        <v>0.96022378385754203</v>
      </c>
      <c r="AL61" s="26">
        <v>0.96079986254840499</v>
      </c>
      <c r="AM61" s="25">
        <v>0.99</v>
      </c>
      <c r="AN61" s="30">
        <v>1</v>
      </c>
      <c r="AO61" s="30">
        <v>1</v>
      </c>
      <c r="AP61" s="30">
        <v>1</v>
      </c>
      <c r="AQ61" s="30">
        <v>1</v>
      </c>
      <c r="AR61" s="32">
        <v>8.7218210012826203E-2</v>
      </c>
      <c r="AS61" s="34">
        <v>4.7619047619047603E-2</v>
      </c>
      <c r="AT61" s="34">
        <v>4.91803278688525E-2</v>
      </c>
      <c r="AU61" s="34">
        <v>7.4074074074074098E-2</v>
      </c>
      <c r="AV61" s="34">
        <v>6.8601583113456502E-2</v>
      </c>
      <c r="AW61" s="10"/>
      <c r="AX61" s="8"/>
    </row>
    <row r="62" spans="1:50">
      <c r="A62" s="7"/>
      <c r="B62" s="10"/>
      <c r="C62" s="22" t="s">
        <v>56</v>
      </c>
      <c r="D62" s="23" t="s">
        <v>29</v>
      </c>
      <c r="E62" s="35" t="s">
        <v>110</v>
      </c>
      <c r="F62" s="35" t="s">
        <v>110</v>
      </c>
      <c r="G62" s="35" t="s">
        <v>110</v>
      </c>
      <c r="H62" s="35" t="s">
        <v>110</v>
      </c>
      <c r="I62" s="25">
        <v>0.9</v>
      </c>
      <c r="J62" s="26">
        <v>0.85106382978723405</v>
      </c>
      <c r="K62" s="26">
        <v>0.81818181818181801</v>
      </c>
      <c r="L62" s="27">
        <v>0.93181818181818199</v>
      </c>
      <c r="M62" s="26">
        <v>0.83474576271186396</v>
      </c>
      <c r="N62" s="28">
        <v>0.9</v>
      </c>
      <c r="O62" s="26">
        <v>0.98116919617762799</v>
      </c>
      <c r="P62" s="26">
        <v>0.98573657232003598</v>
      </c>
      <c r="Q62" s="26">
        <v>0.97212894560107499</v>
      </c>
      <c r="R62" s="26">
        <v>0.97562516451697801</v>
      </c>
      <c r="S62" s="28">
        <v>0.9</v>
      </c>
      <c r="T62" s="26">
        <v>0.70994940978077603</v>
      </c>
      <c r="U62" s="26">
        <v>0.55761087586360603</v>
      </c>
      <c r="V62" s="26">
        <v>0.78274009402283395</v>
      </c>
      <c r="W62" s="26">
        <v>0.60531718873387697</v>
      </c>
      <c r="X62" s="28">
        <v>0.92</v>
      </c>
      <c r="Y62" s="28">
        <v>0.94091796875</v>
      </c>
      <c r="Z62" s="28">
        <v>0.95620767494356695</v>
      </c>
      <c r="AA62" s="28">
        <v>0.95930434782608698</v>
      </c>
      <c r="AB62" s="28">
        <v>0.89427042204088802</v>
      </c>
      <c r="AC62" s="28">
        <v>0.92</v>
      </c>
      <c r="AD62" s="26">
        <v>0.89075630252100801</v>
      </c>
      <c r="AE62" s="26">
        <v>0.85365853658536595</v>
      </c>
      <c r="AF62" s="26">
        <v>0.97916666666666696</v>
      </c>
      <c r="AG62" s="26">
        <v>0.930851063829787</v>
      </c>
      <c r="AH62" s="28">
        <v>0.92</v>
      </c>
      <c r="AI62" s="26">
        <v>0.96664288262575804</v>
      </c>
      <c r="AJ62" s="26">
        <v>0.96926290659504599</v>
      </c>
      <c r="AK62" s="26">
        <v>0.96958824534426802</v>
      </c>
      <c r="AL62" s="26">
        <v>0.91343401441121297</v>
      </c>
      <c r="AM62" s="25">
        <v>0.99</v>
      </c>
      <c r="AN62" s="30">
        <v>1</v>
      </c>
      <c r="AO62" s="30">
        <v>1</v>
      </c>
      <c r="AP62" s="30">
        <v>1</v>
      </c>
      <c r="AQ62" s="30">
        <v>1</v>
      </c>
      <c r="AR62" s="32">
        <v>8.7218210012826203E-2</v>
      </c>
      <c r="AS62" s="34">
        <v>3.4482758620689703E-2</v>
      </c>
      <c r="AT62" s="34">
        <v>0</v>
      </c>
      <c r="AU62" s="34">
        <v>0</v>
      </c>
      <c r="AV62" s="34">
        <v>1.9867549668874201E-2</v>
      </c>
      <c r="AW62" s="10"/>
      <c r="AX62" s="8"/>
    </row>
    <row r="63" spans="1:50">
      <c r="A63" s="7"/>
      <c r="B63" s="10"/>
      <c r="C63" s="22" t="s">
        <v>56</v>
      </c>
      <c r="D63" s="23" t="s">
        <v>29</v>
      </c>
      <c r="E63" s="35" t="s">
        <v>111</v>
      </c>
      <c r="F63" s="35" t="s">
        <v>111</v>
      </c>
      <c r="G63" s="35" t="s">
        <v>111</v>
      </c>
      <c r="H63" s="35" t="s">
        <v>111</v>
      </c>
      <c r="I63" s="25">
        <v>0.9</v>
      </c>
      <c r="J63" s="26">
        <v>0.87628865979381398</v>
      </c>
      <c r="K63" s="26">
        <v>1</v>
      </c>
      <c r="L63" s="27">
        <v>0.95145631067961201</v>
      </c>
      <c r="M63" s="26">
        <v>0.89748201438848896</v>
      </c>
      <c r="N63" s="28">
        <v>0.9</v>
      </c>
      <c r="O63" s="26">
        <v>0.98860874848116598</v>
      </c>
      <c r="P63" s="26">
        <v>0.97836183238336505</v>
      </c>
      <c r="Q63" s="26">
        <v>0.98978960396039595</v>
      </c>
      <c r="R63" s="26">
        <v>0.98319182117484005</v>
      </c>
      <c r="S63" s="28">
        <v>0.9</v>
      </c>
      <c r="T63" s="26">
        <v>0.86117861482381497</v>
      </c>
      <c r="U63" s="26">
        <v>0.81866160016888301</v>
      </c>
      <c r="V63" s="26">
        <v>0.88613861386138604</v>
      </c>
      <c r="W63" s="26">
        <v>0.83496299230140802</v>
      </c>
      <c r="X63" s="28">
        <v>0.92</v>
      </c>
      <c r="Y63" s="28">
        <v>0.93485915492957705</v>
      </c>
      <c r="Z63" s="28">
        <v>0.94011277464514897</v>
      </c>
      <c r="AA63" s="28">
        <v>0.92360776761354502</v>
      </c>
      <c r="AB63" s="28">
        <v>0.92567122686370595</v>
      </c>
      <c r="AC63" s="28">
        <v>0.92</v>
      </c>
      <c r="AD63" s="26">
        <v>0.98941798941798897</v>
      </c>
      <c r="AE63" s="26">
        <v>0.97216951296647702</v>
      </c>
      <c r="AF63" s="26">
        <v>0.994183445190157</v>
      </c>
      <c r="AG63" s="26">
        <v>0.98181995894829399</v>
      </c>
      <c r="AH63" s="28">
        <v>0.92</v>
      </c>
      <c r="AI63" s="26">
        <v>0.954169662113587</v>
      </c>
      <c r="AJ63" s="26">
        <v>0.96182788343138603</v>
      </c>
      <c r="AK63" s="26">
        <v>0.95045293422607302</v>
      </c>
      <c r="AL63" s="26">
        <v>0.95172505425395304</v>
      </c>
      <c r="AM63" s="25">
        <v>0.99</v>
      </c>
      <c r="AN63" s="30">
        <v>1</v>
      </c>
      <c r="AO63" s="30">
        <v>1</v>
      </c>
      <c r="AP63" s="30">
        <v>1</v>
      </c>
      <c r="AQ63" s="30">
        <v>1</v>
      </c>
      <c r="AR63" s="32">
        <v>8.7218210012826203E-2</v>
      </c>
      <c r="AS63" s="34">
        <v>7.1428571428571397E-2</v>
      </c>
      <c r="AT63" s="34">
        <v>5.1724137931034503E-2</v>
      </c>
      <c r="AU63" s="34">
        <v>6.4516129032258104E-2</v>
      </c>
      <c r="AV63" s="34">
        <v>7.1856287425149698E-2</v>
      </c>
      <c r="AW63" s="10"/>
      <c r="AX63" s="8"/>
    </row>
    <row r="64" spans="1:50">
      <c r="A64" s="7"/>
      <c r="B64" s="10"/>
      <c r="C64" s="22" t="s">
        <v>56</v>
      </c>
      <c r="D64" s="23" t="s">
        <v>29</v>
      </c>
      <c r="E64" s="35" t="s">
        <v>112</v>
      </c>
      <c r="F64" s="35" t="s">
        <v>112</v>
      </c>
      <c r="G64" s="35" t="s">
        <v>112</v>
      </c>
      <c r="H64" s="35" t="s">
        <v>112</v>
      </c>
      <c r="I64" s="25">
        <v>0.9</v>
      </c>
      <c r="J64" s="26">
        <v>0.95867768595041303</v>
      </c>
      <c r="K64" s="26">
        <v>0.87301587301587302</v>
      </c>
      <c r="L64" s="27">
        <v>0.91735537190082606</v>
      </c>
      <c r="M64" s="26">
        <v>0.91568047337278102</v>
      </c>
      <c r="N64" s="28">
        <v>0.9</v>
      </c>
      <c r="O64" s="26">
        <v>0.97422978442223496</v>
      </c>
      <c r="P64" s="26">
        <v>0.93340964179908403</v>
      </c>
      <c r="Q64" s="26">
        <v>0.96089790007241105</v>
      </c>
      <c r="R64" s="26">
        <v>0.95402264511696</v>
      </c>
      <c r="S64" s="28">
        <v>0.9</v>
      </c>
      <c r="T64" s="26">
        <v>0.78962583629305405</v>
      </c>
      <c r="U64" s="26">
        <v>0.68839213573929403</v>
      </c>
      <c r="V64" s="26">
        <v>0.82847574221578602</v>
      </c>
      <c r="W64" s="26">
        <v>0.74987303199593702</v>
      </c>
      <c r="X64" s="28">
        <v>0.92</v>
      </c>
      <c r="Y64" s="28">
        <v>0.94800998678220005</v>
      </c>
      <c r="Z64" s="28">
        <v>0.94843789687579405</v>
      </c>
      <c r="AA64" s="28">
        <v>0.95201694603057696</v>
      </c>
      <c r="AB64" s="28">
        <v>0.94111489776046697</v>
      </c>
      <c r="AC64" s="28">
        <v>0.92</v>
      </c>
      <c r="AD64" s="26">
        <v>0.99585730180148202</v>
      </c>
      <c r="AE64" s="26">
        <v>0.98110368546527504</v>
      </c>
      <c r="AF64" s="26">
        <v>0.986548107615139</v>
      </c>
      <c r="AG64" s="26">
        <v>0.97991769037967602</v>
      </c>
      <c r="AH64" s="28">
        <v>0.92</v>
      </c>
      <c r="AI64" s="26">
        <v>0.96712299804429402</v>
      </c>
      <c r="AJ64" s="26">
        <v>0.96563709961281197</v>
      </c>
      <c r="AK64" s="26">
        <v>0.96672600301246103</v>
      </c>
      <c r="AL64" s="26">
        <v>0.95999703818885296</v>
      </c>
      <c r="AM64" s="25">
        <v>0.99</v>
      </c>
      <c r="AN64" s="30">
        <v>1</v>
      </c>
      <c r="AO64" s="30">
        <v>1</v>
      </c>
      <c r="AP64" s="30">
        <v>1</v>
      </c>
      <c r="AQ64" s="30">
        <v>1</v>
      </c>
      <c r="AR64" s="32">
        <v>8.7218210012826203E-2</v>
      </c>
      <c r="AS64" s="34">
        <v>2.7777777777777801E-2</v>
      </c>
      <c r="AT64" s="34">
        <v>3.125E-2</v>
      </c>
      <c r="AU64" s="34">
        <v>4.81927710843374E-2</v>
      </c>
      <c r="AV64" s="34">
        <v>4.5652173913043499E-2</v>
      </c>
      <c r="AW64" s="10"/>
      <c r="AX64" s="8"/>
    </row>
    <row r="65" spans="1:50">
      <c r="A65" s="7"/>
      <c r="B65" s="10"/>
      <c r="C65" s="22" t="s">
        <v>56</v>
      </c>
      <c r="D65" s="23" t="s">
        <v>29</v>
      </c>
      <c r="E65" s="35" t="s">
        <v>113</v>
      </c>
      <c r="F65" s="35" t="s">
        <v>113</v>
      </c>
      <c r="G65" s="35" t="s">
        <v>113</v>
      </c>
      <c r="H65" s="35" t="s">
        <v>113</v>
      </c>
      <c r="I65" s="25">
        <v>0.9</v>
      </c>
      <c r="J65" s="26">
        <v>0.92941176470588205</v>
      </c>
      <c r="K65" s="26">
        <v>0.85057471264367801</v>
      </c>
      <c r="L65" s="27">
        <v>0.86746987951807197</v>
      </c>
      <c r="M65" s="26">
        <v>0.84421052631578997</v>
      </c>
      <c r="N65" s="28">
        <v>0.9</v>
      </c>
      <c r="O65" s="26">
        <v>0.98597452845397404</v>
      </c>
      <c r="P65" s="26">
        <v>0.98975850297129897</v>
      </c>
      <c r="Q65" s="26">
        <v>0.98784454716658099</v>
      </c>
      <c r="R65" s="26">
        <v>0.98922735071583301</v>
      </c>
      <c r="S65" s="28">
        <v>0.9</v>
      </c>
      <c r="T65" s="26">
        <v>0.77188457198129901</v>
      </c>
      <c r="U65" s="26">
        <v>0.701352889113668</v>
      </c>
      <c r="V65" s="26">
        <v>0.73994179078924804</v>
      </c>
      <c r="W65" s="26">
        <v>0.64607768683374101</v>
      </c>
      <c r="X65" s="28">
        <v>0.92</v>
      </c>
      <c r="Y65" s="28">
        <v>0.89599597078821502</v>
      </c>
      <c r="Z65" s="28">
        <v>0.91829405162738498</v>
      </c>
      <c r="AA65" s="28">
        <v>0.90428029618927197</v>
      </c>
      <c r="AB65" s="28">
        <v>0.86195559350982098</v>
      </c>
      <c r="AC65" s="28">
        <v>0.92</v>
      </c>
      <c r="AD65" s="26">
        <v>0.94968925717667996</v>
      </c>
      <c r="AE65" s="26">
        <v>0.89142011834319501</v>
      </c>
      <c r="AF65" s="26">
        <v>0.94254052944797895</v>
      </c>
      <c r="AG65" s="26">
        <v>0.87181598917583403</v>
      </c>
      <c r="AH65" s="28">
        <v>0.92</v>
      </c>
      <c r="AI65" s="26">
        <v>0.92529978376253197</v>
      </c>
      <c r="AJ65" s="26">
        <v>0.94168553866062799</v>
      </c>
      <c r="AK65" s="26">
        <v>0.93127691361279596</v>
      </c>
      <c r="AL65" s="26">
        <v>0.89395866185122996</v>
      </c>
      <c r="AM65" s="25">
        <v>0.99</v>
      </c>
      <c r="AN65" s="30">
        <v>1</v>
      </c>
      <c r="AO65" s="30">
        <v>1</v>
      </c>
      <c r="AP65" s="30">
        <v>1</v>
      </c>
      <c r="AQ65" s="30">
        <v>1</v>
      </c>
      <c r="AR65" s="32">
        <v>8.7218210012826203E-2</v>
      </c>
      <c r="AS65" s="34">
        <v>4.3478260869565202E-2</v>
      </c>
      <c r="AT65" s="34">
        <v>2.0833333333333301E-2</v>
      </c>
      <c r="AU65" s="34">
        <v>0</v>
      </c>
      <c r="AV65" s="34">
        <v>3.4482758620689703E-2</v>
      </c>
      <c r="AW65" s="10"/>
      <c r="AX65" s="8"/>
    </row>
    <row r="66" spans="1:50">
      <c r="A66" s="7"/>
      <c r="B66" s="10"/>
      <c r="C66" s="22" t="s">
        <v>56</v>
      </c>
      <c r="D66" s="23" t="s">
        <v>29</v>
      </c>
      <c r="E66" s="35" t="s">
        <v>114</v>
      </c>
      <c r="F66" s="35" t="s">
        <v>114</v>
      </c>
      <c r="G66" s="35" t="s">
        <v>114</v>
      </c>
      <c r="H66" s="35" t="s">
        <v>114</v>
      </c>
      <c r="I66" s="25">
        <v>0.9</v>
      </c>
      <c r="J66" s="26">
        <v>0.92857142857142905</v>
      </c>
      <c r="K66" s="26">
        <v>1</v>
      </c>
      <c r="L66" s="27">
        <v>0.931034482758621</v>
      </c>
      <c r="M66" s="26">
        <v>0.95327102803738295</v>
      </c>
      <c r="N66" s="28">
        <v>0.9</v>
      </c>
      <c r="O66" s="26">
        <v>0.945994065281899</v>
      </c>
      <c r="P66" s="26">
        <v>0.97034202343936904</v>
      </c>
      <c r="Q66" s="26">
        <v>0.956928213689482</v>
      </c>
      <c r="R66" s="26">
        <v>0.95840582425523901</v>
      </c>
      <c r="S66" s="28">
        <v>0.9</v>
      </c>
      <c r="T66" s="26">
        <v>0.84614243323442095</v>
      </c>
      <c r="U66" s="26">
        <v>0.76321454197560401</v>
      </c>
      <c r="V66" s="26">
        <v>0.82303839732888195</v>
      </c>
      <c r="W66" s="26">
        <v>0.793313883461363</v>
      </c>
      <c r="X66" s="28">
        <v>0.92</v>
      </c>
      <c r="Y66" s="28">
        <v>0.93920972644376899</v>
      </c>
      <c r="Z66" s="28">
        <v>0.96525464064731104</v>
      </c>
      <c r="AA66" s="28">
        <v>0.95665432367675896</v>
      </c>
      <c r="AB66" s="28">
        <v>0.95350680843126301</v>
      </c>
      <c r="AC66" s="28">
        <v>0.92</v>
      </c>
      <c r="AD66" s="26">
        <v>0.99909608461916599</v>
      </c>
      <c r="AE66" s="26">
        <v>0.9923339763715</v>
      </c>
      <c r="AF66" s="26">
        <v>0.996205109218808</v>
      </c>
      <c r="AG66" s="26">
        <v>0.99551231907976501</v>
      </c>
      <c r="AH66" s="28">
        <v>0.92</v>
      </c>
      <c r="AI66" s="26">
        <v>0.93552428681572897</v>
      </c>
      <c r="AJ66" s="26">
        <v>0.96380558428128205</v>
      </c>
      <c r="AK66" s="26">
        <v>0.96031371066805205</v>
      </c>
      <c r="AL66" s="26">
        <v>0.95708263929020598</v>
      </c>
      <c r="AM66" s="25">
        <v>0.99</v>
      </c>
      <c r="AN66" s="30">
        <v>1</v>
      </c>
      <c r="AO66" s="30">
        <v>1</v>
      </c>
      <c r="AP66" s="30">
        <v>1</v>
      </c>
      <c r="AQ66" s="30">
        <v>1</v>
      </c>
      <c r="AR66" s="32">
        <v>8.7218210012826203E-2</v>
      </c>
      <c r="AS66" s="34">
        <v>0</v>
      </c>
      <c r="AT66" s="34">
        <v>0</v>
      </c>
      <c r="AU66" s="34">
        <v>2.9411764705882401E-2</v>
      </c>
      <c r="AV66" s="34">
        <v>4.8034934497816602E-2</v>
      </c>
      <c r="AW66" s="10"/>
      <c r="AX66" s="8"/>
    </row>
    <row r="67" spans="1:50">
      <c r="A67" s="7"/>
      <c r="B67" s="10"/>
      <c r="C67" s="22" t="s">
        <v>56</v>
      </c>
      <c r="D67" s="23" t="s">
        <v>29</v>
      </c>
      <c r="E67" s="35" t="s">
        <v>115</v>
      </c>
      <c r="F67" s="35" t="s">
        <v>115</v>
      </c>
      <c r="G67" s="35" t="s">
        <v>115</v>
      </c>
      <c r="H67" s="35" t="s">
        <v>115</v>
      </c>
      <c r="I67" s="25">
        <v>0.9</v>
      </c>
      <c r="J67" s="26">
        <v>0</v>
      </c>
      <c r="K67" s="26">
        <v>0</v>
      </c>
      <c r="L67" s="27">
        <v>0</v>
      </c>
      <c r="M67" s="26">
        <v>0</v>
      </c>
      <c r="N67" s="28">
        <v>0.9</v>
      </c>
      <c r="O67" s="26">
        <v>0.99442379182156104</v>
      </c>
      <c r="P67" s="26">
        <v>0.91474245115452901</v>
      </c>
      <c r="Q67" s="26">
        <v>0.95754716981132104</v>
      </c>
      <c r="R67" s="26">
        <v>0.96585686145764904</v>
      </c>
      <c r="S67" s="28">
        <v>0.9</v>
      </c>
      <c r="T67" s="26">
        <v>0.99442379182156104</v>
      </c>
      <c r="U67" s="26">
        <v>0.98579040852575495</v>
      </c>
      <c r="V67" s="26">
        <v>0.99764150943396201</v>
      </c>
      <c r="W67" s="26">
        <v>0.99015101772816805</v>
      </c>
      <c r="X67" s="28">
        <v>0.92</v>
      </c>
      <c r="Y67" s="28">
        <v>0.988826815642458</v>
      </c>
      <c r="Z67" s="28">
        <v>0.99705014749262499</v>
      </c>
      <c r="AA67" s="28">
        <v>1</v>
      </c>
      <c r="AB67" s="28">
        <v>0.99182156133829003</v>
      </c>
      <c r="AC67" s="28">
        <v>0.92</v>
      </c>
      <c r="AD67" s="26">
        <v>0</v>
      </c>
      <c r="AE67" s="26">
        <v>0</v>
      </c>
      <c r="AF67" s="26">
        <v>0</v>
      </c>
      <c r="AG67" s="26">
        <v>0.83333333333333304</v>
      </c>
      <c r="AH67" s="28">
        <v>0.92</v>
      </c>
      <c r="AI67" s="26">
        <v>0.99444444444444402</v>
      </c>
      <c r="AJ67" s="26">
        <v>0.99889258028792904</v>
      </c>
      <c r="AK67" s="26">
        <v>0.99814126394052005</v>
      </c>
      <c r="AL67" s="26">
        <v>0.99295294385087496</v>
      </c>
      <c r="AM67" s="25">
        <v>0.99</v>
      </c>
      <c r="AN67" s="30">
        <v>0</v>
      </c>
      <c r="AO67" s="30">
        <v>0</v>
      </c>
      <c r="AP67" s="30">
        <v>0</v>
      </c>
      <c r="AQ67" s="30">
        <v>1</v>
      </c>
      <c r="AR67" s="32">
        <v>8.7218210012826203E-2</v>
      </c>
      <c r="AS67" s="34">
        <v>0</v>
      </c>
      <c r="AT67" s="34">
        <v>0</v>
      </c>
      <c r="AU67" s="34">
        <v>0</v>
      </c>
      <c r="AV67" s="34">
        <v>6</v>
      </c>
      <c r="AW67" s="10"/>
      <c r="AX67" s="8"/>
    </row>
    <row r="68" spans="1:50">
      <c r="A68" s="7"/>
      <c r="B68" s="10"/>
      <c r="C68" s="22" t="s">
        <v>56</v>
      </c>
      <c r="D68" s="23" t="s">
        <v>29</v>
      </c>
      <c r="E68" s="35" t="s">
        <v>116</v>
      </c>
      <c r="F68" s="35" t="s">
        <v>116</v>
      </c>
      <c r="G68" s="35" t="s">
        <v>116</v>
      </c>
      <c r="H68" s="35" t="s">
        <v>116</v>
      </c>
      <c r="I68" s="25">
        <v>0.9</v>
      </c>
      <c r="J68" s="26">
        <v>0.94382022471910099</v>
      </c>
      <c r="K68" s="26">
        <v>0.95789473684210502</v>
      </c>
      <c r="L68" s="27">
        <v>0.94382022471910099</v>
      </c>
      <c r="M68" s="26">
        <v>0.93009708737864105</v>
      </c>
      <c r="N68" s="28">
        <v>0.9</v>
      </c>
      <c r="O68" s="26">
        <v>0.977831912302071</v>
      </c>
      <c r="P68" s="26">
        <v>0.97873766880567004</v>
      </c>
      <c r="Q68" s="26">
        <v>0.98019125683060104</v>
      </c>
      <c r="R68" s="26">
        <v>0.97261276444759803</v>
      </c>
      <c r="S68" s="28">
        <v>0.9</v>
      </c>
      <c r="T68" s="26">
        <v>0.72728380024360495</v>
      </c>
      <c r="U68" s="26">
        <v>0.70022028541327497</v>
      </c>
      <c r="V68" s="26">
        <v>0.78743169398907098</v>
      </c>
      <c r="W68" s="26">
        <v>0.716503304208986</v>
      </c>
      <c r="X68" s="28">
        <v>0.92</v>
      </c>
      <c r="Y68" s="28">
        <v>0.91847932588673298</v>
      </c>
      <c r="Z68" s="28">
        <v>0.92031221637320704</v>
      </c>
      <c r="AA68" s="28">
        <v>0.92419869360473905</v>
      </c>
      <c r="AB68" s="28">
        <v>0.90150440947605004</v>
      </c>
      <c r="AC68" s="28">
        <v>0.92</v>
      </c>
      <c r="AD68" s="26">
        <v>0.99779823859087302</v>
      </c>
      <c r="AE68" s="26">
        <v>0.98613552040617103</v>
      </c>
      <c r="AF68" s="26">
        <v>0.99585395211983396</v>
      </c>
      <c r="AG68" s="26">
        <v>0.98429434376716096</v>
      </c>
      <c r="AH68" s="28">
        <v>0.92</v>
      </c>
      <c r="AI68" s="26">
        <v>0.92475217783118102</v>
      </c>
      <c r="AJ68" s="26">
        <v>0.93945092139902198</v>
      </c>
      <c r="AK68" s="26">
        <v>0.94174338319907902</v>
      </c>
      <c r="AL68" s="26">
        <v>0.92050582290794103</v>
      </c>
      <c r="AM68" s="25">
        <v>0.99</v>
      </c>
      <c r="AN68" s="30">
        <v>1</v>
      </c>
      <c r="AO68" s="30">
        <v>1</v>
      </c>
      <c r="AP68" s="30">
        <v>1</v>
      </c>
      <c r="AQ68" s="30">
        <v>1</v>
      </c>
      <c r="AR68" s="32">
        <v>8.7218210012826203E-2</v>
      </c>
      <c r="AS68" s="34">
        <v>4.5977011494252901E-2</v>
      </c>
      <c r="AT68" s="34">
        <v>0</v>
      </c>
      <c r="AU68" s="34">
        <v>5.1282051282051301E-2</v>
      </c>
      <c r="AV68" s="34">
        <v>3.8135593220338999E-2</v>
      </c>
      <c r="AW68" s="10"/>
      <c r="AX68" s="8"/>
    </row>
    <row r="69" spans="1:50">
      <c r="A69" s="7"/>
      <c r="B69" s="10"/>
      <c r="C69" s="22" t="s">
        <v>56</v>
      </c>
      <c r="D69" s="23" t="s">
        <v>29</v>
      </c>
      <c r="E69" s="35" t="s">
        <v>117</v>
      </c>
      <c r="F69" s="35" t="s">
        <v>117</v>
      </c>
      <c r="G69" s="35" t="s">
        <v>117</v>
      </c>
      <c r="H69" s="35" t="s">
        <v>117</v>
      </c>
      <c r="I69" s="25">
        <v>0.9</v>
      </c>
      <c r="J69" s="26">
        <v>0.97619047619047605</v>
      </c>
      <c r="K69" s="26">
        <v>0.97692307692307701</v>
      </c>
      <c r="L69" s="27">
        <v>0.97619047619047605</v>
      </c>
      <c r="M69" s="26">
        <v>0.97905027932960897</v>
      </c>
      <c r="N69" s="28">
        <v>0.9</v>
      </c>
      <c r="O69" s="26">
        <v>0.98141847683852401</v>
      </c>
      <c r="P69" s="26">
        <v>0.90349514563106803</v>
      </c>
      <c r="Q69" s="26">
        <v>0.98073328540618299</v>
      </c>
      <c r="R69" s="26">
        <v>0.95765472312703603</v>
      </c>
      <c r="S69" s="28">
        <v>0.9</v>
      </c>
      <c r="T69" s="26">
        <v>0.82098926982465303</v>
      </c>
      <c r="U69" s="26">
        <v>0.79019417475728204</v>
      </c>
      <c r="V69" s="26">
        <v>0.84529115744069006</v>
      </c>
      <c r="W69" s="26">
        <v>0.79436437463745502</v>
      </c>
      <c r="X69" s="28">
        <v>0.92</v>
      </c>
      <c r="Y69" s="28">
        <v>0.93038461538461503</v>
      </c>
      <c r="Z69" s="28">
        <v>0.93665002582199997</v>
      </c>
      <c r="AA69" s="28">
        <v>0.94548626253816004</v>
      </c>
      <c r="AB69" s="28">
        <v>0.91537962362102498</v>
      </c>
      <c r="AC69" s="28">
        <v>0.92</v>
      </c>
      <c r="AD69" s="26">
        <v>0.986200551977921</v>
      </c>
      <c r="AE69" s="26">
        <v>0.98680659670164905</v>
      </c>
      <c r="AF69" s="26">
        <v>0.98824023519529602</v>
      </c>
      <c r="AG69" s="26">
        <v>0.986819981558822</v>
      </c>
      <c r="AH69" s="28">
        <v>0.92</v>
      </c>
      <c r="AI69" s="26">
        <v>0.95274057925879796</v>
      </c>
      <c r="AJ69" s="26">
        <v>0.96021104903786503</v>
      </c>
      <c r="AK69" s="26">
        <v>0.96219732562341898</v>
      </c>
      <c r="AL69" s="26">
        <v>0.94047430203045701</v>
      </c>
      <c r="AM69" s="25">
        <v>0.99</v>
      </c>
      <c r="AN69" s="30">
        <v>1</v>
      </c>
      <c r="AO69" s="30">
        <v>1</v>
      </c>
      <c r="AP69" s="30">
        <v>1</v>
      </c>
      <c r="AQ69" s="30">
        <v>1</v>
      </c>
      <c r="AR69" s="32">
        <v>8.7218210012826203E-2</v>
      </c>
      <c r="AS69" s="34">
        <v>2.53164556962025E-2</v>
      </c>
      <c r="AT69" s="34">
        <v>0.08</v>
      </c>
      <c r="AU69" s="34">
        <v>2.27272727272727E-2</v>
      </c>
      <c r="AV69" s="34">
        <v>4.8780487804878099E-2</v>
      </c>
      <c r="AW69" s="10"/>
      <c r="AX69" s="8"/>
    </row>
    <row r="70" spans="1:50">
      <c r="A70" s="7"/>
      <c r="B70" s="10"/>
      <c r="C70" s="22" t="s">
        <v>56</v>
      </c>
      <c r="D70" s="23" t="s">
        <v>29</v>
      </c>
      <c r="E70" s="35" t="s">
        <v>118</v>
      </c>
      <c r="F70" s="35" t="s">
        <v>118</v>
      </c>
      <c r="G70" s="35" t="s">
        <v>118</v>
      </c>
      <c r="H70" s="35" t="s">
        <v>118</v>
      </c>
      <c r="I70" s="25">
        <v>0.9</v>
      </c>
      <c r="J70" s="26">
        <v>0.95270270270270296</v>
      </c>
      <c r="K70" s="26">
        <v>0.94805194805194803</v>
      </c>
      <c r="L70" s="27">
        <v>0.93710691823899395</v>
      </c>
      <c r="M70" s="26">
        <v>0.93012600229095099</v>
      </c>
      <c r="N70" s="28">
        <v>0.9</v>
      </c>
      <c r="O70" s="26">
        <v>0.94624969460053798</v>
      </c>
      <c r="P70" s="26">
        <v>0.93932653691689805</v>
      </c>
      <c r="Q70" s="26">
        <v>0.98006072874493899</v>
      </c>
      <c r="R70" s="26">
        <v>0.95752320009265601</v>
      </c>
      <c r="S70" s="28">
        <v>0.9</v>
      </c>
      <c r="T70" s="26">
        <v>0.807557618698591</v>
      </c>
      <c r="U70" s="26">
        <v>0.77991967871485901</v>
      </c>
      <c r="V70" s="26">
        <v>0.83087044534413002</v>
      </c>
      <c r="W70" s="26">
        <v>0.80571279660648898</v>
      </c>
      <c r="X70" s="28">
        <v>0.92</v>
      </c>
      <c r="Y70" s="28">
        <v>0.93375272820644495</v>
      </c>
      <c r="Z70" s="28">
        <v>0.94110489170114398</v>
      </c>
      <c r="AA70" s="28">
        <v>0.95068853786958296</v>
      </c>
      <c r="AB70" s="28">
        <v>0.93996520360296898</v>
      </c>
      <c r="AC70" s="28">
        <v>0.92</v>
      </c>
      <c r="AD70" s="26">
        <v>0.996886824081613</v>
      </c>
      <c r="AE70" s="26">
        <v>0.98401276738716503</v>
      </c>
      <c r="AF70" s="26">
        <v>0.98987250529350801</v>
      </c>
      <c r="AG70" s="26">
        <v>0.99032233078463705</v>
      </c>
      <c r="AH70" s="28">
        <v>0.92</v>
      </c>
      <c r="AI70" s="26">
        <v>0.94927500124570197</v>
      </c>
      <c r="AJ70" s="26">
        <v>0.95849721402818699</v>
      </c>
      <c r="AK70" s="26">
        <v>0.96169803683464905</v>
      </c>
      <c r="AL70" s="26">
        <v>0.95641009965152501</v>
      </c>
      <c r="AM70" s="25">
        <v>0.99</v>
      </c>
      <c r="AN70" s="30">
        <v>1</v>
      </c>
      <c r="AO70" s="30">
        <v>1</v>
      </c>
      <c r="AP70" s="30">
        <v>1</v>
      </c>
      <c r="AQ70" s="30">
        <v>1</v>
      </c>
      <c r="AR70" s="32">
        <v>8.7218210012826203E-2</v>
      </c>
      <c r="AS70" s="34">
        <v>3.4188034188034198E-2</v>
      </c>
      <c r="AT70" s="34">
        <v>7.6190476190476197E-2</v>
      </c>
      <c r="AU70" s="34">
        <v>1.9047619047619001E-2</v>
      </c>
      <c r="AV70" s="34">
        <v>4.4701986754966901E-2</v>
      </c>
      <c r="AW70" s="10"/>
      <c r="AX70" s="8"/>
    </row>
    <row r="71" spans="1:50">
      <c r="A71" s="7"/>
      <c r="B71" s="10"/>
      <c r="C71" s="22" t="s">
        <v>56</v>
      </c>
      <c r="D71" s="23" t="s">
        <v>29</v>
      </c>
      <c r="E71" s="35" t="s">
        <v>119</v>
      </c>
      <c r="F71" s="35" t="s">
        <v>119</v>
      </c>
      <c r="G71" s="35" t="s">
        <v>119</v>
      </c>
      <c r="H71" s="35" t="s">
        <v>119</v>
      </c>
      <c r="I71" s="25">
        <v>0.9</v>
      </c>
      <c r="J71" s="26">
        <v>0.94285714285714295</v>
      </c>
      <c r="K71" s="26">
        <v>0.95588235294117696</v>
      </c>
      <c r="L71" s="27">
        <v>0.95384615384615401</v>
      </c>
      <c r="M71" s="26">
        <v>0.93131868131868101</v>
      </c>
      <c r="N71" s="28">
        <v>0.9</v>
      </c>
      <c r="O71" s="26">
        <v>0.96142477091339096</v>
      </c>
      <c r="P71" s="26">
        <v>0.97925213925682797</v>
      </c>
      <c r="Q71" s="26">
        <v>0.95582899510963903</v>
      </c>
      <c r="R71" s="26">
        <v>0.95163790693537298</v>
      </c>
      <c r="S71" s="28">
        <v>0.9</v>
      </c>
      <c r="T71" s="26">
        <v>0.85368016553354997</v>
      </c>
      <c r="U71" s="26">
        <v>0.80869769077482101</v>
      </c>
      <c r="V71" s="26">
        <v>0.85044959772834805</v>
      </c>
      <c r="W71" s="26">
        <v>0.81244758443670695</v>
      </c>
      <c r="X71" s="28">
        <v>0.92</v>
      </c>
      <c r="Y71" s="28">
        <v>0.92402088772846003</v>
      </c>
      <c r="Z71" s="28">
        <v>0.96073903002309502</v>
      </c>
      <c r="AA71" s="28">
        <v>0.90653480705836698</v>
      </c>
      <c r="AB71" s="28">
        <v>0.93210375157063396</v>
      </c>
      <c r="AC71" s="28">
        <v>0.92</v>
      </c>
      <c r="AD71" s="26">
        <v>0.92951541850220298</v>
      </c>
      <c r="AE71" s="26">
        <v>0.954408557482605</v>
      </c>
      <c r="AF71" s="26">
        <v>0.84742410411253899</v>
      </c>
      <c r="AG71" s="26">
        <v>0.92668835557231999</v>
      </c>
      <c r="AH71" s="28">
        <v>0.92</v>
      </c>
      <c r="AI71" s="26">
        <v>0.95479852788525099</v>
      </c>
      <c r="AJ71" s="26">
        <v>0.974504469490867</v>
      </c>
      <c r="AK71" s="26">
        <v>0.94529483388415403</v>
      </c>
      <c r="AL71" s="26">
        <v>0.95881389199798805</v>
      </c>
      <c r="AM71" s="25">
        <v>0.99</v>
      </c>
      <c r="AN71" s="30">
        <v>1</v>
      </c>
      <c r="AO71" s="30">
        <v>1</v>
      </c>
      <c r="AP71" s="30">
        <v>1</v>
      </c>
      <c r="AQ71" s="30">
        <v>1</v>
      </c>
      <c r="AR71" s="32">
        <v>8.7218210012826203E-2</v>
      </c>
      <c r="AS71" s="34">
        <v>8.9285714285714302E-2</v>
      </c>
      <c r="AT71" s="34">
        <v>3.125E-2</v>
      </c>
      <c r="AU71" s="34">
        <v>8.1081081081081099E-2</v>
      </c>
      <c r="AV71" s="34">
        <v>6.4981949458483707E-2</v>
      </c>
      <c r="AW71" s="10"/>
      <c r="AX71" s="8"/>
    </row>
    <row r="72" spans="1:50">
      <c r="A72" s="7"/>
      <c r="B72" s="10"/>
      <c r="C72" s="22" t="s">
        <v>56</v>
      </c>
      <c r="D72" s="23" t="s">
        <v>29</v>
      </c>
      <c r="E72" s="35" t="s">
        <v>120</v>
      </c>
      <c r="F72" s="35" t="s">
        <v>120</v>
      </c>
      <c r="G72" s="35" t="s">
        <v>120</v>
      </c>
      <c r="H72" s="35" t="s">
        <v>120</v>
      </c>
      <c r="I72" s="25">
        <v>0.9</v>
      </c>
      <c r="J72" s="26">
        <v>0.87962962962962998</v>
      </c>
      <c r="K72" s="26">
        <v>0.842592592592593</v>
      </c>
      <c r="L72" s="27">
        <v>0.88659793814432997</v>
      </c>
      <c r="M72" s="26">
        <v>0.85243055555555602</v>
      </c>
      <c r="N72" s="28">
        <v>0.9</v>
      </c>
      <c r="O72" s="26">
        <v>0.90399522957662504</v>
      </c>
      <c r="P72" s="26">
        <v>0.761285312105621</v>
      </c>
      <c r="Q72" s="26">
        <v>0.90508615897721001</v>
      </c>
      <c r="R72" s="26">
        <v>0.86421387542439798</v>
      </c>
      <c r="S72" s="28">
        <v>0.9</v>
      </c>
      <c r="T72" s="26">
        <v>0.62051282051282097</v>
      </c>
      <c r="U72" s="26">
        <v>0.504805358703039</v>
      </c>
      <c r="V72" s="26">
        <v>0.68774319066147904</v>
      </c>
      <c r="W72" s="26">
        <v>0.59853515833529103</v>
      </c>
      <c r="X72" s="28">
        <v>0.92</v>
      </c>
      <c r="Y72" s="28">
        <v>0.81044835868694998</v>
      </c>
      <c r="Z72" s="28">
        <v>0.821050642479214</v>
      </c>
      <c r="AA72" s="28">
        <v>0.83218050065876104</v>
      </c>
      <c r="AB72" s="28">
        <v>0.84161414992514205</v>
      </c>
      <c r="AC72" s="28">
        <v>0.92</v>
      </c>
      <c r="AD72" s="26">
        <v>0.72068290947892599</v>
      </c>
      <c r="AE72" s="26">
        <v>0.97123339397892305</v>
      </c>
      <c r="AF72" s="26">
        <v>0.79392397485782695</v>
      </c>
      <c r="AG72" s="26">
        <v>0.88795427460690302</v>
      </c>
      <c r="AH72" s="28">
        <v>0.92</v>
      </c>
      <c r="AI72" s="26">
        <v>0.86975041099985095</v>
      </c>
      <c r="AJ72" s="26">
        <v>0.85917660638707205</v>
      </c>
      <c r="AK72" s="26">
        <v>0.87158037531087496</v>
      </c>
      <c r="AL72" s="26">
        <v>0.87379732931009402</v>
      </c>
      <c r="AM72" s="25">
        <v>0.99</v>
      </c>
      <c r="AN72" s="30">
        <v>1</v>
      </c>
      <c r="AO72" s="30">
        <v>1</v>
      </c>
      <c r="AP72" s="30">
        <v>1</v>
      </c>
      <c r="AQ72" s="30">
        <v>1</v>
      </c>
      <c r="AR72" s="32">
        <v>8.7218210012826203E-2</v>
      </c>
      <c r="AS72" s="34">
        <v>5.3571428571428603E-2</v>
      </c>
      <c r="AT72" s="34">
        <v>1.9607843137254902E-2</v>
      </c>
      <c r="AU72" s="34">
        <v>4.7619047619047603E-2</v>
      </c>
      <c r="AV72" s="34">
        <v>6.2043795620437998E-2</v>
      </c>
      <c r="AW72" s="10"/>
      <c r="AX72" s="8"/>
    </row>
    <row r="73" spans="1:50">
      <c r="A73" s="7"/>
      <c r="B73" s="10"/>
      <c r="C73" s="22" t="s">
        <v>56</v>
      </c>
      <c r="D73" s="23" t="s">
        <v>29</v>
      </c>
      <c r="E73" s="35" t="s">
        <v>121</v>
      </c>
      <c r="F73" s="35" t="s">
        <v>121</v>
      </c>
      <c r="G73" s="35" t="s">
        <v>121</v>
      </c>
      <c r="H73" s="35" t="s">
        <v>121</v>
      </c>
      <c r="I73" s="25">
        <v>0.9</v>
      </c>
      <c r="J73" s="26">
        <v>0.93918918918918903</v>
      </c>
      <c r="K73" s="26">
        <v>0.92763157894736803</v>
      </c>
      <c r="L73" s="27">
        <v>0.87755102040816302</v>
      </c>
      <c r="M73" s="26">
        <v>0.89301801801801795</v>
      </c>
      <c r="N73" s="28">
        <v>0.9</v>
      </c>
      <c r="O73" s="26">
        <v>0.93900006434592398</v>
      </c>
      <c r="P73" s="26">
        <v>0.89996888612321102</v>
      </c>
      <c r="Q73" s="26">
        <v>0.86554172711307897</v>
      </c>
      <c r="R73" s="26">
        <v>0.91300770612434101</v>
      </c>
      <c r="S73" s="28">
        <v>0.9</v>
      </c>
      <c r="T73" s="26">
        <v>0.80187890097162295</v>
      </c>
      <c r="U73" s="26">
        <v>0.74792574154739699</v>
      </c>
      <c r="V73" s="26">
        <v>0.74704130716958095</v>
      </c>
      <c r="W73" s="26">
        <v>0.76423894779535295</v>
      </c>
      <c r="X73" s="28">
        <v>0.92</v>
      </c>
      <c r="Y73" s="28">
        <v>0.92608984288559404</v>
      </c>
      <c r="Z73" s="28">
        <v>0.948926349588601</v>
      </c>
      <c r="AA73" s="28">
        <v>0.94474729742215702</v>
      </c>
      <c r="AB73" s="28">
        <v>0.93540240206532699</v>
      </c>
      <c r="AC73" s="28">
        <v>0.92</v>
      </c>
      <c r="AD73" s="26">
        <v>0.99623347628455305</v>
      </c>
      <c r="AE73" s="26">
        <v>0.98529916744954504</v>
      </c>
      <c r="AF73" s="26">
        <v>0.85879199617854696</v>
      </c>
      <c r="AG73" s="26">
        <v>0.93746403160692204</v>
      </c>
      <c r="AH73" s="28">
        <v>0.92</v>
      </c>
      <c r="AI73" s="26">
        <v>0.94814332777484001</v>
      </c>
      <c r="AJ73" s="26">
        <v>0.96451524682072998</v>
      </c>
      <c r="AK73" s="26">
        <v>0.96122022565817</v>
      </c>
      <c r="AL73" s="26">
        <v>0.95391494080194605</v>
      </c>
      <c r="AM73" s="25">
        <v>0.99</v>
      </c>
      <c r="AN73" s="30">
        <v>1</v>
      </c>
      <c r="AO73" s="30">
        <v>0.99655172413793103</v>
      </c>
      <c r="AP73" s="30">
        <v>1</v>
      </c>
      <c r="AQ73" s="30">
        <v>0.99950124688279296</v>
      </c>
      <c r="AR73" s="32">
        <v>8.7218210012826203E-2</v>
      </c>
      <c r="AS73" s="34">
        <v>4.2105263157894701E-2</v>
      </c>
      <c r="AT73" s="34">
        <v>3.7037037037037E-2</v>
      </c>
      <c r="AU73" s="34">
        <v>0.08</v>
      </c>
      <c r="AV73" s="34">
        <v>5.3742802303262997E-2</v>
      </c>
      <c r="AW73" s="10"/>
      <c r="AX73" s="8"/>
    </row>
    <row r="74" spans="1:50">
      <c r="A74" s="7"/>
      <c r="B74" s="10"/>
      <c r="C74" s="22" t="s">
        <v>56</v>
      </c>
      <c r="D74" s="23" t="s">
        <v>29</v>
      </c>
      <c r="E74" s="35" t="s">
        <v>122</v>
      </c>
      <c r="F74" s="35" t="s">
        <v>122</v>
      </c>
      <c r="G74" s="35" t="s">
        <v>122</v>
      </c>
      <c r="H74" s="35" t="s">
        <v>122</v>
      </c>
      <c r="I74" s="25">
        <v>0.9</v>
      </c>
      <c r="J74" s="26">
        <v>0.85849056603773599</v>
      </c>
      <c r="K74" s="26">
        <v>0.85576923076923095</v>
      </c>
      <c r="L74" s="27">
        <v>0.87850467289719603</v>
      </c>
      <c r="M74" s="26">
        <v>0.84040747028862495</v>
      </c>
      <c r="N74" s="28">
        <v>0.9</v>
      </c>
      <c r="O74" s="26">
        <v>0.97725912627169398</v>
      </c>
      <c r="P74" s="26">
        <v>0.93253254693231702</v>
      </c>
      <c r="Q74" s="26">
        <v>0.89644012944983797</v>
      </c>
      <c r="R74" s="26">
        <v>0.94421630094043896</v>
      </c>
      <c r="S74" s="28">
        <v>0.9</v>
      </c>
      <c r="T74" s="26">
        <v>0.80866888945883597</v>
      </c>
      <c r="U74" s="26">
        <v>0.74559447601237105</v>
      </c>
      <c r="V74" s="26">
        <v>0.790554207119741</v>
      </c>
      <c r="W74" s="26">
        <v>0.76691222570532902</v>
      </c>
      <c r="X74" s="28">
        <v>0.92</v>
      </c>
      <c r="Y74" s="28">
        <v>0.92700841622035202</v>
      </c>
      <c r="Z74" s="28">
        <v>0.89809875530023298</v>
      </c>
      <c r="AA74" s="28">
        <v>0.86215634106170003</v>
      </c>
      <c r="AB74" s="28">
        <v>0.87085856786604898</v>
      </c>
      <c r="AC74" s="28">
        <v>0.92</v>
      </c>
      <c r="AD74" s="26">
        <v>0.99787191833937505</v>
      </c>
      <c r="AE74" s="26">
        <v>0.990635953187192</v>
      </c>
      <c r="AF74" s="26">
        <v>0.98263127647346804</v>
      </c>
      <c r="AG74" s="26">
        <v>0.98971905470819399</v>
      </c>
      <c r="AH74" s="28">
        <v>0.92</v>
      </c>
      <c r="AI74" s="26">
        <v>0.94983552631578905</v>
      </c>
      <c r="AJ74" s="26">
        <v>0.94000659786040797</v>
      </c>
      <c r="AK74" s="26">
        <v>0.92332771219786403</v>
      </c>
      <c r="AL74" s="26">
        <v>0.92419115579643396</v>
      </c>
      <c r="AM74" s="25">
        <v>0.99</v>
      </c>
      <c r="AN74" s="30">
        <v>1</v>
      </c>
      <c r="AO74" s="30">
        <v>1</v>
      </c>
      <c r="AP74" s="30">
        <v>1</v>
      </c>
      <c r="AQ74" s="30">
        <v>1</v>
      </c>
      <c r="AR74" s="32">
        <v>8.7218210012826203E-2</v>
      </c>
      <c r="AS74" s="34">
        <v>6.0606060606060601E-2</v>
      </c>
      <c r="AT74" s="34">
        <v>7.3170731707317097E-2</v>
      </c>
      <c r="AU74" s="34">
        <v>0</v>
      </c>
      <c r="AV74" s="34">
        <v>4.2452830188679201E-2</v>
      </c>
      <c r="AW74" s="10"/>
      <c r="AX74" s="8"/>
    </row>
    <row r="75" spans="1:50">
      <c r="A75" s="7"/>
      <c r="B75" s="10"/>
      <c r="C75" s="22" t="s">
        <v>56</v>
      </c>
      <c r="D75" s="23" t="s">
        <v>29</v>
      </c>
      <c r="E75" s="35" t="s">
        <v>123</v>
      </c>
      <c r="F75" s="35" t="s">
        <v>123</v>
      </c>
      <c r="G75" s="35" t="s">
        <v>123</v>
      </c>
      <c r="H75" s="35" t="s">
        <v>123</v>
      </c>
      <c r="I75" s="25">
        <v>0.9</v>
      </c>
      <c r="J75" s="26">
        <v>0.9375</v>
      </c>
      <c r="K75" s="26">
        <v>0.95833333333333304</v>
      </c>
      <c r="L75" s="27">
        <v>0.96629213483146104</v>
      </c>
      <c r="M75" s="26">
        <v>0.95555555555555605</v>
      </c>
      <c r="N75" s="28">
        <v>0.9</v>
      </c>
      <c r="O75" s="26">
        <v>0.97641010131559003</v>
      </c>
      <c r="P75" s="26">
        <v>0.97134256472004799</v>
      </c>
      <c r="Q75" s="26">
        <v>0.98020164986251102</v>
      </c>
      <c r="R75" s="26">
        <v>0.96755463562807498</v>
      </c>
      <c r="S75" s="28">
        <v>0.9</v>
      </c>
      <c r="T75" s="26">
        <v>0.86012399818539198</v>
      </c>
      <c r="U75" s="26">
        <v>0.815894039735099</v>
      </c>
      <c r="V75" s="26">
        <v>0.87772685609532497</v>
      </c>
      <c r="W75" s="26">
        <v>0.84855245826725101</v>
      </c>
      <c r="X75" s="28">
        <v>0.92</v>
      </c>
      <c r="Y75" s="28">
        <v>0.94923002887391705</v>
      </c>
      <c r="Z75" s="28">
        <v>0.95594618055555602</v>
      </c>
      <c r="AA75" s="28">
        <v>0.95643867023309104</v>
      </c>
      <c r="AB75" s="28">
        <v>0.95169004461235496</v>
      </c>
      <c r="AC75" s="28">
        <v>0.92</v>
      </c>
      <c r="AD75" s="26">
        <v>0.98429146590984096</v>
      </c>
      <c r="AE75" s="26">
        <v>0.99946342335896998</v>
      </c>
      <c r="AF75" s="26">
        <v>0.99150894170105797</v>
      </c>
      <c r="AG75" s="26">
        <v>0.99187345505469005</v>
      </c>
      <c r="AH75" s="28">
        <v>0.92</v>
      </c>
      <c r="AI75" s="26">
        <v>0.95916094301095201</v>
      </c>
      <c r="AJ75" s="26">
        <v>0.96855638166047098</v>
      </c>
      <c r="AK75" s="26">
        <v>0.96763027411357505</v>
      </c>
      <c r="AL75" s="26">
        <v>0.96487243911867004</v>
      </c>
      <c r="AM75" s="25">
        <v>0.99</v>
      </c>
      <c r="AN75" s="30">
        <v>1</v>
      </c>
      <c r="AO75" s="30">
        <v>1</v>
      </c>
      <c r="AP75" s="30">
        <v>1</v>
      </c>
      <c r="AQ75" s="30">
        <v>1</v>
      </c>
      <c r="AR75" s="32">
        <v>8.7218210012826203E-2</v>
      </c>
      <c r="AS75" s="34">
        <v>0</v>
      </c>
      <c r="AT75" s="34">
        <v>6.25E-2</v>
      </c>
      <c r="AU75" s="34">
        <v>0</v>
      </c>
      <c r="AV75" s="34">
        <v>4.8888888888888898E-2</v>
      </c>
      <c r="AW75" s="10"/>
      <c r="AX75" s="8"/>
    </row>
    <row r="76" spans="1:50">
      <c r="A76" s="7"/>
      <c r="B76" s="10"/>
      <c r="C76" s="22" t="s">
        <v>56</v>
      </c>
      <c r="D76" s="23" t="s">
        <v>29</v>
      </c>
      <c r="E76" s="35" t="s">
        <v>124</v>
      </c>
      <c r="F76" s="35" t="s">
        <v>124</v>
      </c>
      <c r="G76" s="35" t="s">
        <v>124</v>
      </c>
      <c r="H76" s="35" t="s">
        <v>124</v>
      </c>
      <c r="I76" s="25">
        <v>0.9</v>
      </c>
      <c r="J76" s="26">
        <v>0.92391304347826098</v>
      </c>
      <c r="K76" s="26">
        <v>0.87878787878787901</v>
      </c>
      <c r="L76" s="27">
        <v>0.95348837209302295</v>
      </c>
      <c r="M76" s="26">
        <v>0.91094619666048204</v>
      </c>
      <c r="N76" s="28">
        <v>0.9</v>
      </c>
      <c r="O76" s="26">
        <v>0.97460510328067995</v>
      </c>
      <c r="P76" s="26">
        <v>0.89860643921191696</v>
      </c>
      <c r="Q76" s="26">
        <v>0.92541357672561297</v>
      </c>
      <c r="R76" s="26">
        <v>0.93557885817180397</v>
      </c>
      <c r="S76" s="28">
        <v>0.9</v>
      </c>
      <c r="T76" s="26">
        <v>0.76755771567436204</v>
      </c>
      <c r="U76" s="26">
        <v>0.69005285920230697</v>
      </c>
      <c r="V76" s="26">
        <v>0.75941243582430096</v>
      </c>
      <c r="W76" s="26">
        <v>0.73600254210359095</v>
      </c>
      <c r="X76" s="28">
        <v>0.92</v>
      </c>
      <c r="Y76" s="28">
        <v>0.920710737485671</v>
      </c>
      <c r="Z76" s="28">
        <v>0.93766666666666698</v>
      </c>
      <c r="AA76" s="28">
        <v>0.90644677661169404</v>
      </c>
      <c r="AB76" s="28">
        <v>0.92814543135066196</v>
      </c>
      <c r="AC76" s="28">
        <v>0.92</v>
      </c>
      <c r="AD76" s="26">
        <v>0.99788772201231701</v>
      </c>
      <c r="AE76" s="26">
        <v>0.99712913797921798</v>
      </c>
      <c r="AF76" s="26">
        <v>0.99603701212528895</v>
      </c>
      <c r="AG76" s="26">
        <v>0.99315547221275102</v>
      </c>
      <c r="AH76" s="28">
        <v>0.92</v>
      </c>
      <c r="AI76" s="26">
        <v>0.93383335808703405</v>
      </c>
      <c r="AJ76" s="26">
        <v>0.94992690058479501</v>
      </c>
      <c r="AK76" s="26">
        <v>0.92744940454445801</v>
      </c>
      <c r="AL76" s="26">
        <v>0.94134789137461505</v>
      </c>
      <c r="AM76" s="25">
        <v>0.99</v>
      </c>
      <c r="AN76" s="30">
        <v>1</v>
      </c>
      <c r="AO76" s="30">
        <v>1</v>
      </c>
      <c r="AP76" s="30">
        <v>1</v>
      </c>
      <c r="AQ76" s="30">
        <v>1</v>
      </c>
      <c r="AR76" s="32">
        <v>8.7218210012826203E-2</v>
      </c>
      <c r="AS76" s="34">
        <v>3.5714285714285698E-2</v>
      </c>
      <c r="AT76" s="34">
        <v>0.105263157894737</v>
      </c>
      <c r="AU76" s="34">
        <v>7.4074074074074098E-2</v>
      </c>
      <c r="AV76" s="34">
        <v>6.5000000000000002E-2</v>
      </c>
      <c r="AW76" s="10"/>
      <c r="AX76" s="8"/>
    </row>
    <row r="77" spans="1:50">
      <c r="A77" s="7"/>
      <c r="B77" s="10"/>
      <c r="C77" s="22" t="s">
        <v>56</v>
      </c>
      <c r="D77" s="23" t="s">
        <v>29</v>
      </c>
      <c r="E77" s="35" t="s">
        <v>125</v>
      </c>
      <c r="F77" s="35" t="s">
        <v>125</v>
      </c>
      <c r="G77" s="35" t="s">
        <v>125</v>
      </c>
      <c r="H77" s="35" t="s">
        <v>125</v>
      </c>
      <c r="I77" s="25">
        <v>0.9</v>
      </c>
      <c r="J77" s="26">
        <v>0.94444444444444398</v>
      </c>
      <c r="K77" s="26">
        <v>1</v>
      </c>
      <c r="L77" s="27">
        <v>1</v>
      </c>
      <c r="M77" s="26">
        <v>0.97058823529411797</v>
      </c>
      <c r="N77" s="28">
        <v>0.9</v>
      </c>
      <c r="O77" s="26">
        <v>0.99070100143061501</v>
      </c>
      <c r="P77" s="26">
        <v>0.88012909174734899</v>
      </c>
      <c r="Q77" s="26">
        <v>0.98887859128822997</v>
      </c>
      <c r="R77" s="26">
        <v>0.95697567691601604</v>
      </c>
      <c r="S77" s="28">
        <v>0.9</v>
      </c>
      <c r="T77" s="26">
        <v>0.89270386266094404</v>
      </c>
      <c r="U77" s="26">
        <v>0.82019363762102304</v>
      </c>
      <c r="V77" s="26">
        <v>0.89620018535681201</v>
      </c>
      <c r="W77" s="26">
        <v>0.85853602569986198</v>
      </c>
      <c r="X77" s="28">
        <v>0.92</v>
      </c>
      <c r="Y77" s="28">
        <v>0.94318181818181801</v>
      </c>
      <c r="Z77" s="28">
        <v>0.94746543778801795</v>
      </c>
      <c r="AA77" s="28">
        <v>0.951713395638629</v>
      </c>
      <c r="AB77" s="28">
        <v>0.95043327556325796</v>
      </c>
      <c r="AC77" s="28">
        <v>0.92</v>
      </c>
      <c r="AD77" s="26">
        <v>0.5</v>
      </c>
      <c r="AE77" s="26">
        <v>0.17647058823529399</v>
      </c>
      <c r="AF77" s="26">
        <v>0.5</v>
      </c>
      <c r="AG77" s="26">
        <v>0.35294117647058798</v>
      </c>
      <c r="AH77" s="28">
        <v>0.92</v>
      </c>
      <c r="AI77" s="26">
        <v>0.95875383940324699</v>
      </c>
      <c r="AJ77" s="26">
        <v>0.96742470805162895</v>
      </c>
      <c r="AK77" s="26">
        <v>0.96868387642826903</v>
      </c>
      <c r="AL77" s="26">
        <v>0.96790447266703505</v>
      </c>
      <c r="AM77" s="25">
        <v>0.99</v>
      </c>
      <c r="AN77" s="30">
        <v>1</v>
      </c>
      <c r="AO77" s="30">
        <v>1</v>
      </c>
      <c r="AP77" s="30">
        <v>1</v>
      </c>
      <c r="AQ77" s="30">
        <v>1</v>
      </c>
      <c r="AR77" s="32">
        <v>8.7218210012826203E-2</v>
      </c>
      <c r="AS77" s="34">
        <v>0.2</v>
      </c>
      <c r="AT77" s="34">
        <v>0</v>
      </c>
      <c r="AU77" s="34">
        <v>0</v>
      </c>
      <c r="AV77" s="34">
        <v>6.25E-2</v>
      </c>
      <c r="AW77" s="10"/>
      <c r="AX77" s="8"/>
    </row>
    <row r="78" spans="1:50">
      <c r="A78" s="7"/>
      <c r="B78" s="10"/>
      <c r="C78" s="22" t="s">
        <v>56</v>
      </c>
      <c r="D78" s="23" t="s">
        <v>29</v>
      </c>
      <c r="E78" s="35" t="s">
        <v>126</v>
      </c>
      <c r="F78" s="35" t="s">
        <v>126</v>
      </c>
      <c r="G78" s="35" t="s">
        <v>126</v>
      </c>
      <c r="H78" s="35" t="s">
        <v>126</v>
      </c>
      <c r="I78" s="25">
        <v>0.9</v>
      </c>
      <c r="J78" s="26">
        <v>0.98765432098765404</v>
      </c>
      <c r="K78" s="26">
        <v>0.92941176470588205</v>
      </c>
      <c r="L78" s="27">
        <v>0.91358024691357997</v>
      </c>
      <c r="M78" s="26">
        <v>0.94255319148936201</v>
      </c>
      <c r="N78" s="28">
        <v>0.9</v>
      </c>
      <c r="O78" s="26">
        <v>0.99315438659700905</v>
      </c>
      <c r="P78" s="26">
        <v>0.99049349923109198</v>
      </c>
      <c r="Q78" s="26">
        <v>0.99279983542480998</v>
      </c>
      <c r="R78" s="26">
        <v>0.99015974838850296</v>
      </c>
      <c r="S78" s="28">
        <v>0.9</v>
      </c>
      <c r="T78" s="26">
        <v>0.85119798234552302</v>
      </c>
      <c r="U78" s="26">
        <v>0.80357891793653002</v>
      </c>
      <c r="V78" s="26">
        <v>0.87574573133100198</v>
      </c>
      <c r="W78" s="26">
        <v>0.82848067760720001</v>
      </c>
      <c r="X78" s="28">
        <v>0.92</v>
      </c>
      <c r="Y78" s="28">
        <v>0.93596837944664002</v>
      </c>
      <c r="Z78" s="28">
        <v>0.968854568854569</v>
      </c>
      <c r="AA78" s="28">
        <v>0.95751984552671099</v>
      </c>
      <c r="AB78" s="28">
        <v>0.95095367847411405</v>
      </c>
      <c r="AC78" s="28">
        <v>0.92</v>
      </c>
      <c r="AD78" s="26">
        <v>0.99902572096648501</v>
      </c>
      <c r="AE78" s="26">
        <v>0.99875489149768804</v>
      </c>
      <c r="AF78" s="26">
        <v>0.99947461745583499</v>
      </c>
      <c r="AG78" s="26">
        <v>0.99639178639375403</v>
      </c>
      <c r="AH78" s="28">
        <v>0.92</v>
      </c>
      <c r="AI78" s="26">
        <v>0.95570297453455999</v>
      </c>
      <c r="AJ78" s="26">
        <v>0.97799112399239196</v>
      </c>
      <c r="AK78" s="26">
        <v>0.97175259897091204</v>
      </c>
      <c r="AL78" s="26">
        <v>0.96628544862854504</v>
      </c>
      <c r="AM78" s="25">
        <v>0.99</v>
      </c>
      <c r="AN78" s="30">
        <v>1</v>
      </c>
      <c r="AO78" s="30">
        <v>1</v>
      </c>
      <c r="AP78" s="30">
        <v>1</v>
      </c>
      <c r="AQ78" s="30">
        <v>1</v>
      </c>
      <c r="AR78" s="32">
        <v>8.7218210012826203E-2</v>
      </c>
      <c r="AS78" s="34">
        <v>5.4054054054054099E-2</v>
      </c>
      <c r="AT78" s="34">
        <v>5.1282051282051301E-2</v>
      </c>
      <c r="AU78" s="34">
        <v>0.125</v>
      </c>
      <c r="AV78" s="34">
        <v>7.7348066298342497E-2</v>
      </c>
      <c r="AW78" s="10"/>
      <c r="AX78" s="8"/>
    </row>
    <row r="79" spans="1:50">
      <c r="A79" s="7"/>
      <c r="B79" s="10"/>
      <c r="C79" s="36"/>
      <c r="D79" s="37"/>
      <c r="E79" s="37"/>
      <c r="F79" s="38"/>
      <c r="G79" s="38"/>
      <c r="H79" s="38"/>
      <c r="I79" s="39"/>
      <c r="J79" s="40"/>
      <c r="K79" s="40"/>
      <c r="L79" s="27"/>
      <c r="M79" s="40"/>
      <c r="N79" s="39"/>
      <c r="O79" s="41"/>
      <c r="P79" s="42"/>
      <c r="Q79" s="26"/>
      <c r="R79" s="42"/>
      <c r="S79" s="43"/>
      <c r="T79" s="40"/>
      <c r="U79" s="40"/>
      <c r="V79" s="26"/>
      <c r="W79" s="40"/>
      <c r="X79" s="43"/>
      <c r="Y79" s="43"/>
      <c r="Z79" s="43"/>
      <c r="AA79" s="28"/>
      <c r="AB79" s="43"/>
      <c r="AC79" s="40"/>
      <c r="AD79" s="40"/>
      <c r="AE79" s="40"/>
      <c r="AF79" s="26"/>
      <c r="AG79" s="40"/>
      <c r="AH79" s="43"/>
      <c r="AI79" s="40"/>
      <c r="AJ79" s="40"/>
      <c r="AK79" s="26"/>
      <c r="AL79" s="40"/>
      <c r="AM79" s="39"/>
      <c r="AN79" s="39"/>
      <c r="AO79" s="39"/>
      <c r="AP79" s="30"/>
      <c r="AQ79" s="39"/>
      <c r="AR79" s="44"/>
      <c r="AS79" s="39"/>
      <c r="AT79" s="39"/>
      <c r="AU79" s="34"/>
      <c r="AV79" s="39"/>
      <c r="AW79" s="10"/>
      <c r="AX79" s="8"/>
    </row>
    <row r="80" spans="1:50">
      <c r="A80" s="7"/>
      <c r="B80" s="10"/>
      <c r="C80" s="45" t="s">
        <v>127</v>
      </c>
      <c r="D80" s="23" t="s">
        <v>11</v>
      </c>
      <c r="E80" s="46" t="s">
        <v>128</v>
      </c>
      <c r="F80" s="46" t="s">
        <v>128</v>
      </c>
      <c r="G80" s="46" t="s">
        <v>128</v>
      </c>
      <c r="H80" s="46" t="s">
        <v>128</v>
      </c>
      <c r="I80" s="25">
        <v>0.9</v>
      </c>
      <c r="J80" s="26">
        <v>0.93243243243243201</v>
      </c>
      <c r="K80" s="26">
        <v>0.86666666666666703</v>
      </c>
      <c r="L80" s="27">
        <v>0.97142857142857097</v>
      </c>
      <c r="M80" s="26">
        <v>0.91325301204819298</v>
      </c>
      <c r="N80" s="28">
        <v>0.9</v>
      </c>
      <c r="O80" s="26">
        <v>0.93041420118343199</v>
      </c>
      <c r="P80" s="26">
        <v>0.76425717399200899</v>
      </c>
      <c r="Q80" s="26">
        <v>0.961165048543689</v>
      </c>
      <c r="R80" s="26">
        <v>0.88912598915266305</v>
      </c>
      <c r="S80" s="28">
        <v>0.9</v>
      </c>
      <c r="T80" s="26">
        <v>0.85136094674556195</v>
      </c>
      <c r="U80" s="26">
        <v>0.82945877224845599</v>
      </c>
      <c r="V80" s="26">
        <v>0.85320388349514598</v>
      </c>
      <c r="W80" s="26">
        <v>0.84880412554458995</v>
      </c>
      <c r="X80" s="28">
        <v>0.92</v>
      </c>
      <c r="Y80" s="28">
        <v>0.89434431323803598</v>
      </c>
      <c r="Z80" s="28">
        <v>0.93710191082802596</v>
      </c>
      <c r="AA80" s="28">
        <v>0.90678524374176595</v>
      </c>
      <c r="AB80" s="28">
        <v>0.91500332667997297</v>
      </c>
      <c r="AC80" s="28">
        <v>0.92</v>
      </c>
      <c r="AD80" s="26">
        <v>0.97208876687256895</v>
      </c>
      <c r="AE80" s="26">
        <v>0.97783375314861498</v>
      </c>
      <c r="AF80" s="26">
        <v>0.98362216720624596</v>
      </c>
      <c r="AG80" s="26">
        <v>0.97764768493879695</v>
      </c>
      <c r="AH80" s="28">
        <v>0.92</v>
      </c>
      <c r="AI80" s="26">
        <v>0.93391537944929504</v>
      </c>
      <c r="AJ80" s="26">
        <v>0.96086675291073698</v>
      </c>
      <c r="AK80" s="26">
        <v>0.93316699340581</v>
      </c>
      <c r="AL80" s="26">
        <v>0.94631667242315098</v>
      </c>
      <c r="AM80" s="25">
        <v>0.99</v>
      </c>
      <c r="AN80" s="30">
        <v>1</v>
      </c>
      <c r="AO80" s="30">
        <v>1</v>
      </c>
      <c r="AP80" s="30">
        <v>1</v>
      </c>
      <c r="AQ80" s="31">
        <v>1</v>
      </c>
      <c r="AR80" s="32">
        <v>0.10526149898194399</v>
      </c>
      <c r="AS80" s="33">
        <v>0.19047619047618999</v>
      </c>
      <c r="AT80" s="34">
        <v>6.8965517241379296E-2</v>
      </c>
      <c r="AU80" s="34">
        <v>0</v>
      </c>
      <c r="AV80" s="34">
        <v>0.114503816793893</v>
      </c>
      <c r="AW80" s="10"/>
      <c r="AX80" s="8"/>
    </row>
    <row r="81" spans="1:50">
      <c r="A81" s="7"/>
      <c r="B81" s="10"/>
      <c r="C81" s="45" t="s">
        <v>127</v>
      </c>
      <c r="D81" s="23" t="s">
        <v>11</v>
      </c>
      <c r="E81" s="46" t="s">
        <v>129</v>
      </c>
      <c r="F81" s="46" t="s">
        <v>129</v>
      </c>
      <c r="G81" s="46" t="s">
        <v>129</v>
      </c>
      <c r="H81" s="46" t="s">
        <v>129</v>
      </c>
      <c r="I81" s="25">
        <v>0.9</v>
      </c>
      <c r="J81" s="26">
        <v>0.931034482758621</v>
      </c>
      <c r="K81" s="26">
        <v>0.89655172413793105</v>
      </c>
      <c r="L81" s="27">
        <v>0.90384615384615397</v>
      </c>
      <c r="M81" s="26">
        <v>0.91291291291291299</v>
      </c>
      <c r="N81" s="28">
        <v>0.9</v>
      </c>
      <c r="O81" s="26">
        <v>0.89478499542543499</v>
      </c>
      <c r="P81" s="26">
        <v>0.82848637508587097</v>
      </c>
      <c r="Q81" s="26">
        <v>0.89274279615795105</v>
      </c>
      <c r="R81" s="26">
        <v>0.86643153763012704</v>
      </c>
      <c r="S81" s="28">
        <v>0.9</v>
      </c>
      <c r="T81" s="26">
        <v>0.89173528514791101</v>
      </c>
      <c r="U81" s="26">
        <v>0.84680558735974398</v>
      </c>
      <c r="V81" s="26">
        <v>0.90181430096051196</v>
      </c>
      <c r="W81" s="26">
        <v>0.87837760964787504</v>
      </c>
      <c r="X81" s="28">
        <v>0.92</v>
      </c>
      <c r="Y81" s="28">
        <v>0.94651741293532299</v>
      </c>
      <c r="Z81" s="28">
        <v>0.95116537180910099</v>
      </c>
      <c r="AA81" s="28">
        <v>0.94115209283050105</v>
      </c>
      <c r="AB81" s="28">
        <v>0.94103624763373805</v>
      </c>
      <c r="AC81" s="28">
        <v>0.92</v>
      </c>
      <c r="AD81" s="26">
        <v>0.971947194719472</v>
      </c>
      <c r="AE81" s="26">
        <v>0.97428139183055995</v>
      </c>
      <c r="AF81" s="26">
        <v>0.98803827751196205</v>
      </c>
      <c r="AG81" s="26">
        <v>0.98049414824447301</v>
      </c>
      <c r="AH81" s="28">
        <v>0.92</v>
      </c>
      <c r="AI81" s="26">
        <v>0.96626844694307801</v>
      </c>
      <c r="AJ81" s="26">
        <v>0.97001838495262305</v>
      </c>
      <c r="AK81" s="26">
        <v>0.95824585957546105</v>
      </c>
      <c r="AL81" s="26">
        <v>0.96304088425547996</v>
      </c>
      <c r="AM81" s="25">
        <v>0.99</v>
      </c>
      <c r="AN81" s="30">
        <v>1</v>
      </c>
      <c r="AO81" s="30">
        <v>1</v>
      </c>
      <c r="AP81" s="30">
        <v>1</v>
      </c>
      <c r="AQ81" s="31">
        <v>1</v>
      </c>
      <c r="AR81" s="32">
        <v>0.10526149898194399</v>
      </c>
      <c r="AS81" s="33">
        <v>0.28571428571428598</v>
      </c>
      <c r="AT81" s="34">
        <v>0</v>
      </c>
      <c r="AU81" s="34">
        <v>0</v>
      </c>
      <c r="AV81" s="34">
        <v>0.123076923076923</v>
      </c>
      <c r="AW81" s="10"/>
      <c r="AX81" s="8"/>
    </row>
    <row r="82" spans="1:50">
      <c r="A82" s="7"/>
      <c r="B82" s="10"/>
      <c r="C82" s="45" t="s">
        <v>127</v>
      </c>
      <c r="D82" s="23" t="s">
        <v>11</v>
      </c>
      <c r="E82" s="46" t="s">
        <v>130</v>
      </c>
      <c r="F82" s="46" t="s">
        <v>130</v>
      </c>
      <c r="G82" s="46" t="s">
        <v>130</v>
      </c>
      <c r="H82" s="46" t="s">
        <v>130</v>
      </c>
      <c r="I82" s="25">
        <v>0.9</v>
      </c>
      <c r="J82" s="26">
        <v>0.96261682242990698</v>
      </c>
      <c r="K82" s="26">
        <v>0.98130841121495305</v>
      </c>
      <c r="L82" s="27">
        <v>0.969387755102041</v>
      </c>
      <c r="M82" s="26">
        <v>0.94108019639934504</v>
      </c>
      <c r="N82" s="28">
        <v>0.9</v>
      </c>
      <c r="O82" s="26">
        <v>0.94070636762052096</v>
      </c>
      <c r="P82" s="26">
        <v>0.84505871349890904</v>
      </c>
      <c r="Q82" s="26">
        <v>0.96764501964409499</v>
      </c>
      <c r="R82" s="26">
        <v>0.93895444323723398</v>
      </c>
      <c r="S82" s="28">
        <v>0.9</v>
      </c>
      <c r="T82" s="26">
        <v>0.83500902294405799</v>
      </c>
      <c r="U82" s="26">
        <v>0.76067754338563898</v>
      </c>
      <c r="V82" s="26">
        <v>0.85209151837300701</v>
      </c>
      <c r="W82" s="26">
        <v>0.82434242110316602</v>
      </c>
      <c r="X82" s="28">
        <v>0.92</v>
      </c>
      <c r="Y82" s="28">
        <v>0.942539743344187</v>
      </c>
      <c r="Z82" s="28">
        <v>0.95367709213863106</v>
      </c>
      <c r="AA82" s="28">
        <v>0.93468118195956496</v>
      </c>
      <c r="AB82" s="28">
        <v>0.94901067996919897</v>
      </c>
      <c r="AC82" s="28">
        <v>0.92</v>
      </c>
      <c r="AD82" s="26">
        <v>0.995867768595041</v>
      </c>
      <c r="AE82" s="26">
        <v>0.920866935483871</v>
      </c>
      <c r="AF82" s="26">
        <v>0.98111281265951999</v>
      </c>
      <c r="AG82" s="26">
        <v>0.97295524128881805</v>
      </c>
      <c r="AH82" s="28">
        <v>0.92</v>
      </c>
      <c r="AI82" s="26">
        <v>0.96189669771380204</v>
      </c>
      <c r="AJ82" s="26">
        <v>0.96975936172950705</v>
      </c>
      <c r="AK82" s="26">
        <v>0.95293372731110204</v>
      </c>
      <c r="AL82" s="26">
        <v>0.96647328947557798</v>
      </c>
      <c r="AM82" s="25">
        <v>0.99</v>
      </c>
      <c r="AN82" s="30">
        <v>1</v>
      </c>
      <c r="AO82" s="30">
        <v>1</v>
      </c>
      <c r="AP82" s="30">
        <v>1</v>
      </c>
      <c r="AQ82" s="30">
        <v>1</v>
      </c>
      <c r="AR82" s="32">
        <v>0.10526149898194399</v>
      </c>
      <c r="AS82" s="34">
        <v>0</v>
      </c>
      <c r="AT82" s="34">
        <v>0.05</v>
      </c>
      <c r="AU82" s="34">
        <v>0.15384615384615399</v>
      </c>
      <c r="AV82" s="34">
        <v>0.1171875</v>
      </c>
      <c r="AW82" s="10"/>
      <c r="AX82" s="8"/>
    </row>
    <row r="83" spans="1:50">
      <c r="A83" s="7"/>
      <c r="B83" s="10"/>
      <c r="C83" s="45" t="s">
        <v>127</v>
      </c>
      <c r="D83" s="23" t="s">
        <v>11</v>
      </c>
      <c r="E83" s="46" t="s">
        <v>131</v>
      </c>
      <c r="F83" s="46" t="s">
        <v>131</v>
      </c>
      <c r="G83" s="46" t="s">
        <v>131</v>
      </c>
      <c r="H83" s="46" t="s">
        <v>131</v>
      </c>
      <c r="I83" s="25">
        <v>0.9</v>
      </c>
      <c r="J83" s="26">
        <v>0.85815602836879401</v>
      </c>
      <c r="K83" s="26">
        <v>0.9</v>
      </c>
      <c r="L83" s="27">
        <v>0.844444444444444</v>
      </c>
      <c r="M83" s="26">
        <v>0.86674968866749702</v>
      </c>
      <c r="N83" s="28">
        <v>0.9</v>
      </c>
      <c r="O83" s="26">
        <v>0.78626736506490502</v>
      </c>
      <c r="P83" s="26">
        <v>0.60310635310635297</v>
      </c>
      <c r="Q83" s="26">
        <v>0.90407766990291305</v>
      </c>
      <c r="R83" s="26">
        <v>0.78803621470144403</v>
      </c>
      <c r="S83" s="28">
        <v>0.9</v>
      </c>
      <c r="T83" s="26">
        <v>0.79378273741744498</v>
      </c>
      <c r="U83" s="26">
        <v>0.77106002106002103</v>
      </c>
      <c r="V83" s="26">
        <v>0.83941747572815495</v>
      </c>
      <c r="W83" s="26">
        <v>0.813796076740677</v>
      </c>
      <c r="X83" s="28">
        <v>0.92</v>
      </c>
      <c r="Y83" s="28">
        <v>0.92865159531826202</v>
      </c>
      <c r="Z83" s="28">
        <v>0.93150301162627802</v>
      </c>
      <c r="AA83" s="28">
        <v>0.93844028246852895</v>
      </c>
      <c r="AB83" s="28">
        <v>0.93564125757201999</v>
      </c>
      <c r="AC83" s="28">
        <v>0.92</v>
      </c>
      <c r="AD83" s="26">
        <v>0.99637681159420299</v>
      </c>
      <c r="AE83" s="26">
        <v>0.99521294156487305</v>
      </c>
      <c r="AF83" s="26">
        <v>0.97242236024844697</v>
      </c>
      <c r="AG83" s="26">
        <v>0.98790171223977097</v>
      </c>
      <c r="AH83" s="28">
        <v>0.92</v>
      </c>
      <c r="AI83" s="26">
        <v>0.94534682465716902</v>
      </c>
      <c r="AJ83" s="26">
        <v>0.95635520069054802</v>
      </c>
      <c r="AK83" s="26">
        <v>0.95387517146776402</v>
      </c>
      <c r="AL83" s="26">
        <v>0.954340323865145</v>
      </c>
      <c r="AM83" s="25">
        <v>0.99</v>
      </c>
      <c r="AN83" s="30">
        <v>1</v>
      </c>
      <c r="AO83" s="30">
        <v>1</v>
      </c>
      <c r="AP83" s="30">
        <v>1</v>
      </c>
      <c r="AQ83" s="30">
        <v>1</v>
      </c>
      <c r="AR83" s="32">
        <v>0.10526149898194399</v>
      </c>
      <c r="AS83" s="34">
        <v>6.6666666666666693E-2</v>
      </c>
      <c r="AT83" s="34">
        <v>0.11111111111111099</v>
      </c>
      <c r="AU83" s="34">
        <v>0.16</v>
      </c>
      <c r="AV83" s="34">
        <v>0.118181818181818</v>
      </c>
      <c r="AW83" s="10"/>
      <c r="AX83" s="8"/>
    </row>
    <row r="84" spans="1:50">
      <c r="A84" s="7"/>
      <c r="B84" s="10"/>
      <c r="C84" s="45" t="s">
        <v>127</v>
      </c>
      <c r="D84" s="23" t="s">
        <v>11</v>
      </c>
      <c r="E84" s="46" t="s">
        <v>132</v>
      </c>
      <c r="F84" s="46" t="s">
        <v>132</v>
      </c>
      <c r="G84" s="46" t="s">
        <v>132</v>
      </c>
      <c r="H84" s="46" t="s">
        <v>132</v>
      </c>
      <c r="I84" s="25">
        <v>0.9</v>
      </c>
      <c r="J84" s="26">
        <v>0.95744680851063801</v>
      </c>
      <c r="K84" s="26">
        <v>0.95833333333333304</v>
      </c>
      <c r="L84" s="27">
        <v>0.90243902439024404</v>
      </c>
      <c r="M84" s="26">
        <v>0.92898272552783101</v>
      </c>
      <c r="N84" s="28">
        <v>0.9</v>
      </c>
      <c r="O84" s="26">
        <v>0.89974084872044102</v>
      </c>
      <c r="P84" s="26">
        <v>0.68503451676528604</v>
      </c>
      <c r="Q84" s="26">
        <v>0.89549295774647897</v>
      </c>
      <c r="R84" s="26">
        <v>0.84074435036852002</v>
      </c>
      <c r="S84" s="28">
        <v>0.9</v>
      </c>
      <c r="T84" s="26">
        <v>0.83090379008746396</v>
      </c>
      <c r="U84" s="26">
        <v>0.79006410256410298</v>
      </c>
      <c r="V84" s="26">
        <v>0.82676056338028203</v>
      </c>
      <c r="W84" s="26">
        <v>0.81175001522811696</v>
      </c>
      <c r="X84" s="28">
        <v>0.92</v>
      </c>
      <c r="Y84" s="28">
        <v>0.93374536464771296</v>
      </c>
      <c r="Z84" s="28">
        <v>0.92818346409173202</v>
      </c>
      <c r="AA84" s="28">
        <v>0.92623555446274897</v>
      </c>
      <c r="AB84" s="28">
        <v>0.91173300165837501</v>
      </c>
      <c r="AC84" s="28">
        <v>0.92</v>
      </c>
      <c r="AD84" s="26">
        <v>0.90289103039288399</v>
      </c>
      <c r="AE84" s="26">
        <v>0.98709677419354802</v>
      </c>
      <c r="AF84" s="26">
        <v>0.99475616151022594</v>
      </c>
      <c r="AG84" s="26">
        <v>0.97597843918443905</v>
      </c>
      <c r="AH84" s="28">
        <v>0.92</v>
      </c>
      <c r="AI84" s="26">
        <v>0.95597299677135295</v>
      </c>
      <c r="AJ84" s="26">
        <v>0.95574409539096505</v>
      </c>
      <c r="AK84" s="26">
        <v>0.94723024415857204</v>
      </c>
      <c r="AL84" s="26">
        <v>0.945905611349112</v>
      </c>
      <c r="AM84" s="25">
        <v>0.99</v>
      </c>
      <c r="AN84" s="30">
        <v>1</v>
      </c>
      <c r="AO84" s="30">
        <v>1</v>
      </c>
      <c r="AP84" s="30">
        <v>1</v>
      </c>
      <c r="AQ84" s="30">
        <v>1</v>
      </c>
      <c r="AR84" s="32">
        <v>0.10526149898194399</v>
      </c>
      <c r="AS84" s="34">
        <v>0.105263157894737</v>
      </c>
      <c r="AT84" s="34">
        <v>3.8461538461538498E-2</v>
      </c>
      <c r="AU84" s="34">
        <v>0.1875</v>
      </c>
      <c r="AV84" s="34">
        <v>7.9646017699115002E-2</v>
      </c>
      <c r="AW84" s="10"/>
      <c r="AX84" s="8"/>
    </row>
    <row r="85" spans="1:50">
      <c r="A85" s="7"/>
      <c r="B85" s="10"/>
      <c r="C85" s="45" t="s">
        <v>127</v>
      </c>
      <c r="D85" s="23" t="s">
        <v>11</v>
      </c>
      <c r="E85" s="46" t="s">
        <v>133</v>
      </c>
      <c r="F85" s="46" t="s">
        <v>133</v>
      </c>
      <c r="G85" s="46" t="s">
        <v>133</v>
      </c>
      <c r="H85" s="46" t="s">
        <v>133</v>
      </c>
      <c r="I85" s="25">
        <v>0.9</v>
      </c>
      <c r="J85" s="26">
        <v>0.98507462686567204</v>
      </c>
      <c r="K85" s="26">
        <v>0.98507462686567204</v>
      </c>
      <c r="L85" s="27">
        <v>0.93650793650793696</v>
      </c>
      <c r="M85" s="26">
        <v>0.96551724137931005</v>
      </c>
      <c r="N85" s="28">
        <v>0.9</v>
      </c>
      <c r="O85" s="26">
        <v>0.2</v>
      </c>
      <c r="P85" s="26">
        <v>0</v>
      </c>
      <c r="Q85" s="26">
        <v>0</v>
      </c>
      <c r="R85" s="26">
        <v>0.25</v>
      </c>
      <c r="S85" s="28">
        <v>0.9</v>
      </c>
      <c r="T85" s="26">
        <v>0</v>
      </c>
      <c r="U85" s="26">
        <v>0</v>
      </c>
      <c r="V85" s="26">
        <v>0</v>
      </c>
      <c r="W85" s="26">
        <v>0</v>
      </c>
      <c r="X85" s="28">
        <v>0.92</v>
      </c>
      <c r="Y85" s="28">
        <v>0</v>
      </c>
      <c r="Z85" s="28">
        <v>0</v>
      </c>
      <c r="AA85" s="28">
        <v>0</v>
      </c>
      <c r="AB85" s="28">
        <v>0</v>
      </c>
      <c r="AC85" s="28">
        <v>0.92</v>
      </c>
      <c r="AD85" s="26">
        <v>0.84403669724770602</v>
      </c>
      <c r="AE85" s="26">
        <v>0.84536082474226804</v>
      </c>
      <c r="AF85" s="26">
        <v>0.86407766990291301</v>
      </c>
      <c r="AG85" s="26">
        <v>0.83645655877342395</v>
      </c>
      <c r="AH85" s="28">
        <v>0.92</v>
      </c>
      <c r="AI85" s="26">
        <v>0.97170686456400701</v>
      </c>
      <c r="AJ85" s="26">
        <v>0.97550494198538895</v>
      </c>
      <c r="AK85" s="26">
        <v>0.97511875141370696</v>
      </c>
      <c r="AL85" s="26">
        <v>0.97267796457587796</v>
      </c>
      <c r="AM85" s="25">
        <v>0.99</v>
      </c>
      <c r="AN85" s="30">
        <v>1</v>
      </c>
      <c r="AO85" s="30">
        <v>1</v>
      </c>
      <c r="AP85" s="30">
        <v>1</v>
      </c>
      <c r="AQ85" s="30">
        <v>1</v>
      </c>
      <c r="AR85" s="32">
        <v>0.10526149898194399</v>
      </c>
      <c r="AS85" s="34">
        <v>8.3333333333333301E-2</v>
      </c>
      <c r="AT85" s="34">
        <v>0</v>
      </c>
      <c r="AU85" s="34">
        <v>9.0909090909090898E-2</v>
      </c>
      <c r="AV85" s="34">
        <v>9.375E-2</v>
      </c>
      <c r="AW85" s="10"/>
      <c r="AX85" s="8"/>
    </row>
    <row r="86" spans="1:50">
      <c r="A86" s="7"/>
      <c r="B86" s="10"/>
      <c r="C86" s="45" t="s">
        <v>127</v>
      </c>
      <c r="D86" s="23" t="s">
        <v>11</v>
      </c>
      <c r="E86" s="46" t="s">
        <v>134</v>
      </c>
      <c r="F86" s="46" t="s">
        <v>134</v>
      </c>
      <c r="G86" s="46" t="s">
        <v>134</v>
      </c>
      <c r="H86" s="46" t="s">
        <v>134</v>
      </c>
      <c r="I86" s="25">
        <v>0.9</v>
      </c>
      <c r="J86" s="26">
        <v>0.88571428571428601</v>
      </c>
      <c r="K86" s="26">
        <v>0.88888888888888895</v>
      </c>
      <c r="L86" s="27">
        <v>0.97058823529411797</v>
      </c>
      <c r="M86" s="26">
        <v>0.90074441687344897</v>
      </c>
      <c r="N86" s="28">
        <v>0.9</v>
      </c>
      <c r="O86" s="26">
        <v>0.92386557812796699</v>
      </c>
      <c r="P86" s="26">
        <v>0.822455499771794</v>
      </c>
      <c r="Q86" s="26">
        <v>0.93931866572036904</v>
      </c>
      <c r="R86" s="26">
        <v>0.90015252408764601</v>
      </c>
      <c r="S86" s="28">
        <v>0.9</v>
      </c>
      <c r="T86" s="26">
        <v>0.82247958989937298</v>
      </c>
      <c r="U86" s="26">
        <v>0.76920736345656504</v>
      </c>
      <c r="V86" s="26">
        <v>0.88147622427253403</v>
      </c>
      <c r="W86" s="26">
        <v>0.80971690041293098</v>
      </c>
      <c r="X86" s="28">
        <v>0.92</v>
      </c>
      <c r="Y86" s="28">
        <v>0.93688303918635996</v>
      </c>
      <c r="Z86" s="28">
        <v>0.94779730073847701</v>
      </c>
      <c r="AA86" s="28">
        <v>0.95435435435435401</v>
      </c>
      <c r="AB86" s="28">
        <v>0.94011573834866202</v>
      </c>
      <c r="AC86" s="28">
        <v>0.92</v>
      </c>
      <c r="AD86" s="26">
        <v>0.97722960151802696</v>
      </c>
      <c r="AE86" s="26">
        <v>0.98418277680140598</v>
      </c>
      <c r="AF86" s="26">
        <v>0.99455782312925201</v>
      </c>
      <c r="AG86" s="26">
        <v>0.97220678154530304</v>
      </c>
      <c r="AH86" s="28">
        <v>0.92</v>
      </c>
      <c r="AI86" s="26">
        <v>0.94559164733178702</v>
      </c>
      <c r="AJ86" s="26">
        <v>0.96744407425035694</v>
      </c>
      <c r="AK86" s="26">
        <v>0.96454131424853595</v>
      </c>
      <c r="AL86" s="26">
        <v>0.95736216216216197</v>
      </c>
      <c r="AM86" s="25">
        <v>0.99</v>
      </c>
      <c r="AN86" s="30">
        <v>1</v>
      </c>
      <c r="AO86" s="30">
        <v>1</v>
      </c>
      <c r="AP86" s="30">
        <v>1</v>
      </c>
      <c r="AQ86" s="30">
        <v>1</v>
      </c>
      <c r="AR86" s="32">
        <v>0.10526149898194399</v>
      </c>
      <c r="AS86" s="34">
        <v>0</v>
      </c>
      <c r="AT86" s="34">
        <v>0.157894736842105</v>
      </c>
      <c r="AU86" s="34">
        <v>0</v>
      </c>
      <c r="AV86" s="34">
        <v>0.10784313725490199</v>
      </c>
      <c r="AW86" s="10"/>
      <c r="AX86" s="8"/>
    </row>
    <row r="87" spans="1:50">
      <c r="A87" s="7"/>
      <c r="B87" s="10"/>
      <c r="C87" s="45" t="s">
        <v>127</v>
      </c>
      <c r="D87" s="23" t="s">
        <v>11</v>
      </c>
      <c r="E87" s="46" t="s">
        <v>135</v>
      </c>
      <c r="F87" s="46" t="s">
        <v>135</v>
      </c>
      <c r="G87" s="46" t="s">
        <v>135</v>
      </c>
      <c r="H87" s="46" t="s">
        <v>135</v>
      </c>
      <c r="I87" s="25">
        <v>0.9</v>
      </c>
      <c r="J87" s="26">
        <v>0.91954022988505701</v>
      </c>
      <c r="K87" s="26">
        <v>0.93258426966292096</v>
      </c>
      <c r="L87" s="27">
        <v>0.93975903614457801</v>
      </c>
      <c r="M87" s="26">
        <v>0.92629482071713098</v>
      </c>
      <c r="N87" s="28">
        <v>0.9</v>
      </c>
      <c r="O87" s="26">
        <v>0.33333333333333298</v>
      </c>
      <c r="P87" s="26">
        <v>0.11111111111111099</v>
      </c>
      <c r="Q87" s="26">
        <v>0.33333333333333298</v>
      </c>
      <c r="R87" s="26">
        <v>0.36</v>
      </c>
      <c r="S87" s="28">
        <v>0.9</v>
      </c>
      <c r="T87" s="26">
        <v>0.33333333333333298</v>
      </c>
      <c r="U87" s="26">
        <v>0.11111111111111099</v>
      </c>
      <c r="V87" s="26">
        <v>0.33333333333333298</v>
      </c>
      <c r="W87" s="26">
        <v>0.32</v>
      </c>
      <c r="X87" s="28">
        <v>0.92</v>
      </c>
      <c r="Y87" s="28">
        <v>0</v>
      </c>
      <c r="Z87" s="28">
        <v>0</v>
      </c>
      <c r="AA87" s="28">
        <v>0</v>
      </c>
      <c r="AB87" s="28">
        <v>6.6666666666666693E-2</v>
      </c>
      <c r="AC87" s="28">
        <v>0.92</v>
      </c>
      <c r="AD87" s="26">
        <v>0.99206349206349198</v>
      </c>
      <c r="AE87" s="26">
        <v>0.96643109540635996</v>
      </c>
      <c r="AF87" s="26">
        <v>0.99257057949479899</v>
      </c>
      <c r="AG87" s="26">
        <v>0.98415346121768099</v>
      </c>
      <c r="AH87" s="28">
        <v>0.92</v>
      </c>
      <c r="AI87" s="26">
        <v>0.97581762011292195</v>
      </c>
      <c r="AJ87" s="26">
        <v>0.97918959479739898</v>
      </c>
      <c r="AK87" s="26">
        <v>0.98676909944515601</v>
      </c>
      <c r="AL87" s="26">
        <v>0.98186179614510605</v>
      </c>
      <c r="AM87" s="25">
        <v>0.99</v>
      </c>
      <c r="AN87" s="30">
        <v>1</v>
      </c>
      <c r="AO87" s="30">
        <v>1</v>
      </c>
      <c r="AP87" s="30">
        <v>1</v>
      </c>
      <c r="AQ87" s="30">
        <v>1</v>
      </c>
      <c r="AR87" s="32">
        <v>0.10526149898194399</v>
      </c>
      <c r="AS87" s="34">
        <v>0.11111111111111099</v>
      </c>
      <c r="AT87" s="34">
        <v>0</v>
      </c>
      <c r="AU87" s="34">
        <v>0</v>
      </c>
      <c r="AV87" s="34">
        <v>6.6666666666666693E-2</v>
      </c>
      <c r="AW87" s="10"/>
      <c r="AX87" s="8"/>
    </row>
    <row r="88" spans="1:50">
      <c r="A88" s="7"/>
      <c r="B88" s="10"/>
      <c r="C88" s="45" t="s">
        <v>127</v>
      </c>
      <c r="D88" s="23" t="s">
        <v>11</v>
      </c>
      <c r="E88" s="46" t="s">
        <v>136</v>
      </c>
      <c r="F88" s="46" t="s">
        <v>136</v>
      </c>
      <c r="G88" s="46" t="s">
        <v>136</v>
      </c>
      <c r="H88" s="46" t="s">
        <v>136</v>
      </c>
      <c r="I88" s="25">
        <v>0.9</v>
      </c>
      <c r="J88" s="26">
        <v>0.95744680851063801</v>
      </c>
      <c r="K88" s="26">
        <v>0.95918367346938804</v>
      </c>
      <c r="L88" s="27">
        <v>0.95</v>
      </c>
      <c r="M88" s="26">
        <v>0.96138996138996102</v>
      </c>
      <c r="N88" s="28">
        <v>0.9</v>
      </c>
      <c r="O88" s="26">
        <v>0.92683667273831205</v>
      </c>
      <c r="P88" s="26">
        <v>0.91689128481581295</v>
      </c>
      <c r="Q88" s="26">
        <v>0.93413173652694603</v>
      </c>
      <c r="R88" s="26">
        <v>0.92537891359663704</v>
      </c>
      <c r="S88" s="28">
        <v>0.9</v>
      </c>
      <c r="T88" s="26">
        <v>0.88463873709775398</v>
      </c>
      <c r="U88" s="26">
        <v>0.86635220125786205</v>
      </c>
      <c r="V88" s="26">
        <v>0.879241516966068</v>
      </c>
      <c r="W88" s="26">
        <v>0.88096028321717001</v>
      </c>
      <c r="X88" s="28">
        <v>0.92</v>
      </c>
      <c r="Y88" s="28">
        <v>0.971772327626099</v>
      </c>
      <c r="Z88" s="28">
        <v>0.95625713198935003</v>
      </c>
      <c r="AA88" s="28">
        <v>0.95353247984826905</v>
      </c>
      <c r="AB88" s="28">
        <v>0.95539833897262405</v>
      </c>
      <c r="AC88" s="28">
        <v>0.92</v>
      </c>
      <c r="AD88" s="26">
        <v>1</v>
      </c>
      <c r="AE88" s="26">
        <v>0.99687499999999996</v>
      </c>
      <c r="AF88" s="26">
        <v>0.975169300225734</v>
      </c>
      <c r="AG88" s="26">
        <v>0.991986262163709</v>
      </c>
      <c r="AH88" s="28">
        <v>0.92</v>
      </c>
      <c r="AI88" s="26">
        <v>0.97781851512373996</v>
      </c>
      <c r="AJ88" s="26">
        <v>0.97161417878830703</v>
      </c>
      <c r="AK88" s="26">
        <v>0.96644784828592301</v>
      </c>
      <c r="AL88" s="26">
        <v>0.96795469901225795</v>
      </c>
      <c r="AM88" s="25">
        <v>0.99</v>
      </c>
      <c r="AN88" s="30">
        <v>1</v>
      </c>
      <c r="AO88" s="30">
        <v>1</v>
      </c>
      <c r="AP88" s="30">
        <v>1</v>
      </c>
      <c r="AQ88" s="30">
        <v>1</v>
      </c>
      <c r="AR88" s="32">
        <v>0.10526149898194399</v>
      </c>
      <c r="AS88" s="34">
        <v>0.17647058823529399</v>
      </c>
      <c r="AT88" s="34">
        <v>0</v>
      </c>
      <c r="AU88" s="34">
        <v>0</v>
      </c>
      <c r="AV88" s="34">
        <v>8.4507042253521097E-2</v>
      </c>
      <c r="AW88" s="10"/>
      <c r="AX88" s="8"/>
    </row>
    <row r="89" spans="1:50">
      <c r="A89" s="7"/>
      <c r="B89" s="10"/>
      <c r="C89" s="45" t="s">
        <v>127</v>
      </c>
      <c r="D89" s="23" t="s">
        <v>11</v>
      </c>
      <c r="E89" s="46" t="s">
        <v>137</v>
      </c>
      <c r="F89" s="46" t="s">
        <v>137</v>
      </c>
      <c r="G89" s="46" t="s">
        <v>137</v>
      </c>
      <c r="H89" s="46" t="s">
        <v>137</v>
      </c>
      <c r="I89" s="25">
        <v>0.9</v>
      </c>
      <c r="J89" s="26">
        <v>0.93442622950819698</v>
      </c>
      <c r="K89" s="26">
        <v>0.81666666666666698</v>
      </c>
      <c r="L89" s="27">
        <v>0.78846153846153799</v>
      </c>
      <c r="M89" s="26">
        <v>0.78338278931750704</v>
      </c>
      <c r="N89" s="28">
        <v>0.9</v>
      </c>
      <c r="O89" s="26">
        <v>0.11111111111111099</v>
      </c>
      <c r="P89" s="26">
        <v>0.33333333333333298</v>
      </c>
      <c r="Q89" s="26">
        <v>0</v>
      </c>
      <c r="R89" s="26">
        <v>0.25</v>
      </c>
      <c r="S89" s="28">
        <v>0.9</v>
      </c>
      <c r="T89" s="26">
        <v>0</v>
      </c>
      <c r="U89" s="26">
        <v>0</v>
      </c>
      <c r="V89" s="26">
        <v>1</v>
      </c>
      <c r="W89" s="26">
        <v>0.15</v>
      </c>
      <c r="X89" s="28">
        <v>0.92</v>
      </c>
      <c r="Y89" s="28">
        <v>0</v>
      </c>
      <c r="Z89" s="28">
        <v>0</v>
      </c>
      <c r="AA89" s="28">
        <v>0</v>
      </c>
      <c r="AB89" s="28">
        <v>0.22222222222222199</v>
      </c>
      <c r="AC89" s="28">
        <v>0.92</v>
      </c>
      <c r="AD89" s="26">
        <v>0.97499999999999998</v>
      </c>
      <c r="AE89" s="26">
        <v>0.98039215686274495</v>
      </c>
      <c r="AF89" s="26">
        <v>0.969387755102041</v>
      </c>
      <c r="AG89" s="26">
        <v>0.98556701030927796</v>
      </c>
      <c r="AH89" s="28">
        <v>0.92</v>
      </c>
      <c r="AI89" s="26">
        <v>0.94120940649496099</v>
      </c>
      <c r="AJ89" s="26">
        <v>0.94041588909624096</v>
      </c>
      <c r="AK89" s="26">
        <v>0.93207651788189605</v>
      </c>
      <c r="AL89" s="26">
        <v>0.94220317140135601</v>
      </c>
      <c r="AM89" s="25">
        <v>0.99</v>
      </c>
      <c r="AN89" s="30">
        <v>1</v>
      </c>
      <c r="AO89" s="30">
        <v>1</v>
      </c>
      <c r="AP89" s="30">
        <v>1</v>
      </c>
      <c r="AQ89" s="30">
        <v>1</v>
      </c>
      <c r="AR89" s="32">
        <v>0.10526149898194399</v>
      </c>
      <c r="AS89" s="34">
        <v>0</v>
      </c>
      <c r="AT89" s="34">
        <v>0.133333333333333</v>
      </c>
      <c r="AU89" s="34">
        <v>0</v>
      </c>
      <c r="AV89" s="34">
        <v>0.108108108108108</v>
      </c>
      <c r="AW89" s="10"/>
      <c r="AX89" s="8"/>
    </row>
    <row r="90" spans="1:50">
      <c r="A90" s="7"/>
      <c r="B90" s="10"/>
      <c r="C90" s="45" t="s">
        <v>127</v>
      </c>
      <c r="D90" s="23" t="s">
        <v>11</v>
      </c>
      <c r="E90" s="46" t="s">
        <v>138</v>
      </c>
      <c r="F90" s="46" t="s">
        <v>138</v>
      </c>
      <c r="G90" s="46" t="s">
        <v>138</v>
      </c>
      <c r="H90" s="46" t="s">
        <v>138</v>
      </c>
      <c r="I90" s="25">
        <v>0.9</v>
      </c>
      <c r="J90" s="26">
        <v>0.88888888888888895</v>
      </c>
      <c r="K90" s="26">
        <v>0.95384615384615401</v>
      </c>
      <c r="L90" s="27">
        <v>0.96551724137931005</v>
      </c>
      <c r="M90" s="26">
        <v>0.92265193370165699</v>
      </c>
      <c r="N90" s="28">
        <v>0.9</v>
      </c>
      <c r="O90" s="26">
        <v>0.133333333333333</v>
      </c>
      <c r="P90" s="26">
        <v>0.5</v>
      </c>
      <c r="Q90" s="26">
        <v>1</v>
      </c>
      <c r="R90" s="26">
        <v>0.23529411764705899</v>
      </c>
      <c r="S90" s="28">
        <v>0.9</v>
      </c>
      <c r="T90" s="26">
        <v>0</v>
      </c>
      <c r="U90" s="26">
        <v>0</v>
      </c>
      <c r="V90" s="26">
        <v>0.8</v>
      </c>
      <c r="W90" s="26">
        <v>0.11764705882352899</v>
      </c>
      <c r="X90" s="28">
        <v>0.92</v>
      </c>
      <c r="Y90" s="28">
        <v>7.1428571428571397E-2</v>
      </c>
      <c r="Z90" s="28">
        <v>0.5</v>
      </c>
      <c r="AA90" s="28">
        <v>0</v>
      </c>
      <c r="AB90" s="28">
        <v>0.16666666666666699</v>
      </c>
      <c r="AC90" s="28">
        <v>0.92</v>
      </c>
      <c r="AD90" s="26">
        <v>0.92179700499168005</v>
      </c>
      <c r="AE90" s="26">
        <v>0.98881789137380205</v>
      </c>
      <c r="AF90" s="26">
        <v>0.99285714285714299</v>
      </c>
      <c r="AG90" s="26">
        <v>0.97848819838661505</v>
      </c>
      <c r="AH90" s="28">
        <v>0.92</v>
      </c>
      <c r="AI90" s="26">
        <v>0.97834394904458599</v>
      </c>
      <c r="AJ90" s="26">
        <v>0.98369079535299397</v>
      </c>
      <c r="AK90" s="26">
        <v>0.98510935318752901</v>
      </c>
      <c r="AL90" s="26">
        <v>0.98223901747756304</v>
      </c>
      <c r="AM90" s="25">
        <v>0.99</v>
      </c>
      <c r="AN90" s="30">
        <v>1</v>
      </c>
      <c r="AO90" s="30">
        <v>1</v>
      </c>
      <c r="AP90" s="30">
        <v>1</v>
      </c>
      <c r="AQ90" s="30">
        <v>1</v>
      </c>
      <c r="AR90" s="32">
        <v>0.10526149898194399</v>
      </c>
      <c r="AS90" s="34">
        <v>0.17647058823529399</v>
      </c>
      <c r="AT90" s="34">
        <v>0.11111111111111099</v>
      </c>
      <c r="AU90" s="34">
        <v>0.2</v>
      </c>
      <c r="AV90" s="34">
        <v>0.118279569892473</v>
      </c>
      <c r="AW90" s="10"/>
      <c r="AX90" s="8"/>
    </row>
    <row r="91" spans="1:50">
      <c r="A91" s="7"/>
      <c r="B91" s="10"/>
      <c r="C91" s="45" t="s">
        <v>127</v>
      </c>
      <c r="D91" s="23" t="s">
        <v>11</v>
      </c>
      <c r="E91" s="46" t="s">
        <v>139</v>
      </c>
      <c r="F91" s="46" t="s">
        <v>139</v>
      </c>
      <c r="G91" s="46" t="s">
        <v>139</v>
      </c>
      <c r="H91" s="46" t="s">
        <v>139</v>
      </c>
      <c r="I91" s="25">
        <v>0.9</v>
      </c>
      <c r="J91" s="26">
        <v>1</v>
      </c>
      <c r="K91" s="26">
        <v>0.97058823529411797</v>
      </c>
      <c r="L91" s="27">
        <v>0.98333333333333295</v>
      </c>
      <c r="M91" s="26">
        <v>0.96457765667574902</v>
      </c>
      <c r="N91" s="28">
        <v>0.9</v>
      </c>
      <c r="O91" s="26">
        <v>0.97749130345815405</v>
      </c>
      <c r="P91" s="26">
        <v>0.95354330708661394</v>
      </c>
      <c r="Q91" s="26">
        <v>0.98111888111888101</v>
      </c>
      <c r="R91" s="26">
        <v>0.96258383339216402</v>
      </c>
      <c r="S91" s="28">
        <v>0.9</v>
      </c>
      <c r="T91" s="26">
        <v>0.88786576631880498</v>
      </c>
      <c r="U91" s="26">
        <v>0.84110236220472401</v>
      </c>
      <c r="V91" s="26">
        <v>0.87692307692307703</v>
      </c>
      <c r="W91" s="26">
        <v>0.85645370043534497</v>
      </c>
      <c r="X91" s="28">
        <v>0.92</v>
      </c>
      <c r="Y91" s="28">
        <v>0.94770446944359998</v>
      </c>
      <c r="Z91" s="28">
        <v>0.95384225209231599</v>
      </c>
      <c r="AA91" s="28">
        <v>0.95777708786091298</v>
      </c>
      <c r="AB91" s="28">
        <v>0.94342579532988602</v>
      </c>
      <c r="AC91" s="28">
        <v>0.92</v>
      </c>
      <c r="AD91" s="26">
        <v>0.99410029498525099</v>
      </c>
      <c r="AE91" s="26">
        <v>0.99348958333333304</v>
      </c>
      <c r="AF91" s="26">
        <v>0.997146932952924</v>
      </c>
      <c r="AG91" s="26">
        <v>0.99357754519505204</v>
      </c>
      <c r="AH91" s="28">
        <v>0.92</v>
      </c>
      <c r="AI91" s="26">
        <v>0.96678065461651197</v>
      </c>
      <c r="AJ91" s="26">
        <v>0.97376603186941302</v>
      </c>
      <c r="AK91" s="26">
        <v>0.97042392375944797</v>
      </c>
      <c r="AL91" s="26">
        <v>0.96444086165972498</v>
      </c>
      <c r="AM91" s="25">
        <v>0.99</v>
      </c>
      <c r="AN91" s="30">
        <v>1</v>
      </c>
      <c r="AO91" s="30">
        <v>1</v>
      </c>
      <c r="AP91" s="30">
        <v>1</v>
      </c>
      <c r="AQ91" s="30">
        <v>1</v>
      </c>
      <c r="AR91" s="32">
        <v>0.10526149898194399</v>
      </c>
      <c r="AS91" s="34">
        <v>0.115384615384615</v>
      </c>
      <c r="AT91" s="34">
        <v>3.5714285714285698E-2</v>
      </c>
      <c r="AU91" s="34">
        <v>4.3478260869565202E-2</v>
      </c>
      <c r="AV91" s="34">
        <v>7.8571428571428598E-2</v>
      </c>
      <c r="AW91" s="10"/>
      <c r="AX91" s="8"/>
    </row>
    <row r="92" spans="1:50">
      <c r="A92" s="7"/>
      <c r="B92" s="10"/>
      <c r="C92" s="45" t="s">
        <v>127</v>
      </c>
      <c r="D92" s="23" t="s">
        <v>11</v>
      </c>
      <c r="E92" s="46" t="s">
        <v>140</v>
      </c>
      <c r="F92" s="46" t="s">
        <v>140</v>
      </c>
      <c r="G92" s="46" t="s">
        <v>140</v>
      </c>
      <c r="H92" s="46" t="s">
        <v>140</v>
      </c>
      <c r="I92" s="25">
        <v>0.9</v>
      </c>
      <c r="J92" s="26">
        <v>0.96363636363636396</v>
      </c>
      <c r="K92" s="26">
        <v>0.90909090909090895</v>
      </c>
      <c r="L92" s="27">
        <v>0.98</v>
      </c>
      <c r="M92" s="26">
        <v>0.95583596214511002</v>
      </c>
      <c r="N92" s="28">
        <v>0.9</v>
      </c>
      <c r="O92" s="26">
        <v>0.375</v>
      </c>
      <c r="P92" s="26">
        <v>0</v>
      </c>
      <c r="Q92" s="26">
        <v>0</v>
      </c>
      <c r="R92" s="26">
        <v>0.38461538461538503</v>
      </c>
      <c r="S92" s="28">
        <v>0.9</v>
      </c>
      <c r="T92" s="26">
        <v>0.25</v>
      </c>
      <c r="U92" s="26">
        <v>0</v>
      </c>
      <c r="V92" s="26">
        <v>0</v>
      </c>
      <c r="W92" s="26">
        <v>0.30769230769230799</v>
      </c>
      <c r="X92" s="28">
        <v>0.92</v>
      </c>
      <c r="Y92" s="28">
        <v>0</v>
      </c>
      <c r="Z92" s="28">
        <v>0</v>
      </c>
      <c r="AA92" s="28">
        <v>0</v>
      </c>
      <c r="AB92" s="28">
        <v>0</v>
      </c>
      <c r="AC92" s="28">
        <v>0.92</v>
      </c>
      <c r="AD92" s="26">
        <v>0.92481203007518797</v>
      </c>
      <c r="AE92" s="26">
        <v>0.98170731707317105</v>
      </c>
      <c r="AF92" s="26">
        <v>0.97175141242937901</v>
      </c>
      <c r="AG92" s="26">
        <v>0.97032967032966999</v>
      </c>
      <c r="AH92" s="28">
        <v>0.92</v>
      </c>
      <c r="AI92" s="26">
        <v>0.98806504550201402</v>
      </c>
      <c r="AJ92" s="26">
        <v>0.98827335220380097</v>
      </c>
      <c r="AK92" s="26">
        <v>0.98784530386740299</v>
      </c>
      <c r="AL92" s="26">
        <v>0.98923173087850902</v>
      </c>
      <c r="AM92" s="25">
        <v>0.99</v>
      </c>
      <c r="AN92" s="30">
        <v>1</v>
      </c>
      <c r="AO92" s="30">
        <v>1</v>
      </c>
      <c r="AP92" s="30">
        <v>1</v>
      </c>
      <c r="AQ92" s="30">
        <v>1</v>
      </c>
      <c r="AR92" s="32">
        <v>0.10526149898194399</v>
      </c>
      <c r="AS92" s="34">
        <v>7.69230769230769E-2</v>
      </c>
      <c r="AT92" s="34">
        <v>0.42857142857142899</v>
      </c>
      <c r="AU92" s="34">
        <v>0.25</v>
      </c>
      <c r="AV92" s="34">
        <v>0.25</v>
      </c>
      <c r="AW92" s="10"/>
      <c r="AX92" s="8"/>
    </row>
    <row r="93" spans="1:50">
      <c r="A93" s="7"/>
      <c r="B93" s="10"/>
      <c r="C93" s="45" t="s">
        <v>127</v>
      </c>
      <c r="D93" s="23" t="s">
        <v>11</v>
      </c>
      <c r="E93" s="46" t="s">
        <v>141</v>
      </c>
      <c r="F93" s="46" t="s">
        <v>141</v>
      </c>
      <c r="G93" s="46" t="s">
        <v>141</v>
      </c>
      <c r="H93" s="46" t="s">
        <v>141</v>
      </c>
      <c r="I93" s="25">
        <v>0.9</v>
      </c>
      <c r="J93" s="26">
        <v>0.93442622950819698</v>
      </c>
      <c r="K93" s="26">
        <v>0.93442622950819698</v>
      </c>
      <c r="L93" s="27">
        <v>0.875</v>
      </c>
      <c r="M93" s="26">
        <v>0.92441860465116299</v>
      </c>
      <c r="N93" s="28">
        <v>0.9</v>
      </c>
      <c r="O93" s="26">
        <v>0.95518630412890204</v>
      </c>
      <c r="P93" s="26">
        <v>0.94280860702151803</v>
      </c>
      <c r="Q93" s="26">
        <v>0.94306049822064097</v>
      </c>
      <c r="R93" s="26">
        <v>0.91388215934543104</v>
      </c>
      <c r="S93" s="28">
        <v>0.9</v>
      </c>
      <c r="T93" s="26">
        <v>0.88293051359516606</v>
      </c>
      <c r="U93" s="26">
        <v>0.80936202340505803</v>
      </c>
      <c r="V93" s="26">
        <v>0.85987544483985801</v>
      </c>
      <c r="W93" s="26">
        <v>0.86314394112538295</v>
      </c>
      <c r="X93" s="28">
        <v>0.92</v>
      </c>
      <c r="Y93" s="28">
        <v>0.93127287515250101</v>
      </c>
      <c r="Z93" s="28">
        <v>0.94720708446866497</v>
      </c>
      <c r="AA93" s="28">
        <v>0.94258172673931295</v>
      </c>
      <c r="AB93" s="28">
        <v>0.94348216134152196</v>
      </c>
      <c r="AC93" s="28">
        <v>0.92</v>
      </c>
      <c r="AD93" s="26">
        <v>0.974683544303797</v>
      </c>
      <c r="AE93" s="26">
        <v>0.97387173396674598</v>
      </c>
      <c r="AF93" s="26">
        <v>0.96388888888888902</v>
      </c>
      <c r="AG93" s="26">
        <v>0.97342838626053096</v>
      </c>
      <c r="AH93" s="28">
        <v>0.92</v>
      </c>
      <c r="AI93" s="26">
        <v>0.96163404784094397</v>
      </c>
      <c r="AJ93" s="26">
        <v>0.96869691822373205</v>
      </c>
      <c r="AK93" s="26">
        <v>0.963538295577131</v>
      </c>
      <c r="AL93" s="26">
        <v>0.96762580042322799</v>
      </c>
      <c r="AM93" s="25">
        <v>0.99</v>
      </c>
      <c r="AN93" s="30">
        <v>1</v>
      </c>
      <c r="AO93" s="30">
        <v>1</v>
      </c>
      <c r="AP93" s="30">
        <v>1</v>
      </c>
      <c r="AQ93" s="30">
        <v>1</v>
      </c>
      <c r="AR93" s="32">
        <v>0.10526149898194399</v>
      </c>
      <c r="AS93" s="34">
        <v>0.11111111111111099</v>
      </c>
      <c r="AT93" s="34">
        <v>0</v>
      </c>
      <c r="AU93" s="34">
        <v>0.33333333333333298</v>
      </c>
      <c r="AV93" s="34">
        <v>9.0909090909090898E-2</v>
      </c>
      <c r="AW93" s="10"/>
      <c r="AX93" s="8"/>
    </row>
    <row r="94" spans="1:50">
      <c r="A94" s="7"/>
      <c r="B94" s="10"/>
      <c r="C94" s="45" t="s">
        <v>127</v>
      </c>
      <c r="D94" s="23" t="s">
        <v>11</v>
      </c>
      <c r="E94" s="46" t="s">
        <v>142</v>
      </c>
      <c r="F94" s="46" t="s">
        <v>142</v>
      </c>
      <c r="G94" s="46" t="s">
        <v>142</v>
      </c>
      <c r="H94" s="46" t="s">
        <v>142</v>
      </c>
      <c r="I94" s="25">
        <v>0.9</v>
      </c>
      <c r="J94" s="26">
        <v>0.98701298701298701</v>
      </c>
      <c r="K94" s="26">
        <v>0.95121951219512202</v>
      </c>
      <c r="L94" s="27">
        <v>0.91935483870967705</v>
      </c>
      <c r="M94" s="26">
        <v>0.965034965034965</v>
      </c>
      <c r="N94" s="28">
        <v>0.9</v>
      </c>
      <c r="O94" s="26">
        <v>0.89909832546157198</v>
      </c>
      <c r="P94" s="26">
        <v>0.88494389549489205</v>
      </c>
      <c r="Q94" s="26">
        <v>0.92838685861941705</v>
      </c>
      <c r="R94" s="26">
        <v>0.91654676258992795</v>
      </c>
      <c r="S94" s="28">
        <v>0.9</v>
      </c>
      <c r="T94" s="26">
        <v>0.90103048518677498</v>
      </c>
      <c r="U94" s="26">
        <v>0.89181041701557495</v>
      </c>
      <c r="V94" s="26">
        <v>0.91657438169066097</v>
      </c>
      <c r="W94" s="26">
        <v>0.91207034372502005</v>
      </c>
      <c r="X94" s="28">
        <v>0.92</v>
      </c>
      <c r="Y94" s="28">
        <v>0.96039603960396003</v>
      </c>
      <c r="Z94" s="28">
        <v>0.95043804755944905</v>
      </c>
      <c r="AA94" s="28">
        <v>0.95385067607289797</v>
      </c>
      <c r="AB94" s="28">
        <v>0.95254103223254905</v>
      </c>
      <c r="AC94" s="28">
        <v>0.92</v>
      </c>
      <c r="AD94" s="26">
        <v>0.96190476190476204</v>
      </c>
      <c r="AE94" s="26">
        <v>0.96694214876033102</v>
      </c>
      <c r="AF94" s="26">
        <v>0.98039215686274495</v>
      </c>
      <c r="AG94" s="26">
        <v>0.96942148760330604</v>
      </c>
      <c r="AH94" s="28">
        <v>0.92</v>
      </c>
      <c r="AI94" s="26">
        <v>0.97319001729676302</v>
      </c>
      <c r="AJ94" s="26">
        <v>0.971402769416014</v>
      </c>
      <c r="AK94" s="26">
        <v>0.96727748691099502</v>
      </c>
      <c r="AL94" s="26">
        <v>0.97069742773800005</v>
      </c>
      <c r="AM94" s="25">
        <v>0.99</v>
      </c>
      <c r="AN94" s="30">
        <v>1</v>
      </c>
      <c r="AO94" s="30">
        <v>1</v>
      </c>
      <c r="AP94" s="30">
        <v>1</v>
      </c>
      <c r="AQ94" s="30">
        <v>1</v>
      </c>
      <c r="AR94" s="32">
        <v>0.10526149898194399</v>
      </c>
      <c r="AS94" s="34">
        <v>0</v>
      </c>
      <c r="AT94" s="34">
        <v>0.230769230769231</v>
      </c>
      <c r="AU94" s="34">
        <v>8.3333333333333301E-2</v>
      </c>
      <c r="AV94" s="34">
        <v>0.119565217391304</v>
      </c>
      <c r="AW94" s="10"/>
      <c r="AX94" s="8"/>
    </row>
    <row r="95" spans="1:50">
      <c r="A95" s="7"/>
      <c r="B95" s="10"/>
      <c r="C95" s="45" t="s">
        <v>127</v>
      </c>
      <c r="D95" s="23" t="s">
        <v>11</v>
      </c>
      <c r="E95" s="46" t="s">
        <v>143</v>
      </c>
      <c r="F95" s="46" t="s">
        <v>143</v>
      </c>
      <c r="G95" s="46" t="s">
        <v>143</v>
      </c>
      <c r="H95" s="46" t="s">
        <v>143</v>
      </c>
      <c r="I95" s="25">
        <v>0.9</v>
      </c>
      <c r="J95" s="26">
        <v>0.91666666666666696</v>
      </c>
      <c r="K95" s="26">
        <v>0.94666666666666699</v>
      </c>
      <c r="L95" s="27">
        <v>0.95384615384615401</v>
      </c>
      <c r="M95" s="26">
        <v>0.94029850746268695</v>
      </c>
      <c r="N95" s="28">
        <v>0.9</v>
      </c>
      <c r="O95" s="26">
        <v>0.96141235813366999</v>
      </c>
      <c r="P95" s="26">
        <v>0.97067869591962297</v>
      </c>
      <c r="Q95" s="26">
        <v>0.97140454163162304</v>
      </c>
      <c r="R95" s="26">
        <v>0.95486832568253199</v>
      </c>
      <c r="S95" s="28">
        <v>0.9</v>
      </c>
      <c r="T95" s="26">
        <v>0.89735182849936901</v>
      </c>
      <c r="U95" s="26">
        <v>0.90198892761943805</v>
      </c>
      <c r="V95" s="26">
        <v>0.93523969722455802</v>
      </c>
      <c r="W95" s="26">
        <v>0.90630587098332904</v>
      </c>
      <c r="X95" s="28">
        <v>0.92</v>
      </c>
      <c r="Y95" s="28">
        <v>0.94270435446905998</v>
      </c>
      <c r="Z95" s="28">
        <v>0.95519542421353698</v>
      </c>
      <c r="AA95" s="28">
        <v>0.95426356589147299</v>
      </c>
      <c r="AB95" s="28">
        <v>0.95088433642957104</v>
      </c>
      <c r="AC95" s="28">
        <v>0.92</v>
      </c>
      <c r="AD95" s="26">
        <v>0.99198988195615501</v>
      </c>
      <c r="AE95" s="26">
        <v>0.98904927824788402</v>
      </c>
      <c r="AF95" s="26">
        <v>0.99248856956237796</v>
      </c>
      <c r="AG95" s="26">
        <v>0.98693668786287003</v>
      </c>
      <c r="AH95" s="28">
        <v>0.92</v>
      </c>
      <c r="AI95" s="26">
        <v>0.96583662313999397</v>
      </c>
      <c r="AJ95" s="26">
        <v>0.97432701894317097</v>
      </c>
      <c r="AK95" s="26">
        <v>0.97014925373134298</v>
      </c>
      <c r="AL95" s="26">
        <v>0.96993327658639705</v>
      </c>
      <c r="AM95" s="25">
        <v>0.99</v>
      </c>
      <c r="AN95" s="30">
        <v>1</v>
      </c>
      <c r="AO95" s="30">
        <v>1</v>
      </c>
      <c r="AP95" s="30">
        <v>1</v>
      </c>
      <c r="AQ95" s="30">
        <v>1</v>
      </c>
      <c r="AR95" s="32">
        <v>0.10526149898194399</v>
      </c>
      <c r="AS95" s="34">
        <v>0.1</v>
      </c>
      <c r="AT95" s="34">
        <v>0</v>
      </c>
      <c r="AU95" s="34">
        <v>0</v>
      </c>
      <c r="AV95" s="34">
        <v>8.3333333333333301E-2</v>
      </c>
      <c r="AW95" s="10"/>
      <c r="AX95" s="8"/>
    </row>
    <row r="96" spans="1:50">
      <c r="A96" s="7"/>
      <c r="B96" s="10"/>
      <c r="C96" s="45" t="s">
        <v>127</v>
      </c>
      <c r="D96" s="23" t="s">
        <v>11</v>
      </c>
      <c r="E96" s="46" t="s">
        <v>144</v>
      </c>
      <c r="F96" s="46" t="s">
        <v>144</v>
      </c>
      <c r="G96" s="46" t="s">
        <v>144</v>
      </c>
      <c r="H96" s="46" t="s">
        <v>144</v>
      </c>
      <c r="I96" s="25">
        <v>0.9</v>
      </c>
      <c r="J96" s="26">
        <v>0.9375</v>
      </c>
      <c r="K96" s="26">
        <v>0.89534883720930203</v>
      </c>
      <c r="L96" s="27">
        <v>0.936708860759494</v>
      </c>
      <c r="M96" s="26">
        <v>0.92461197339246104</v>
      </c>
      <c r="N96" s="28">
        <v>0.9</v>
      </c>
      <c r="O96" s="26">
        <v>0.869809368996601</v>
      </c>
      <c r="P96" s="26">
        <v>0.89147468132382202</v>
      </c>
      <c r="Q96" s="26">
        <v>0.88892471384813798</v>
      </c>
      <c r="R96" s="26">
        <v>0.86246683686239201</v>
      </c>
      <c r="S96" s="28">
        <v>0.9</v>
      </c>
      <c r="T96" s="26">
        <v>0.874981528003547</v>
      </c>
      <c r="U96" s="26">
        <v>0.85042685066074097</v>
      </c>
      <c r="V96" s="26">
        <v>0.90182169917781696</v>
      </c>
      <c r="W96" s="26">
        <v>0.851278970816439</v>
      </c>
      <c r="X96" s="28">
        <v>0.92</v>
      </c>
      <c r="Y96" s="28">
        <v>0.93966450216450204</v>
      </c>
      <c r="Z96" s="28">
        <v>0.92780986228342999</v>
      </c>
      <c r="AA96" s="28">
        <v>0.94021537318975101</v>
      </c>
      <c r="AB96" s="28">
        <v>0.92237203822489899</v>
      </c>
      <c r="AC96" s="28">
        <v>0.92</v>
      </c>
      <c r="AD96" s="26">
        <v>0.96025815217391297</v>
      </c>
      <c r="AE96" s="26">
        <v>0.87991325562483103</v>
      </c>
      <c r="AF96" s="26">
        <v>0.96612220205686605</v>
      </c>
      <c r="AG96" s="26">
        <v>0.93889666760011203</v>
      </c>
      <c r="AH96" s="28">
        <v>0.92</v>
      </c>
      <c r="AI96" s="26">
        <v>0.95211698365669495</v>
      </c>
      <c r="AJ96" s="26">
        <v>0.95855676421020397</v>
      </c>
      <c r="AK96" s="26">
        <v>0.96263698334627701</v>
      </c>
      <c r="AL96" s="26">
        <v>0.95122067594433402</v>
      </c>
      <c r="AM96" s="25">
        <v>0.99</v>
      </c>
      <c r="AN96" s="30">
        <v>1</v>
      </c>
      <c r="AO96" s="30">
        <v>1</v>
      </c>
      <c r="AP96" s="30">
        <v>1</v>
      </c>
      <c r="AQ96" s="30">
        <v>1</v>
      </c>
      <c r="AR96" s="32">
        <v>0.10526149898194399</v>
      </c>
      <c r="AS96" s="34">
        <v>0.125</v>
      </c>
      <c r="AT96" s="34">
        <v>5.2631578947368397E-2</v>
      </c>
      <c r="AU96" s="34">
        <v>3.4482758620689703E-2</v>
      </c>
      <c r="AV96" s="34">
        <v>5.6737588652482303E-2</v>
      </c>
      <c r="AW96" s="10"/>
      <c r="AX96" s="8"/>
    </row>
    <row r="97" spans="1:50">
      <c r="A97" s="7"/>
      <c r="B97" s="10"/>
      <c r="C97" s="45" t="s">
        <v>127</v>
      </c>
      <c r="D97" s="23" t="s">
        <v>11</v>
      </c>
      <c r="E97" s="46" t="s">
        <v>145</v>
      </c>
      <c r="F97" s="46" t="s">
        <v>145</v>
      </c>
      <c r="G97" s="46" t="s">
        <v>145</v>
      </c>
      <c r="H97" s="46" t="s">
        <v>145</v>
      </c>
      <c r="I97" s="25">
        <v>0.9</v>
      </c>
      <c r="J97" s="26">
        <v>0.87209302325581395</v>
      </c>
      <c r="K97" s="26">
        <v>0.86274509803921595</v>
      </c>
      <c r="L97" s="27">
        <v>0.82954545454545503</v>
      </c>
      <c r="M97" s="26">
        <v>0.86381322957198403</v>
      </c>
      <c r="N97" s="28">
        <v>0.9</v>
      </c>
      <c r="O97" s="26">
        <v>0.92702142363510698</v>
      </c>
      <c r="P97" s="26">
        <v>0.88106194690265505</v>
      </c>
      <c r="Q97" s="26">
        <v>0.94611145131659502</v>
      </c>
      <c r="R97" s="26">
        <v>0.87859150902939898</v>
      </c>
      <c r="S97" s="28">
        <v>0.9</v>
      </c>
      <c r="T97" s="26">
        <v>0.82861091914305496</v>
      </c>
      <c r="U97" s="26">
        <v>0.83941002949852495</v>
      </c>
      <c r="V97" s="26">
        <v>0.85364360073484402</v>
      </c>
      <c r="W97" s="26">
        <v>0.814123028541478</v>
      </c>
      <c r="X97" s="28">
        <v>0.92</v>
      </c>
      <c r="Y97" s="28">
        <v>0.89540816326530603</v>
      </c>
      <c r="Z97" s="28">
        <v>0.93888728740270999</v>
      </c>
      <c r="AA97" s="28">
        <v>0.94864048338368601</v>
      </c>
      <c r="AB97" s="28">
        <v>0.917742622020431</v>
      </c>
      <c r="AC97" s="28">
        <v>0.92</v>
      </c>
      <c r="AD97" s="26">
        <v>0.87714193339799595</v>
      </c>
      <c r="AE97" s="26">
        <v>0.96492071119653999</v>
      </c>
      <c r="AF97" s="26">
        <v>0.94326152304609201</v>
      </c>
      <c r="AG97" s="26">
        <v>0.92300466638385503</v>
      </c>
      <c r="AH97" s="28">
        <v>0.92</v>
      </c>
      <c r="AI97" s="26">
        <v>0.93737441393168097</v>
      </c>
      <c r="AJ97" s="26">
        <v>0.96736521118536301</v>
      </c>
      <c r="AK97" s="26">
        <v>0.96874742988732598</v>
      </c>
      <c r="AL97" s="26">
        <v>0.94979622082252702</v>
      </c>
      <c r="AM97" s="25">
        <v>0.99</v>
      </c>
      <c r="AN97" s="30">
        <v>1</v>
      </c>
      <c r="AO97" s="30">
        <v>1</v>
      </c>
      <c r="AP97" s="30">
        <v>1</v>
      </c>
      <c r="AQ97" s="30">
        <v>1</v>
      </c>
      <c r="AR97" s="32">
        <v>0.10526149898194399</v>
      </c>
      <c r="AS97" s="34">
        <v>5.4054054054054099E-2</v>
      </c>
      <c r="AT97" s="34">
        <v>5.1282051282051301E-2</v>
      </c>
      <c r="AU97" s="34">
        <v>7.8947368421052599E-2</v>
      </c>
      <c r="AV97" s="34">
        <v>6.0747663551401897E-2</v>
      </c>
      <c r="AW97" s="10"/>
      <c r="AX97" s="8"/>
    </row>
    <row r="98" spans="1:50">
      <c r="A98" s="7"/>
      <c r="B98" s="10"/>
      <c r="C98" s="45" t="s">
        <v>127</v>
      </c>
      <c r="D98" s="23" t="s">
        <v>11</v>
      </c>
      <c r="E98" s="46" t="s">
        <v>146</v>
      </c>
      <c r="F98" s="46" t="s">
        <v>146</v>
      </c>
      <c r="G98" s="46" t="s">
        <v>146</v>
      </c>
      <c r="H98" s="46" t="s">
        <v>146</v>
      </c>
      <c r="I98" s="25">
        <v>0.9</v>
      </c>
      <c r="J98" s="26">
        <v>0.95454545454545503</v>
      </c>
      <c r="K98" s="26">
        <v>1</v>
      </c>
      <c r="L98" s="27">
        <v>0.91891891891891897</v>
      </c>
      <c r="M98" s="26">
        <v>0.92307692307692302</v>
      </c>
      <c r="N98" s="28">
        <v>0.9</v>
      </c>
      <c r="O98" s="26">
        <v>0.91755526657997399</v>
      </c>
      <c r="P98" s="26">
        <v>0.83357755913753395</v>
      </c>
      <c r="Q98" s="26">
        <v>0.93312302839116701</v>
      </c>
      <c r="R98" s="26">
        <v>0.89284880190574101</v>
      </c>
      <c r="S98" s="28">
        <v>0.9</v>
      </c>
      <c r="T98" s="26">
        <v>0.78881664499349802</v>
      </c>
      <c r="U98" s="26">
        <v>0.73707347707766402</v>
      </c>
      <c r="V98" s="26">
        <v>0.81482649842271304</v>
      </c>
      <c r="W98" s="26">
        <v>0.790882339203139</v>
      </c>
      <c r="X98" s="28">
        <v>0.92</v>
      </c>
      <c r="Y98" s="28">
        <v>0.94117647058823495</v>
      </c>
      <c r="Z98" s="28">
        <v>0.95128712871287102</v>
      </c>
      <c r="AA98" s="28">
        <v>0.94396264176117395</v>
      </c>
      <c r="AB98" s="28">
        <v>0.94586407766990299</v>
      </c>
      <c r="AC98" s="28">
        <v>0.92</v>
      </c>
      <c r="AD98" s="26">
        <v>0.99488304093567204</v>
      </c>
      <c r="AE98" s="26">
        <v>0.99202898550724605</v>
      </c>
      <c r="AF98" s="26">
        <v>0.98817567567567599</v>
      </c>
      <c r="AG98" s="26">
        <v>0.98458149779735704</v>
      </c>
      <c r="AH98" s="28">
        <v>0.92</v>
      </c>
      <c r="AI98" s="26">
        <v>0.957302609284988</v>
      </c>
      <c r="AJ98" s="26">
        <v>0.96973431936455801</v>
      </c>
      <c r="AK98" s="26">
        <v>0.96190012970168604</v>
      </c>
      <c r="AL98" s="26">
        <v>0.96453259442905104</v>
      </c>
      <c r="AM98" s="25">
        <v>0.99</v>
      </c>
      <c r="AN98" s="30">
        <v>1</v>
      </c>
      <c r="AO98" s="30">
        <v>1</v>
      </c>
      <c r="AP98" s="30">
        <v>1</v>
      </c>
      <c r="AQ98" s="30">
        <v>1</v>
      </c>
      <c r="AR98" s="32">
        <v>0.10526149898194399</v>
      </c>
      <c r="AS98" s="34">
        <v>0.04</v>
      </c>
      <c r="AT98" s="34">
        <v>4.3478260869565202E-2</v>
      </c>
      <c r="AU98" s="34">
        <v>9.375E-2</v>
      </c>
      <c r="AV98" s="34">
        <v>0.08</v>
      </c>
      <c r="AW98" s="10"/>
      <c r="AX98" s="8"/>
    </row>
    <row r="99" spans="1:50">
      <c r="A99" s="7"/>
      <c r="B99" s="10"/>
      <c r="C99" s="45" t="s">
        <v>127</v>
      </c>
      <c r="D99" s="23" t="s">
        <v>11</v>
      </c>
      <c r="E99" s="46" t="s">
        <v>147</v>
      </c>
      <c r="F99" s="46" t="s">
        <v>147</v>
      </c>
      <c r="G99" s="46" t="s">
        <v>147</v>
      </c>
      <c r="H99" s="46" t="s">
        <v>147</v>
      </c>
      <c r="I99" s="25">
        <v>0.9</v>
      </c>
      <c r="J99" s="26">
        <v>0.90384615384615397</v>
      </c>
      <c r="K99" s="26">
        <v>0.89795918367346905</v>
      </c>
      <c r="L99" s="27">
        <v>0.93617021276595702</v>
      </c>
      <c r="M99" s="26">
        <v>0.91696750902527102</v>
      </c>
      <c r="N99" s="28">
        <v>0.9</v>
      </c>
      <c r="O99" s="26">
        <v>0.91823761508110502</v>
      </c>
      <c r="P99" s="26">
        <v>0.850035663338088</v>
      </c>
      <c r="Q99" s="26">
        <v>0.95225176342919104</v>
      </c>
      <c r="R99" s="26">
        <v>0.889126487795037</v>
      </c>
      <c r="S99" s="28">
        <v>0.9</v>
      </c>
      <c r="T99" s="26">
        <v>0.87373958790004402</v>
      </c>
      <c r="U99" s="26">
        <v>0.83969329529243897</v>
      </c>
      <c r="V99" s="26">
        <v>0.89365165491047205</v>
      </c>
      <c r="W99" s="26">
        <v>0.84115392374419995</v>
      </c>
      <c r="X99" s="28">
        <v>0.92</v>
      </c>
      <c r="Y99" s="28">
        <v>0.92636579572446598</v>
      </c>
      <c r="Z99" s="28">
        <v>0.95067412035514598</v>
      </c>
      <c r="AA99" s="28">
        <v>0.96427499249474602</v>
      </c>
      <c r="AB99" s="28">
        <v>0.93734470485528198</v>
      </c>
      <c r="AC99" s="28">
        <v>0.92</v>
      </c>
      <c r="AD99" s="26">
        <v>0.99456737776600002</v>
      </c>
      <c r="AE99" s="26">
        <v>0.99493426607164404</v>
      </c>
      <c r="AF99" s="26">
        <v>0.99537845332237895</v>
      </c>
      <c r="AG99" s="26">
        <v>0.98946401094204095</v>
      </c>
      <c r="AH99" s="28">
        <v>0.92</v>
      </c>
      <c r="AI99" s="26">
        <v>0.95570602341656097</v>
      </c>
      <c r="AJ99" s="26">
        <v>0.974450867052023</v>
      </c>
      <c r="AK99" s="26">
        <v>0.97748646337987999</v>
      </c>
      <c r="AL99" s="26">
        <v>0.96129617497354203</v>
      </c>
      <c r="AM99" s="25">
        <v>0.99</v>
      </c>
      <c r="AN99" s="30">
        <v>1</v>
      </c>
      <c r="AO99" s="30">
        <v>1</v>
      </c>
      <c r="AP99" s="30">
        <v>1</v>
      </c>
      <c r="AQ99" s="30">
        <v>1</v>
      </c>
      <c r="AR99" s="32">
        <v>0.10526149898194399</v>
      </c>
      <c r="AS99" s="34">
        <v>0.107142857142857</v>
      </c>
      <c r="AT99" s="34">
        <v>3.8461538461538498E-2</v>
      </c>
      <c r="AU99" s="34">
        <v>5.2631578947368397E-2</v>
      </c>
      <c r="AV99" s="34">
        <v>0.11688311688311701</v>
      </c>
      <c r="AW99" s="10"/>
      <c r="AX99" s="8"/>
    </row>
    <row r="100" spans="1:50">
      <c r="A100" s="7"/>
      <c r="B100" s="10"/>
      <c r="C100" s="45" t="s">
        <v>127</v>
      </c>
      <c r="D100" s="23" t="s">
        <v>11</v>
      </c>
      <c r="E100" s="46" t="s">
        <v>148</v>
      </c>
      <c r="F100" s="46" t="s">
        <v>148</v>
      </c>
      <c r="G100" s="46" t="s">
        <v>148</v>
      </c>
      <c r="H100" s="46" t="s">
        <v>148</v>
      </c>
      <c r="I100" s="25">
        <v>0.9</v>
      </c>
      <c r="J100" s="26">
        <v>0.97058823529411797</v>
      </c>
      <c r="K100" s="26">
        <v>1</v>
      </c>
      <c r="L100" s="27">
        <v>1</v>
      </c>
      <c r="M100" s="26">
        <v>0.98584905660377398</v>
      </c>
      <c r="N100" s="28">
        <v>0.9</v>
      </c>
      <c r="O100" s="26">
        <v>0.94863932541203499</v>
      </c>
      <c r="P100" s="26">
        <v>0.95879458794587902</v>
      </c>
      <c r="Q100" s="26">
        <v>0.94062078272604599</v>
      </c>
      <c r="R100" s="26">
        <v>0.95325836607505798</v>
      </c>
      <c r="S100" s="28">
        <v>0.9</v>
      </c>
      <c r="T100" s="26">
        <v>0.917209658873131</v>
      </c>
      <c r="U100" s="26">
        <v>0.93480934809348104</v>
      </c>
      <c r="V100" s="26">
        <v>0.91677912730544298</v>
      </c>
      <c r="W100" s="26">
        <v>0.92487467822788205</v>
      </c>
      <c r="X100" s="28">
        <v>0.92</v>
      </c>
      <c r="Y100" s="28">
        <v>0.94432846207376497</v>
      </c>
      <c r="Z100" s="28">
        <v>0.97156123041207199</v>
      </c>
      <c r="AA100" s="28">
        <v>0.965634075508228</v>
      </c>
      <c r="AB100" s="28">
        <v>0.96124460192669703</v>
      </c>
      <c r="AC100" s="28">
        <v>0.92</v>
      </c>
      <c r="AD100" s="26">
        <v>0.99800399201596801</v>
      </c>
      <c r="AE100" s="26">
        <v>0.99053356282271898</v>
      </c>
      <c r="AF100" s="26">
        <v>0.99767621998450795</v>
      </c>
      <c r="AG100" s="26">
        <v>0.98991596638655499</v>
      </c>
      <c r="AH100" s="28">
        <v>0.92</v>
      </c>
      <c r="AI100" s="26">
        <v>0.96193771626297597</v>
      </c>
      <c r="AJ100" s="26">
        <v>0.98030150753768797</v>
      </c>
      <c r="AK100" s="26">
        <v>0.97388668687339697</v>
      </c>
      <c r="AL100" s="26">
        <v>0.97381692863747205</v>
      </c>
      <c r="AM100" s="25">
        <v>0.99</v>
      </c>
      <c r="AN100" s="30">
        <v>1</v>
      </c>
      <c r="AO100" s="30">
        <v>1</v>
      </c>
      <c r="AP100" s="30">
        <v>1</v>
      </c>
      <c r="AQ100" s="30">
        <v>1</v>
      </c>
      <c r="AR100" s="32">
        <v>0.10526149898194399</v>
      </c>
      <c r="AS100" s="34">
        <v>0</v>
      </c>
      <c r="AT100" s="34">
        <v>0</v>
      </c>
      <c r="AU100" s="34">
        <v>0.15384615384615399</v>
      </c>
      <c r="AV100" s="34">
        <v>0.04</v>
      </c>
      <c r="AW100" s="10"/>
      <c r="AX100" s="8"/>
    </row>
    <row r="101" spans="1:50">
      <c r="A101" s="7"/>
      <c r="B101" s="10"/>
      <c r="C101" s="45" t="s">
        <v>127</v>
      </c>
      <c r="D101" s="23" t="s">
        <v>11</v>
      </c>
      <c r="E101" s="46" t="s">
        <v>149</v>
      </c>
      <c r="F101" s="46" t="s">
        <v>149</v>
      </c>
      <c r="G101" s="46" t="s">
        <v>149</v>
      </c>
      <c r="H101" s="46" t="s">
        <v>149</v>
      </c>
      <c r="I101" s="25">
        <v>0.9</v>
      </c>
      <c r="J101" s="26">
        <v>0.97058823529411797</v>
      </c>
      <c r="K101" s="26">
        <v>0.94117647058823495</v>
      </c>
      <c r="L101" s="27">
        <v>0.92307692307692302</v>
      </c>
      <c r="M101" s="26">
        <v>0.91472868217054304</v>
      </c>
      <c r="N101" s="28">
        <v>0.9</v>
      </c>
      <c r="O101" s="26">
        <v>0.94194571032296404</v>
      </c>
      <c r="P101" s="26">
        <v>0.96150735888727201</v>
      </c>
      <c r="Q101" s="26">
        <v>0.964277429830666</v>
      </c>
      <c r="R101" s="26">
        <v>0.95627121040723995</v>
      </c>
      <c r="S101" s="28">
        <v>0.9</v>
      </c>
      <c r="T101" s="26">
        <v>0.89736477115117896</v>
      </c>
      <c r="U101" s="26">
        <v>0.89163836325408397</v>
      </c>
      <c r="V101" s="26">
        <v>0.92113198793783302</v>
      </c>
      <c r="W101" s="26">
        <v>0.90211397058823495</v>
      </c>
      <c r="X101" s="28">
        <v>0.92</v>
      </c>
      <c r="Y101" s="28">
        <v>0.93274021352313197</v>
      </c>
      <c r="Z101" s="28">
        <v>0.95920780372450498</v>
      </c>
      <c r="AA101" s="28">
        <v>0.96450617283950602</v>
      </c>
      <c r="AB101" s="28">
        <v>0.94725479899644105</v>
      </c>
      <c r="AC101" s="28">
        <v>0.92</v>
      </c>
      <c r="AD101" s="26">
        <v>0.99366085578446905</v>
      </c>
      <c r="AE101" s="26">
        <v>0.98741821841972799</v>
      </c>
      <c r="AF101" s="26">
        <v>0.98809980806141995</v>
      </c>
      <c r="AG101" s="26">
        <v>0.98889620777265497</v>
      </c>
      <c r="AH101" s="28">
        <v>0.92</v>
      </c>
      <c r="AI101" s="26">
        <v>0.946289932544228</v>
      </c>
      <c r="AJ101" s="26">
        <v>0.97438845912607197</v>
      </c>
      <c r="AK101" s="26">
        <v>0.97743627271618505</v>
      </c>
      <c r="AL101" s="26">
        <v>0.96563793255261099</v>
      </c>
      <c r="AM101" s="25">
        <v>0.99</v>
      </c>
      <c r="AN101" s="30">
        <v>1</v>
      </c>
      <c r="AO101" s="30">
        <v>1</v>
      </c>
      <c r="AP101" s="30">
        <v>1</v>
      </c>
      <c r="AQ101" s="30">
        <v>1</v>
      </c>
      <c r="AR101" s="32">
        <v>0.10526149898194399</v>
      </c>
      <c r="AS101" s="34">
        <v>0.13793103448275901</v>
      </c>
      <c r="AT101" s="34">
        <v>0.133333333333333</v>
      </c>
      <c r="AU101" s="34">
        <v>0.12903225806451599</v>
      </c>
      <c r="AV101" s="34">
        <v>0.13218390804597699</v>
      </c>
      <c r="AW101" s="10"/>
      <c r="AX101" s="8"/>
    </row>
    <row r="102" spans="1:50">
      <c r="A102" s="7"/>
      <c r="B102" s="10"/>
      <c r="C102" s="45" t="s">
        <v>127</v>
      </c>
      <c r="D102" s="23" t="s">
        <v>11</v>
      </c>
      <c r="E102" s="46" t="s">
        <v>150</v>
      </c>
      <c r="F102" s="46" t="s">
        <v>150</v>
      </c>
      <c r="G102" s="46" t="s">
        <v>150</v>
      </c>
      <c r="H102" s="46" t="s">
        <v>150</v>
      </c>
      <c r="I102" s="25">
        <v>0.9</v>
      </c>
      <c r="J102" s="26">
        <v>0</v>
      </c>
      <c r="K102" s="26">
        <v>0</v>
      </c>
      <c r="L102" s="27">
        <v>0</v>
      </c>
      <c r="M102" s="26">
        <v>0</v>
      </c>
      <c r="N102" s="28">
        <v>0.9</v>
      </c>
      <c r="O102" s="26">
        <v>0.91584158415841599</v>
      </c>
      <c r="P102" s="26">
        <v>0.925133689839572</v>
      </c>
      <c r="Q102" s="26">
        <v>0.94594594594594605</v>
      </c>
      <c r="R102" s="26">
        <v>0.936288088642659</v>
      </c>
      <c r="S102" s="28">
        <v>0.9</v>
      </c>
      <c r="T102" s="26">
        <v>0.96039603960396003</v>
      </c>
      <c r="U102" s="26">
        <v>0.957219251336898</v>
      </c>
      <c r="V102" s="26">
        <v>0.96621621621621601</v>
      </c>
      <c r="W102" s="26">
        <v>0.97414589104339799</v>
      </c>
      <c r="X102" s="28">
        <v>0.92</v>
      </c>
      <c r="Y102" s="28">
        <v>1</v>
      </c>
      <c r="Z102" s="28">
        <v>1</v>
      </c>
      <c r="AA102" s="28">
        <v>0.90625</v>
      </c>
      <c r="AB102" s="28">
        <v>0.95879120879120905</v>
      </c>
      <c r="AC102" s="28">
        <v>0.92</v>
      </c>
      <c r="AD102" s="26">
        <v>0</v>
      </c>
      <c r="AE102" s="26">
        <v>1</v>
      </c>
      <c r="AF102" s="26">
        <v>0.5</v>
      </c>
      <c r="AG102" s="26">
        <v>0.73194748358862105</v>
      </c>
      <c r="AH102" s="28">
        <v>0.92</v>
      </c>
      <c r="AI102" s="26">
        <v>0.96385542168674698</v>
      </c>
      <c r="AJ102" s="26">
        <v>0.968992248062015</v>
      </c>
      <c r="AK102" s="26">
        <v>0.934782608695652</v>
      </c>
      <c r="AL102" s="26">
        <v>0.965659340659341</v>
      </c>
      <c r="AM102" s="25">
        <v>0.99</v>
      </c>
      <c r="AN102" s="30">
        <v>0</v>
      </c>
      <c r="AO102" s="30">
        <v>0</v>
      </c>
      <c r="AP102" s="30">
        <v>1</v>
      </c>
      <c r="AQ102" s="30">
        <v>1</v>
      </c>
      <c r="AR102" s="32">
        <v>0.10526149898194399</v>
      </c>
      <c r="AS102" s="34">
        <v>0</v>
      </c>
      <c r="AT102" s="34">
        <v>0</v>
      </c>
      <c r="AU102" s="34">
        <v>0</v>
      </c>
      <c r="AV102" s="34">
        <v>0</v>
      </c>
      <c r="AW102" s="10"/>
      <c r="AX102" s="8"/>
    </row>
    <row r="103" spans="1:50">
      <c r="A103" s="7"/>
      <c r="B103" s="10"/>
      <c r="C103" s="45" t="s">
        <v>127</v>
      </c>
      <c r="D103" s="23" t="s">
        <v>11</v>
      </c>
      <c r="E103" s="46" t="s">
        <v>151</v>
      </c>
      <c r="F103" s="46" t="s">
        <v>151</v>
      </c>
      <c r="G103" s="46" t="s">
        <v>151</v>
      </c>
      <c r="H103" s="46" t="s">
        <v>151</v>
      </c>
      <c r="I103" s="25">
        <v>0.9</v>
      </c>
      <c r="J103" s="26">
        <v>0.96511627906976705</v>
      </c>
      <c r="K103" s="26">
        <v>0.97701149425287404</v>
      </c>
      <c r="L103" s="27">
        <v>0.88505747126436796</v>
      </c>
      <c r="M103" s="26">
        <v>0.93810444874274701</v>
      </c>
      <c r="N103" s="28">
        <v>0.9</v>
      </c>
      <c r="O103" s="26">
        <v>0.934346061804183</v>
      </c>
      <c r="P103" s="26">
        <v>0.91715812753409498</v>
      </c>
      <c r="Q103" s="26">
        <v>0.94719345352256701</v>
      </c>
      <c r="R103" s="26">
        <v>0.92519933459530801</v>
      </c>
      <c r="S103" s="28">
        <v>0.9</v>
      </c>
      <c r="T103" s="26">
        <v>0.89605660181042601</v>
      </c>
      <c r="U103" s="26">
        <v>0.87117582012532302</v>
      </c>
      <c r="V103" s="26">
        <v>0.89016749776243398</v>
      </c>
      <c r="W103" s="26">
        <v>0.88143176733780804</v>
      </c>
      <c r="X103" s="28">
        <v>0.92</v>
      </c>
      <c r="Y103" s="28">
        <v>0.90993500464252597</v>
      </c>
      <c r="Z103" s="28">
        <v>0.92288989232372398</v>
      </c>
      <c r="AA103" s="28">
        <v>0.91150274777335605</v>
      </c>
      <c r="AB103" s="28">
        <v>0.915464906133589</v>
      </c>
      <c r="AC103" s="28">
        <v>0.92</v>
      </c>
      <c r="AD103" s="26">
        <v>0.979594700234521</v>
      </c>
      <c r="AE103" s="26">
        <v>0.88842905514977799</v>
      </c>
      <c r="AF103" s="26">
        <v>0.83495583294872799</v>
      </c>
      <c r="AG103" s="26">
        <v>0.89195187985905</v>
      </c>
      <c r="AH103" s="28">
        <v>0.92</v>
      </c>
      <c r="AI103" s="26">
        <v>0.95067844066336404</v>
      </c>
      <c r="AJ103" s="26">
        <v>0.95303385651572603</v>
      </c>
      <c r="AK103" s="26">
        <v>0.94972919368372899</v>
      </c>
      <c r="AL103" s="26">
        <v>0.95090071956926503</v>
      </c>
      <c r="AM103" s="25">
        <v>0.99</v>
      </c>
      <c r="AN103" s="30">
        <v>1</v>
      </c>
      <c r="AO103" s="30">
        <v>1</v>
      </c>
      <c r="AP103" s="30">
        <v>1</v>
      </c>
      <c r="AQ103" s="30">
        <v>1</v>
      </c>
      <c r="AR103" s="32">
        <v>0.10526149898194399</v>
      </c>
      <c r="AS103" s="34">
        <v>0</v>
      </c>
      <c r="AT103" s="34">
        <v>4.5454545454545497E-2</v>
      </c>
      <c r="AU103" s="34">
        <v>0.1875</v>
      </c>
      <c r="AV103" s="34">
        <v>9.1666666666666702E-2</v>
      </c>
      <c r="AW103" s="10"/>
      <c r="AX103" s="8"/>
    </row>
    <row r="104" spans="1:50">
      <c r="A104" s="7"/>
      <c r="B104" s="10"/>
      <c r="C104" s="45" t="s">
        <v>127</v>
      </c>
      <c r="D104" s="23" t="s">
        <v>11</v>
      </c>
      <c r="E104" s="46" t="s">
        <v>152</v>
      </c>
      <c r="F104" s="46" t="s">
        <v>152</v>
      </c>
      <c r="G104" s="46" t="s">
        <v>152</v>
      </c>
      <c r="H104" s="46" t="s">
        <v>152</v>
      </c>
      <c r="I104" s="25">
        <v>0.9</v>
      </c>
      <c r="J104" s="26">
        <v>0</v>
      </c>
      <c r="K104" s="26">
        <v>0</v>
      </c>
      <c r="L104" s="27">
        <v>0</v>
      </c>
      <c r="M104" s="26">
        <v>0</v>
      </c>
      <c r="N104" s="28">
        <v>0.9</v>
      </c>
      <c r="O104" s="26">
        <v>0</v>
      </c>
      <c r="P104" s="26">
        <v>0</v>
      </c>
      <c r="Q104" s="26">
        <v>0</v>
      </c>
      <c r="R104" s="26">
        <v>0</v>
      </c>
      <c r="S104" s="28">
        <v>0.9</v>
      </c>
      <c r="T104" s="26">
        <v>0</v>
      </c>
      <c r="U104" s="26">
        <v>0</v>
      </c>
      <c r="V104" s="26">
        <v>0</v>
      </c>
      <c r="W104" s="26">
        <v>0</v>
      </c>
      <c r="X104" s="28">
        <v>0.92</v>
      </c>
      <c r="Y104" s="28">
        <v>0</v>
      </c>
      <c r="Z104" s="28">
        <v>0</v>
      </c>
      <c r="AA104" s="28">
        <v>0</v>
      </c>
      <c r="AB104" s="28">
        <v>0</v>
      </c>
      <c r="AC104" s="28">
        <v>0.92</v>
      </c>
      <c r="AD104" s="26">
        <v>0.96730769230769198</v>
      </c>
      <c r="AE104" s="26">
        <v>0.91249999999999998</v>
      </c>
      <c r="AF104" s="26">
        <v>8.1984897518878094E-2</v>
      </c>
      <c r="AG104" s="26">
        <v>0.75392013380723399</v>
      </c>
      <c r="AH104" s="28">
        <v>0.92</v>
      </c>
      <c r="AI104" s="26">
        <v>0</v>
      </c>
      <c r="AJ104" s="26">
        <v>0</v>
      </c>
      <c r="AK104" s="26">
        <v>0</v>
      </c>
      <c r="AL104" s="26">
        <v>0</v>
      </c>
      <c r="AM104" s="25">
        <v>0.99</v>
      </c>
      <c r="AN104" s="30">
        <v>1</v>
      </c>
      <c r="AO104" s="30">
        <v>0</v>
      </c>
      <c r="AP104" s="30">
        <v>0</v>
      </c>
      <c r="AQ104" s="30">
        <v>1</v>
      </c>
      <c r="AR104" s="32">
        <v>0.10526149898194399</v>
      </c>
      <c r="AS104" s="34">
        <v>0</v>
      </c>
      <c r="AT104" s="34">
        <v>0</v>
      </c>
      <c r="AU104" s="34">
        <v>0</v>
      </c>
      <c r="AV104" s="34">
        <v>0</v>
      </c>
      <c r="AW104" s="10"/>
      <c r="AX104" s="8"/>
    </row>
    <row r="105" spans="1:50">
      <c r="A105" s="7"/>
      <c r="B105" s="10"/>
      <c r="C105" s="45" t="s">
        <v>127</v>
      </c>
      <c r="D105" s="23" t="s">
        <v>11</v>
      </c>
      <c r="E105" s="46" t="s">
        <v>153</v>
      </c>
      <c r="F105" s="46" t="s">
        <v>153</v>
      </c>
      <c r="G105" s="46" t="s">
        <v>153</v>
      </c>
      <c r="H105" s="46" t="s">
        <v>153</v>
      </c>
      <c r="I105" s="25">
        <v>0.9</v>
      </c>
      <c r="J105" s="26">
        <v>0.934782608695652</v>
      </c>
      <c r="K105" s="26">
        <v>0.94791666666666696</v>
      </c>
      <c r="L105" s="27">
        <v>0.93548387096774199</v>
      </c>
      <c r="M105" s="26">
        <v>0.916190476190476</v>
      </c>
      <c r="N105" s="28">
        <v>0.9</v>
      </c>
      <c r="O105" s="26">
        <v>0.94153248829507796</v>
      </c>
      <c r="P105" s="26">
        <v>0.95260214238316399</v>
      </c>
      <c r="Q105" s="26">
        <v>0.96226677805625205</v>
      </c>
      <c r="R105" s="26">
        <v>0.95526147366682501</v>
      </c>
      <c r="S105" s="28">
        <v>0.9</v>
      </c>
      <c r="T105" s="26">
        <v>0.87598492634463898</v>
      </c>
      <c r="U105" s="26">
        <v>0.85098113565266897</v>
      </c>
      <c r="V105" s="26">
        <v>0.90281258702311296</v>
      </c>
      <c r="W105" s="26">
        <v>0.86062307739950905</v>
      </c>
      <c r="X105" s="28">
        <v>0.92</v>
      </c>
      <c r="Y105" s="28">
        <v>0.92192487110238197</v>
      </c>
      <c r="Z105" s="28">
        <v>0.93454617362072401</v>
      </c>
      <c r="AA105" s="28">
        <v>0.94657278939739098</v>
      </c>
      <c r="AB105" s="28">
        <v>0.92403623671516499</v>
      </c>
      <c r="AC105" s="28">
        <v>0.92</v>
      </c>
      <c r="AD105" s="26">
        <v>0.99470085825315302</v>
      </c>
      <c r="AE105" s="26">
        <v>0.993028353248957</v>
      </c>
      <c r="AF105" s="26">
        <v>0.98100686728938102</v>
      </c>
      <c r="AG105" s="26">
        <v>0.97929144609647001</v>
      </c>
      <c r="AH105" s="28">
        <v>0.92</v>
      </c>
      <c r="AI105" s="26">
        <v>0.94890965732087196</v>
      </c>
      <c r="AJ105" s="26">
        <v>0.96665173142162197</v>
      </c>
      <c r="AK105" s="26">
        <v>0.96854456187068305</v>
      </c>
      <c r="AL105" s="26">
        <v>0.95593243243243198</v>
      </c>
      <c r="AM105" s="25">
        <v>0.99</v>
      </c>
      <c r="AN105" s="30">
        <v>1</v>
      </c>
      <c r="AO105" s="30">
        <v>1</v>
      </c>
      <c r="AP105" s="30">
        <v>1</v>
      </c>
      <c r="AQ105" s="30">
        <v>1</v>
      </c>
      <c r="AR105" s="32">
        <v>0.10526149898194399</v>
      </c>
      <c r="AS105" s="34">
        <v>2.5641025641025599E-2</v>
      </c>
      <c r="AT105" s="34">
        <v>0.05</v>
      </c>
      <c r="AU105" s="34">
        <v>0</v>
      </c>
      <c r="AV105" s="34">
        <v>4.5045045045045001E-2</v>
      </c>
      <c r="AW105" s="10"/>
      <c r="AX105" s="8"/>
    </row>
    <row r="106" spans="1:50">
      <c r="A106" s="7"/>
      <c r="B106" s="10"/>
      <c r="C106" s="45" t="s">
        <v>127</v>
      </c>
      <c r="D106" s="23" t="s">
        <v>11</v>
      </c>
      <c r="E106" s="46" t="s">
        <v>154</v>
      </c>
      <c r="F106" s="46" t="s">
        <v>154</v>
      </c>
      <c r="G106" s="46" t="s">
        <v>154</v>
      </c>
      <c r="H106" s="46" t="s">
        <v>154</v>
      </c>
      <c r="I106" s="25">
        <v>0.9</v>
      </c>
      <c r="J106" s="26">
        <v>0.97297297297297303</v>
      </c>
      <c r="K106" s="26">
        <v>0.949367088607595</v>
      </c>
      <c r="L106" s="27">
        <v>0.97333333333333305</v>
      </c>
      <c r="M106" s="26">
        <v>0.94954128440367003</v>
      </c>
      <c r="N106" s="28">
        <v>0.9</v>
      </c>
      <c r="O106" s="26">
        <v>0.92602404727939702</v>
      </c>
      <c r="P106" s="26">
        <v>0.89398496240601499</v>
      </c>
      <c r="Q106" s="26">
        <v>0.89404709018214101</v>
      </c>
      <c r="R106" s="26">
        <v>0.91912512716174999</v>
      </c>
      <c r="S106" s="28">
        <v>0.9</v>
      </c>
      <c r="T106" s="26">
        <v>0.88852659466068895</v>
      </c>
      <c r="U106" s="26">
        <v>0.84451127819548899</v>
      </c>
      <c r="V106" s="26">
        <v>0.82141270546423795</v>
      </c>
      <c r="W106" s="26">
        <v>0.86666666666666703</v>
      </c>
      <c r="X106" s="28">
        <v>0.92</v>
      </c>
      <c r="Y106" s="28">
        <v>0.92452185792349695</v>
      </c>
      <c r="Z106" s="28">
        <v>0.95071225071225096</v>
      </c>
      <c r="AA106" s="28">
        <v>0.94640971488912395</v>
      </c>
      <c r="AB106" s="28">
        <v>0.94158719346049002</v>
      </c>
      <c r="AC106" s="28">
        <v>0.92</v>
      </c>
      <c r="AD106" s="26">
        <v>0.99467140319715797</v>
      </c>
      <c r="AE106" s="26">
        <v>0.98154981549815501</v>
      </c>
      <c r="AF106" s="26">
        <v>0.97363465160075302</v>
      </c>
      <c r="AG106" s="26">
        <v>0.95676413698941898</v>
      </c>
      <c r="AH106" s="28">
        <v>0.92</v>
      </c>
      <c r="AI106" s="26">
        <v>0.94691168963757</v>
      </c>
      <c r="AJ106" s="26">
        <v>0.97037401574803195</v>
      </c>
      <c r="AK106" s="26">
        <v>0.96635311143270597</v>
      </c>
      <c r="AL106" s="26">
        <v>0.96043890740072602</v>
      </c>
      <c r="AM106" s="25">
        <v>0.99</v>
      </c>
      <c r="AN106" s="30">
        <v>1</v>
      </c>
      <c r="AO106" s="30">
        <v>1</v>
      </c>
      <c r="AP106" s="30">
        <v>1</v>
      </c>
      <c r="AQ106" s="30">
        <v>1</v>
      </c>
      <c r="AR106" s="32">
        <v>0.10526149898194399</v>
      </c>
      <c r="AS106" s="34">
        <v>4.8780487804878099E-2</v>
      </c>
      <c r="AT106" s="34">
        <v>3.5714285714285698E-2</v>
      </c>
      <c r="AU106" s="34">
        <v>4.3478260869565202E-2</v>
      </c>
      <c r="AV106" s="34">
        <v>9.2391304347826095E-2</v>
      </c>
      <c r="AW106" s="10"/>
      <c r="AX106" s="8"/>
    </row>
    <row r="107" spans="1:50">
      <c r="A107" s="7"/>
      <c r="B107" s="10"/>
      <c r="C107" s="45" t="s">
        <v>127</v>
      </c>
      <c r="D107" s="23" t="s">
        <v>11</v>
      </c>
      <c r="E107" s="46" t="s">
        <v>155</v>
      </c>
      <c r="F107" s="46" t="s">
        <v>155</v>
      </c>
      <c r="G107" s="46" t="s">
        <v>155</v>
      </c>
      <c r="H107" s="46" t="s">
        <v>155</v>
      </c>
      <c r="I107" s="25">
        <v>0.9</v>
      </c>
      <c r="J107" s="26">
        <v>1</v>
      </c>
      <c r="K107" s="26">
        <v>1</v>
      </c>
      <c r="L107" s="27">
        <v>1</v>
      </c>
      <c r="M107" s="26">
        <v>0.99701492537313396</v>
      </c>
      <c r="N107" s="28">
        <v>0.9</v>
      </c>
      <c r="O107" s="26">
        <v>0.967750981491868</v>
      </c>
      <c r="P107" s="26">
        <v>0.97707736389684796</v>
      </c>
      <c r="Q107" s="26">
        <v>0.98419094854308697</v>
      </c>
      <c r="R107" s="26">
        <v>0.97646351613798199</v>
      </c>
      <c r="S107" s="28">
        <v>0.9</v>
      </c>
      <c r="T107" s="26">
        <v>0.87296690970274804</v>
      </c>
      <c r="U107" s="26">
        <v>0.87597216537044598</v>
      </c>
      <c r="V107" s="26">
        <v>0.90142591444513298</v>
      </c>
      <c r="W107" s="26">
        <v>0.87612133542957504</v>
      </c>
      <c r="X107" s="28">
        <v>0.92</v>
      </c>
      <c r="Y107" s="28">
        <v>0.94546287809349205</v>
      </c>
      <c r="Z107" s="28">
        <v>0.96052112120015798</v>
      </c>
      <c r="AA107" s="28">
        <v>0.96647280191583995</v>
      </c>
      <c r="AB107" s="28">
        <v>0.949109030504379</v>
      </c>
      <c r="AC107" s="28">
        <v>0.92</v>
      </c>
      <c r="AD107" s="26">
        <v>0.99639567480977198</v>
      </c>
      <c r="AE107" s="26">
        <v>0.99459250675936695</v>
      </c>
      <c r="AF107" s="26">
        <v>0.99147408570787499</v>
      </c>
      <c r="AG107" s="26">
        <v>0.99275362318840599</v>
      </c>
      <c r="AH107" s="28">
        <v>0.92</v>
      </c>
      <c r="AI107" s="26">
        <v>0.95581071677105101</v>
      </c>
      <c r="AJ107" s="26">
        <v>0.97627712629734498</v>
      </c>
      <c r="AK107" s="26">
        <v>0.97658536585365896</v>
      </c>
      <c r="AL107" s="26">
        <v>0.966507039830241</v>
      </c>
      <c r="AM107" s="25">
        <v>0.99</v>
      </c>
      <c r="AN107" s="30">
        <v>1</v>
      </c>
      <c r="AO107" s="30">
        <v>1</v>
      </c>
      <c r="AP107" s="30">
        <v>1</v>
      </c>
      <c r="AQ107" s="30">
        <v>1</v>
      </c>
      <c r="AR107" s="32">
        <v>0.10526149898194399</v>
      </c>
      <c r="AS107" s="34">
        <v>0.1</v>
      </c>
      <c r="AT107" s="34">
        <v>0</v>
      </c>
      <c r="AU107" s="34">
        <v>0.05</v>
      </c>
      <c r="AV107" s="34">
        <v>0.08</v>
      </c>
      <c r="AW107" s="10"/>
      <c r="AX107" s="8"/>
    </row>
    <row r="108" spans="1:50">
      <c r="A108" s="7"/>
      <c r="B108" s="10"/>
      <c r="C108" s="45" t="s">
        <v>127</v>
      </c>
      <c r="D108" s="23" t="s">
        <v>11</v>
      </c>
      <c r="E108" s="46" t="s">
        <v>156</v>
      </c>
      <c r="F108" s="46" t="s">
        <v>156</v>
      </c>
      <c r="G108" s="46" t="s">
        <v>156</v>
      </c>
      <c r="H108" s="46" t="s">
        <v>156</v>
      </c>
      <c r="I108" s="25">
        <v>0.9</v>
      </c>
      <c r="J108" s="26">
        <v>0.97826086956521696</v>
      </c>
      <c r="K108" s="26">
        <v>0.875</v>
      </c>
      <c r="L108" s="27">
        <v>0.92682926829268297</v>
      </c>
      <c r="M108" s="26">
        <v>0.94901960784313699</v>
      </c>
      <c r="N108" s="28">
        <v>0.9</v>
      </c>
      <c r="O108" s="26">
        <v>0.95622482927683405</v>
      </c>
      <c r="P108" s="26">
        <v>0.89774951076320897</v>
      </c>
      <c r="Q108" s="26">
        <v>0.95509171410499705</v>
      </c>
      <c r="R108" s="26">
        <v>0.93723329189207305</v>
      </c>
      <c r="S108" s="28">
        <v>0.9</v>
      </c>
      <c r="T108" s="26">
        <v>0.90351952372614297</v>
      </c>
      <c r="U108" s="26">
        <v>0.86236138290932796</v>
      </c>
      <c r="V108" s="26">
        <v>0.91418933164663696</v>
      </c>
      <c r="W108" s="26">
        <v>0.88693256274990795</v>
      </c>
      <c r="X108" s="28">
        <v>0.92</v>
      </c>
      <c r="Y108" s="28">
        <v>0.87972646822204303</v>
      </c>
      <c r="Z108" s="28">
        <v>0.94698179495368895</v>
      </c>
      <c r="AA108" s="28">
        <v>0.90879478827361604</v>
      </c>
      <c r="AB108" s="28">
        <v>0.90808240887480196</v>
      </c>
      <c r="AC108" s="28">
        <v>0.92</v>
      </c>
      <c r="AD108" s="26">
        <v>0.99602391213679997</v>
      </c>
      <c r="AE108" s="26">
        <v>0.98400464114039499</v>
      </c>
      <c r="AF108" s="26">
        <v>0.99086659383653897</v>
      </c>
      <c r="AG108" s="26">
        <v>0.98580938346607805</v>
      </c>
      <c r="AH108" s="28">
        <v>0.92</v>
      </c>
      <c r="AI108" s="26">
        <v>0.93265952264978103</v>
      </c>
      <c r="AJ108" s="26">
        <v>0.96409703504043098</v>
      </c>
      <c r="AK108" s="26">
        <v>0.93960332693538096</v>
      </c>
      <c r="AL108" s="26">
        <v>0.94302200574826101</v>
      </c>
      <c r="AM108" s="25">
        <v>0.99</v>
      </c>
      <c r="AN108" s="30">
        <v>1</v>
      </c>
      <c r="AO108" s="30">
        <v>1</v>
      </c>
      <c r="AP108" s="30">
        <v>0.99712643678160895</v>
      </c>
      <c r="AQ108" s="30">
        <v>0.99944351697273204</v>
      </c>
      <c r="AR108" s="32">
        <v>0.10526149898194399</v>
      </c>
      <c r="AS108" s="34">
        <v>0</v>
      </c>
      <c r="AT108" s="34">
        <v>4.7619047619047603E-2</v>
      </c>
      <c r="AU108" s="34">
        <v>9.0909090909090898E-2</v>
      </c>
      <c r="AV108" s="34">
        <v>0.101851851851852</v>
      </c>
      <c r="AW108" s="10"/>
      <c r="AX108" s="8"/>
    </row>
    <row r="109" spans="1:50">
      <c r="A109" s="7"/>
      <c r="B109" s="10"/>
      <c r="C109" s="45" t="s">
        <v>127</v>
      </c>
      <c r="D109" s="23" t="s">
        <v>11</v>
      </c>
      <c r="E109" s="46" t="s">
        <v>157</v>
      </c>
      <c r="F109" s="46" t="s">
        <v>157</v>
      </c>
      <c r="G109" s="46" t="s">
        <v>157</v>
      </c>
      <c r="H109" s="46" t="s">
        <v>157</v>
      </c>
      <c r="I109" s="25">
        <v>0.9</v>
      </c>
      <c r="J109" s="26">
        <v>0.96923076923076901</v>
      </c>
      <c r="K109" s="26">
        <v>0.98507462686567204</v>
      </c>
      <c r="L109" s="27">
        <v>1</v>
      </c>
      <c r="M109" s="26">
        <v>0.989247311827957</v>
      </c>
      <c r="N109" s="28">
        <v>0.9</v>
      </c>
      <c r="O109" s="26">
        <v>0.93852459016393397</v>
      </c>
      <c r="P109" s="26">
        <v>0.95246551017620495</v>
      </c>
      <c r="Q109" s="26">
        <v>0.944578313253012</v>
      </c>
      <c r="R109" s="26">
        <v>0.91556978536701095</v>
      </c>
      <c r="S109" s="28">
        <v>0.9</v>
      </c>
      <c r="T109" s="26">
        <v>0.87983606557377003</v>
      </c>
      <c r="U109" s="26">
        <v>0.86928015298456496</v>
      </c>
      <c r="V109" s="26">
        <v>0.93373493975903599</v>
      </c>
      <c r="W109" s="26">
        <v>0.88064745642120201</v>
      </c>
      <c r="X109" s="28">
        <v>0.92</v>
      </c>
      <c r="Y109" s="28">
        <v>0.92089314194577399</v>
      </c>
      <c r="Z109" s="28">
        <v>0.93974325386429103</v>
      </c>
      <c r="AA109" s="28">
        <v>0.94044536509580501</v>
      </c>
      <c r="AB109" s="28">
        <v>0.91486059827687705</v>
      </c>
      <c r="AC109" s="28">
        <v>0.92</v>
      </c>
      <c r="AD109" s="26">
        <v>0.99752134398237402</v>
      </c>
      <c r="AE109" s="26">
        <v>0.95858598257027094</v>
      </c>
      <c r="AF109" s="26">
        <v>0.82385261295379397</v>
      </c>
      <c r="AG109" s="26">
        <v>0.92773942602302795</v>
      </c>
      <c r="AH109" s="28">
        <v>0.92</v>
      </c>
      <c r="AI109" s="26">
        <v>0.94833748510776605</v>
      </c>
      <c r="AJ109" s="26">
        <v>0.96427289048473996</v>
      </c>
      <c r="AK109" s="26">
        <v>0.96052929201538095</v>
      </c>
      <c r="AL109" s="26">
        <v>0.94692966559203395</v>
      </c>
      <c r="AM109" s="25">
        <v>0.99</v>
      </c>
      <c r="AN109" s="30">
        <v>1</v>
      </c>
      <c r="AO109" s="30">
        <v>1</v>
      </c>
      <c r="AP109" s="30">
        <v>0.99810246679316905</v>
      </c>
      <c r="AQ109" s="30">
        <v>0.99946323134728898</v>
      </c>
      <c r="AR109" s="32">
        <v>0.10526149898194399</v>
      </c>
      <c r="AS109" s="34">
        <v>6.8965517241379296E-2</v>
      </c>
      <c r="AT109" s="34">
        <v>2.5000000000000001E-2</v>
      </c>
      <c r="AU109" s="34">
        <v>6.4516129032258104E-2</v>
      </c>
      <c r="AV109" s="34">
        <v>4.9261083743842402E-2</v>
      </c>
      <c r="AW109" s="10"/>
      <c r="AX109" s="8"/>
    </row>
    <row r="110" spans="1:50">
      <c r="A110" s="7"/>
      <c r="B110" s="10"/>
      <c r="C110" s="45" t="s">
        <v>127</v>
      </c>
      <c r="D110" s="23" t="s">
        <v>11</v>
      </c>
      <c r="E110" s="46" t="s">
        <v>158</v>
      </c>
      <c r="F110" s="46" t="s">
        <v>158</v>
      </c>
      <c r="G110" s="46" t="s">
        <v>158</v>
      </c>
      <c r="H110" s="46" t="s">
        <v>158</v>
      </c>
      <c r="I110" s="25">
        <v>0.9</v>
      </c>
      <c r="J110" s="26">
        <v>0</v>
      </c>
      <c r="K110" s="26">
        <v>0</v>
      </c>
      <c r="L110" s="27">
        <v>0</v>
      </c>
      <c r="M110" s="26">
        <v>0</v>
      </c>
      <c r="N110" s="28">
        <v>0.9</v>
      </c>
      <c r="O110" s="26">
        <v>0</v>
      </c>
      <c r="P110" s="26">
        <v>0</v>
      </c>
      <c r="Q110" s="26">
        <v>0</v>
      </c>
      <c r="R110" s="26">
        <v>0</v>
      </c>
      <c r="S110" s="28">
        <v>0.9</v>
      </c>
      <c r="T110" s="26">
        <v>0</v>
      </c>
      <c r="U110" s="26">
        <v>0</v>
      </c>
      <c r="V110" s="26">
        <v>0</v>
      </c>
      <c r="W110" s="26">
        <v>0</v>
      </c>
      <c r="X110" s="28">
        <v>0.92</v>
      </c>
      <c r="Y110" s="28">
        <v>0</v>
      </c>
      <c r="Z110" s="28">
        <v>0</v>
      </c>
      <c r="AA110" s="28">
        <v>1</v>
      </c>
      <c r="AB110" s="28">
        <v>1</v>
      </c>
      <c r="AC110" s="28">
        <v>0.92</v>
      </c>
      <c r="AD110" s="26">
        <v>0.95911949685534603</v>
      </c>
      <c r="AE110" s="26">
        <v>0.97422680412371099</v>
      </c>
      <c r="AF110" s="26">
        <v>0.96983758700696099</v>
      </c>
      <c r="AG110" s="26">
        <v>0.92242152466367699</v>
      </c>
      <c r="AH110" s="28">
        <v>0.92</v>
      </c>
      <c r="AI110" s="26">
        <v>0</v>
      </c>
      <c r="AJ110" s="26">
        <v>0</v>
      </c>
      <c r="AK110" s="26">
        <v>1</v>
      </c>
      <c r="AL110" s="26">
        <v>1</v>
      </c>
      <c r="AM110" s="25">
        <v>0.99</v>
      </c>
      <c r="AN110" s="30">
        <v>1</v>
      </c>
      <c r="AO110" s="30">
        <v>1</v>
      </c>
      <c r="AP110" s="30">
        <v>1</v>
      </c>
      <c r="AQ110" s="30">
        <v>1</v>
      </c>
      <c r="AR110" s="32">
        <v>0.10526149898194399</v>
      </c>
      <c r="AS110" s="34">
        <v>0</v>
      </c>
      <c r="AT110" s="34">
        <v>0</v>
      </c>
      <c r="AU110" s="34">
        <v>0</v>
      </c>
      <c r="AV110" s="34">
        <v>0</v>
      </c>
      <c r="AW110" s="10"/>
      <c r="AX110" s="8"/>
    </row>
    <row r="111" spans="1:50">
      <c r="A111" s="7"/>
      <c r="B111" s="10"/>
      <c r="C111" s="45" t="s">
        <v>127</v>
      </c>
      <c r="D111" s="23" t="s">
        <v>11</v>
      </c>
      <c r="E111" s="46" t="s">
        <v>159</v>
      </c>
      <c r="F111" s="46" t="s">
        <v>159</v>
      </c>
      <c r="G111" s="46" t="s">
        <v>159</v>
      </c>
      <c r="H111" s="46" t="s">
        <v>159</v>
      </c>
      <c r="I111" s="25">
        <v>0.9</v>
      </c>
      <c r="J111" s="26">
        <v>0.94545454545454499</v>
      </c>
      <c r="K111" s="26">
        <v>0.84905660377358505</v>
      </c>
      <c r="L111" s="27">
        <v>0.84761904761904805</v>
      </c>
      <c r="M111" s="26">
        <v>0.85830618892508104</v>
      </c>
      <c r="N111" s="28">
        <v>0.9</v>
      </c>
      <c r="O111" s="26">
        <v>0.89533263671194696</v>
      </c>
      <c r="P111" s="26">
        <v>0.85462191184200598</v>
      </c>
      <c r="Q111" s="26">
        <v>0.90842295815142204</v>
      </c>
      <c r="R111" s="26">
        <v>0.88118318463146095</v>
      </c>
      <c r="S111" s="28">
        <v>0.9</v>
      </c>
      <c r="T111" s="26">
        <v>0.87574016022291901</v>
      </c>
      <c r="U111" s="26">
        <v>0.83817676653900997</v>
      </c>
      <c r="V111" s="26">
        <v>0.88946864018741301</v>
      </c>
      <c r="W111" s="26">
        <v>0.84996382927417402</v>
      </c>
      <c r="X111" s="28">
        <v>0.92</v>
      </c>
      <c r="Y111" s="28">
        <v>0.91121666057727402</v>
      </c>
      <c r="Z111" s="28">
        <v>0.911156721888286</v>
      </c>
      <c r="AA111" s="28">
        <v>0.89781436275901205</v>
      </c>
      <c r="AB111" s="28">
        <v>0.89098285949489897</v>
      </c>
      <c r="AC111" s="28">
        <v>0.92</v>
      </c>
      <c r="AD111" s="26">
        <v>0.99112217327068697</v>
      </c>
      <c r="AE111" s="26">
        <v>0.98369490278990701</v>
      </c>
      <c r="AF111" s="26">
        <v>0.97386975979541501</v>
      </c>
      <c r="AG111" s="26">
        <v>0.98118629831378901</v>
      </c>
      <c r="AH111" s="28">
        <v>0.92</v>
      </c>
      <c r="AI111" s="26">
        <v>0.94839584807737698</v>
      </c>
      <c r="AJ111" s="26">
        <v>0.94463753723932498</v>
      </c>
      <c r="AK111" s="26">
        <v>0.93777372262773695</v>
      </c>
      <c r="AL111" s="26">
        <v>0.93298974428246295</v>
      </c>
      <c r="AM111" s="25">
        <v>0.99</v>
      </c>
      <c r="AN111" s="30">
        <v>1</v>
      </c>
      <c r="AO111" s="30">
        <v>1</v>
      </c>
      <c r="AP111" s="30">
        <v>1</v>
      </c>
      <c r="AQ111" s="30">
        <v>1</v>
      </c>
      <c r="AR111" s="32">
        <v>0.10526149898194399</v>
      </c>
      <c r="AS111" s="34">
        <v>2.7027027027027001E-2</v>
      </c>
      <c r="AT111" s="34">
        <v>3.8461538461538498E-2</v>
      </c>
      <c r="AU111" s="34">
        <v>1.38888888888889E-2</v>
      </c>
      <c r="AV111" s="34">
        <v>2.4495677233429401E-2</v>
      </c>
      <c r="AW111" s="10"/>
      <c r="AX111" s="8"/>
    </row>
    <row r="112" spans="1:50">
      <c r="A112" s="7"/>
      <c r="B112" s="10"/>
      <c r="C112" s="45" t="s">
        <v>127</v>
      </c>
      <c r="D112" s="23" t="s">
        <v>11</v>
      </c>
      <c r="E112" s="46" t="s">
        <v>160</v>
      </c>
      <c r="F112" s="46" t="s">
        <v>160</v>
      </c>
      <c r="G112" s="46" t="s">
        <v>160</v>
      </c>
      <c r="H112" s="46" t="s">
        <v>160</v>
      </c>
      <c r="I112" s="25">
        <v>0.9</v>
      </c>
      <c r="J112" s="26">
        <v>0</v>
      </c>
      <c r="K112" s="26">
        <v>0</v>
      </c>
      <c r="L112" s="27">
        <v>0</v>
      </c>
      <c r="M112" s="26">
        <v>0</v>
      </c>
      <c r="N112" s="28">
        <v>0.9</v>
      </c>
      <c r="O112" s="26">
        <v>0</v>
      </c>
      <c r="P112" s="26">
        <v>0.66666666666666696</v>
      </c>
      <c r="Q112" s="26">
        <v>0</v>
      </c>
      <c r="R112" s="26">
        <v>0.28571428571428598</v>
      </c>
      <c r="S112" s="28">
        <v>0.9</v>
      </c>
      <c r="T112" s="26">
        <v>0</v>
      </c>
      <c r="U112" s="26">
        <v>1</v>
      </c>
      <c r="V112" s="26">
        <v>1</v>
      </c>
      <c r="W112" s="26">
        <v>1</v>
      </c>
      <c r="X112" s="28">
        <v>0.92</v>
      </c>
      <c r="Y112" s="28">
        <v>0</v>
      </c>
      <c r="Z112" s="28">
        <v>0</v>
      </c>
      <c r="AA112" s="28">
        <v>0</v>
      </c>
      <c r="AB112" s="28">
        <v>0</v>
      </c>
      <c r="AC112" s="28">
        <v>0.92</v>
      </c>
      <c r="AD112" s="26">
        <v>0.98753638331218796</v>
      </c>
      <c r="AE112" s="26">
        <v>0.75225136396503001</v>
      </c>
      <c r="AF112" s="26">
        <v>0.98452420151465303</v>
      </c>
      <c r="AG112" s="26">
        <v>0.93850718272898603</v>
      </c>
      <c r="AH112" s="28">
        <v>0.92</v>
      </c>
      <c r="AI112" s="26">
        <v>0</v>
      </c>
      <c r="AJ112" s="26">
        <v>1</v>
      </c>
      <c r="AK112" s="26">
        <v>1</v>
      </c>
      <c r="AL112" s="26">
        <v>1</v>
      </c>
      <c r="AM112" s="25">
        <v>0.99</v>
      </c>
      <c r="AN112" s="30">
        <v>1</v>
      </c>
      <c r="AO112" s="30">
        <v>0</v>
      </c>
      <c r="AP112" s="30">
        <v>0</v>
      </c>
      <c r="AQ112" s="30">
        <v>1</v>
      </c>
      <c r="AR112" s="32">
        <v>0.10526149898194399</v>
      </c>
      <c r="AS112" s="34">
        <v>0</v>
      </c>
      <c r="AT112" s="34">
        <v>0</v>
      </c>
      <c r="AU112" s="34">
        <v>0</v>
      </c>
      <c r="AV112" s="34">
        <v>0</v>
      </c>
      <c r="AW112" s="10"/>
      <c r="AX112" s="8"/>
    </row>
    <row r="113" spans="1:50">
      <c r="A113" s="7"/>
      <c r="B113" s="10"/>
      <c r="C113" s="45" t="s">
        <v>127</v>
      </c>
      <c r="D113" s="23" t="s">
        <v>11</v>
      </c>
      <c r="E113" s="46" t="s">
        <v>161</v>
      </c>
      <c r="F113" s="46" t="s">
        <v>161</v>
      </c>
      <c r="G113" s="46" t="s">
        <v>161</v>
      </c>
      <c r="H113" s="46" t="s">
        <v>161</v>
      </c>
      <c r="I113" s="25">
        <v>0.9</v>
      </c>
      <c r="J113" s="26">
        <v>0.96</v>
      </c>
      <c r="K113" s="26">
        <v>0.91891891891891897</v>
      </c>
      <c r="L113" s="27">
        <v>0.87837837837837796</v>
      </c>
      <c r="M113" s="26">
        <v>0.86842105263157898</v>
      </c>
      <c r="N113" s="28">
        <v>0.9</v>
      </c>
      <c r="O113" s="26">
        <v>0.93018626475188404</v>
      </c>
      <c r="P113" s="26">
        <v>0.94847972972973005</v>
      </c>
      <c r="Q113" s="26">
        <v>0.95792497465359905</v>
      </c>
      <c r="R113" s="26">
        <v>0.93602334729095304</v>
      </c>
      <c r="S113" s="28">
        <v>0.9</v>
      </c>
      <c r="T113" s="26">
        <v>0.86023034267026899</v>
      </c>
      <c r="U113" s="26">
        <v>0.86317567567567599</v>
      </c>
      <c r="V113" s="26">
        <v>0.89185535653937098</v>
      </c>
      <c r="W113" s="26">
        <v>0.853470371780231</v>
      </c>
      <c r="X113" s="28">
        <v>0.92</v>
      </c>
      <c r="Y113" s="28">
        <v>0.88835198372329605</v>
      </c>
      <c r="Z113" s="28">
        <v>0.90389344262295102</v>
      </c>
      <c r="AA113" s="28">
        <v>0.91453893226419103</v>
      </c>
      <c r="AB113" s="28">
        <v>0.88840446046784605</v>
      </c>
      <c r="AC113" s="28">
        <v>0.92</v>
      </c>
      <c r="AD113" s="26">
        <v>0.99808849159498503</v>
      </c>
      <c r="AE113" s="26">
        <v>0.936497229583233</v>
      </c>
      <c r="AF113" s="26">
        <v>0.97853368560105702</v>
      </c>
      <c r="AG113" s="26">
        <v>0.96906016530118699</v>
      </c>
      <c r="AH113" s="28">
        <v>0.92</v>
      </c>
      <c r="AI113" s="26">
        <v>0.92769216741132499</v>
      </c>
      <c r="AJ113" s="26">
        <v>0.94463851761846895</v>
      </c>
      <c r="AK113" s="26">
        <v>0.94708200412835397</v>
      </c>
      <c r="AL113" s="26">
        <v>0.92778453903175295</v>
      </c>
      <c r="AM113" s="25">
        <v>0.99</v>
      </c>
      <c r="AN113" s="30">
        <v>1</v>
      </c>
      <c r="AO113" s="30">
        <v>1</v>
      </c>
      <c r="AP113" s="30">
        <v>1</v>
      </c>
      <c r="AQ113" s="30">
        <v>1</v>
      </c>
      <c r="AR113" s="32">
        <v>0.10526149898194399</v>
      </c>
      <c r="AS113" s="34">
        <v>0</v>
      </c>
      <c r="AT113" s="34">
        <v>0.28571428571428598</v>
      </c>
      <c r="AU113" s="34">
        <v>0.105263157894737</v>
      </c>
      <c r="AV113" s="34">
        <v>9.00900900900901E-2</v>
      </c>
      <c r="AW113" s="10"/>
      <c r="AX113" s="8"/>
    </row>
    <row r="114" spans="1:50">
      <c r="A114" s="7"/>
      <c r="B114" s="10"/>
      <c r="C114" s="45" t="s">
        <v>127</v>
      </c>
      <c r="D114" s="23" t="s">
        <v>11</v>
      </c>
      <c r="E114" s="46" t="s">
        <v>162</v>
      </c>
      <c r="F114" s="46" t="s">
        <v>162</v>
      </c>
      <c r="G114" s="46" t="s">
        <v>162</v>
      </c>
      <c r="H114" s="46" t="s">
        <v>162</v>
      </c>
      <c r="I114" s="25">
        <v>0.9</v>
      </c>
      <c r="J114" s="26">
        <v>0.919191919191919</v>
      </c>
      <c r="K114" s="26">
        <v>0.89215686274509798</v>
      </c>
      <c r="L114" s="27">
        <v>0.91208791208791196</v>
      </c>
      <c r="M114" s="26">
        <v>0.88277087033747803</v>
      </c>
      <c r="N114" s="28">
        <v>0.9</v>
      </c>
      <c r="O114" s="26">
        <v>0.702380952380952</v>
      </c>
      <c r="P114" s="26">
        <v>0.78154034229828895</v>
      </c>
      <c r="Q114" s="26">
        <v>0.74328285295554497</v>
      </c>
      <c r="R114" s="26">
        <v>0.73030637254901998</v>
      </c>
      <c r="S114" s="28">
        <v>0.9</v>
      </c>
      <c r="T114" s="26">
        <v>0.94219505984211904</v>
      </c>
      <c r="U114" s="26">
        <v>0.93135696821515901</v>
      </c>
      <c r="V114" s="26">
        <v>0.90677414101937803</v>
      </c>
      <c r="W114" s="26">
        <v>0.92322303921568605</v>
      </c>
      <c r="X114" s="28">
        <v>0.92</v>
      </c>
      <c r="Y114" s="28">
        <v>0.96610169491525399</v>
      </c>
      <c r="Z114" s="28">
        <v>0.97145598464859695</v>
      </c>
      <c r="AA114" s="28">
        <v>0.96866141732283495</v>
      </c>
      <c r="AB114" s="28">
        <v>0.97031078610603305</v>
      </c>
      <c r="AC114" s="28">
        <v>0.92</v>
      </c>
      <c r="AD114" s="26">
        <v>0.976204600883264</v>
      </c>
      <c r="AE114" s="26">
        <v>0.94344389148509999</v>
      </c>
      <c r="AF114" s="26">
        <v>0.96376544135457198</v>
      </c>
      <c r="AG114" s="26">
        <v>0.96621017723967195</v>
      </c>
      <c r="AH114" s="28">
        <v>0.92</v>
      </c>
      <c r="AI114" s="26">
        <v>0.97682606176745801</v>
      </c>
      <c r="AJ114" s="26">
        <v>0.98121913705172803</v>
      </c>
      <c r="AK114" s="26">
        <v>0.98090333655187201</v>
      </c>
      <c r="AL114" s="26">
        <v>0.97848445828103903</v>
      </c>
      <c r="AM114" s="25">
        <v>0.99</v>
      </c>
      <c r="AN114" s="30">
        <v>1</v>
      </c>
      <c r="AO114" s="30">
        <v>1</v>
      </c>
      <c r="AP114" s="30">
        <v>1</v>
      </c>
      <c r="AQ114" s="30">
        <v>1</v>
      </c>
      <c r="AR114" s="32">
        <v>0.10526149898194399</v>
      </c>
      <c r="AS114" s="34">
        <v>0</v>
      </c>
      <c r="AT114" s="34">
        <v>0</v>
      </c>
      <c r="AU114" s="34">
        <v>9.375E-2</v>
      </c>
      <c r="AV114" s="34">
        <v>3.7634408602150497E-2</v>
      </c>
      <c r="AW114" s="10"/>
      <c r="AX114" s="8"/>
    </row>
    <row r="115" spans="1:50">
      <c r="A115" s="7"/>
      <c r="B115" s="10"/>
      <c r="C115" s="45" t="s">
        <v>127</v>
      </c>
      <c r="D115" s="23" t="s">
        <v>11</v>
      </c>
      <c r="E115" s="46" t="s">
        <v>163</v>
      </c>
      <c r="F115" s="46" t="s">
        <v>163</v>
      </c>
      <c r="G115" s="46" t="s">
        <v>163</v>
      </c>
      <c r="H115" s="46" t="s">
        <v>163</v>
      </c>
      <c r="I115" s="25">
        <v>0.9</v>
      </c>
      <c r="J115" s="26">
        <v>0.85227272727272696</v>
      </c>
      <c r="K115" s="26">
        <v>0.84705882352941197</v>
      </c>
      <c r="L115" s="27">
        <v>0.870588235294118</v>
      </c>
      <c r="M115" s="26">
        <v>0.85360824742268004</v>
      </c>
      <c r="N115" s="28">
        <v>0.9</v>
      </c>
      <c r="O115" s="26">
        <v>0.90948344794498603</v>
      </c>
      <c r="P115" s="26">
        <v>0.89180684981241698</v>
      </c>
      <c r="Q115" s="26">
        <v>0.93233644859813103</v>
      </c>
      <c r="R115" s="26">
        <v>0.90434022083743304</v>
      </c>
      <c r="S115" s="28">
        <v>0.9</v>
      </c>
      <c r="T115" s="26">
        <v>0.83959699344314698</v>
      </c>
      <c r="U115" s="26">
        <v>0.724313203437008</v>
      </c>
      <c r="V115" s="26">
        <v>0.855140186915888</v>
      </c>
      <c r="W115" s="26">
        <v>0.79996173608833498</v>
      </c>
      <c r="X115" s="28">
        <v>0.92</v>
      </c>
      <c r="Y115" s="28">
        <v>0.89106753812636197</v>
      </c>
      <c r="Z115" s="28">
        <v>0.92950082801040901</v>
      </c>
      <c r="AA115" s="28">
        <v>0.93798617113223903</v>
      </c>
      <c r="AB115" s="28">
        <v>0.91790129281872201</v>
      </c>
      <c r="AC115" s="28">
        <v>0.92</v>
      </c>
      <c r="AD115" s="26">
        <v>0.98070987654320996</v>
      </c>
      <c r="AE115" s="26">
        <v>0.98259441707717599</v>
      </c>
      <c r="AF115" s="26">
        <v>0.88573743922204196</v>
      </c>
      <c r="AG115" s="26">
        <v>0.96810685566307797</v>
      </c>
      <c r="AH115" s="28">
        <v>0.92</v>
      </c>
      <c r="AI115" s="26">
        <v>0.93008261132379599</v>
      </c>
      <c r="AJ115" s="26">
        <v>0.95405794781495101</v>
      </c>
      <c r="AK115" s="26">
        <v>0.95992787016629899</v>
      </c>
      <c r="AL115" s="26">
        <v>0.946259256695965</v>
      </c>
      <c r="AM115" s="25">
        <v>0.99</v>
      </c>
      <c r="AN115" s="30">
        <v>1</v>
      </c>
      <c r="AO115" s="30">
        <v>1</v>
      </c>
      <c r="AP115" s="30">
        <v>1</v>
      </c>
      <c r="AQ115" s="30">
        <v>1</v>
      </c>
      <c r="AR115" s="32">
        <v>0.10526149898194399</v>
      </c>
      <c r="AS115" s="34">
        <v>0.11111111111111099</v>
      </c>
      <c r="AT115" s="34">
        <v>2.7027027027027001E-2</v>
      </c>
      <c r="AU115" s="34">
        <v>3.5714285714285698E-2</v>
      </c>
      <c r="AV115" s="34">
        <v>5.9459459459459497E-2</v>
      </c>
      <c r="AW115" s="10"/>
      <c r="AX115" s="8"/>
    </row>
    <row r="116" spans="1:50">
      <c r="A116" s="7"/>
      <c r="B116" s="10"/>
      <c r="C116" s="45" t="s">
        <v>127</v>
      </c>
      <c r="D116" s="23" t="s">
        <v>11</v>
      </c>
      <c r="E116" s="46" t="s">
        <v>164</v>
      </c>
      <c r="F116" s="46" t="s">
        <v>164</v>
      </c>
      <c r="G116" s="46" t="s">
        <v>164</v>
      </c>
      <c r="H116" s="46" t="s">
        <v>164</v>
      </c>
      <c r="I116" s="25">
        <v>0.9</v>
      </c>
      <c r="J116" s="26">
        <v>0.98969072164948502</v>
      </c>
      <c r="K116" s="26">
        <v>1</v>
      </c>
      <c r="L116" s="27">
        <v>0.96428571428571397</v>
      </c>
      <c r="M116" s="26">
        <v>0.977443609022556</v>
      </c>
      <c r="N116" s="28">
        <v>0.9</v>
      </c>
      <c r="O116" s="26">
        <v>0</v>
      </c>
      <c r="P116" s="26">
        <v>0</v>
      </c>
      <c r="Q116" s="26">
        <v>0</v>
      </c>
      <c r="R116" s="26">
        <v>0</v>
      </c>
      <c r="S116" s="28">
        <v>0.9</v>
      </c>
      <c r="T116" s="26">
        <v>0</v>
      </c>
      <c r="U116" s="26">
        <v>0</v>
      </c>
      <c r="V116" s="26">
        <v>0</v>
      </c>
      <c r="W116" s="26">
        <v>0.2</v>
      </c>
      <c r="X116" s="28">
        <v>0.92</v>
      </c>
      <c r="Y116" s="28">
        <v>0</v>
      </c>
      <c r="Z116" s="28">
        <v>0</v>
      </c>
      <c r="AA116" s="28">
        <v>0</v>
      </c>
      <c r="AB116" s="28">
        <v>0</v>
      </c>
      <c r="AC116" s="28">
        <v>0.92</v>
      </c>
      <c r="AD116" s="26">
        <v>0.998571428571429</v>
      </c>
      <c r="AE116" s="26">
        <v>0.996022727272727</v>
      </c>
      <c r="AF116" s="26">
        <v>0.99672846237731705</v>
      </c>
      <c r="AG116" s="26">
        <v>0.99626332564018005</v>
      </c>
      <c r="AH116" s="28">
        <v>0.92</v>
      </c>
      <c r="AI116" s="26">
        <v>0.96485934001752205</v>
      </c>
      <c r="AJ116" s="26">
        <v>0.97348451031157901</v>
      </c>
      <c r="AK116" s="26">
        <v>0.97862539156071504</v>
      </c>
      <c r="AL116" s="26">
        <v>0.97474310234501405</v>
      </c>
      <c r="AM116" s="25">
        <v>0.99</v>
      </c>
      <c r="AN116" s="30">
        <v>1</v>
      </c>
      <c r="AO116" s="30">
        <v>1</v>
      </c>
      <c r="AP116" s="30">
        <v>1</v>
      </c>
      <c r="AQ116" s="30">
        <v>1</v>
      </c>
      <c r="AR116" s="32">
        <v>0.10526149898194399</v>
      </c>
      <c r="AS116" s="34">
        <v>4.5454545454545497E-2</v>
      </c>
      <c r="AT116" s="34">
        <v>0</v>
      </c>
      <c r="AU116" s="34">
        <v>0.23529411764705899</v>
      </c>
      <c r="AV116" s="34">
        <v>0.10126582278481</v>
      </c>
      <c r="AW116" s="10"/>
      <c r="AX116" s="8"/>
    </row>
    <row r="117" spans="1:50">
      <c r="A117" s="7"/>
      <c r="B117" s="10"/>
      <c r="C117" s="45" t="s">
        <v>127</v>
      </c>
      <c r="D117" s="23" t="s">
        <v>11</v>
      </c>
      <c r="E117" s="46" t="s">
        <v>165</v>
      </c>
      <c r="F117" s="46" t="s">
        <v>165</v>
      </c>
      <c r="G117" s="46" t="s">
        <v>165</v>
      </c>
      <c r="H117" s="46" t="s">
        <v>165</v>
      </c>
      <c r="I117" s="25">
        <v>0.9</v>
      </c>
      <c r="J117" s="26">
        <v>0.92857142857142905</v>
      </c>
      <c r="K117" s="26">
        <v>0.94957983193277296</v>
      </c>
      <c r="L117" s="27">
        <v>0.93814432989690699</v>
      </c>
      <c r="M117" s="26">
        <v>0.93040847201210297</v>
      </c>
      <c r="N117" s="28">
        <v>0.9</v>
      </c>
      <c r="O117" s="26">
        <v>0</v>
      </c>
      <c r="P117" s="26">
        <v>0</v>
      </c>
      <c r="Q117" s="26">
        <v>0</v>
      </c>
      <c r="R117" s="26">
        <v>0</v>
      </c>
      <c r="S117" s="28">
        <v>0.9</v>
      </c>
      <c r="T117" s="26">
        <v>0</v>
      </c>
      <c r="U117" s="26">
        <v>0</v>
      </c>
      <c r="V117" s="26">
        <v>0</v>
      </c>
      <c r="W117" s="26">
        <v>0</v>
      </c>
      <c r="X117" s="28">
        <v>0.92</v>
      </c>
      <c r="Y117" s="28">
        <v>0</v>
      </c>
      <c r="Z117" s="28">
        <v>0</v>
      </c>
      <c r="AA117" s="28">
        <v>0</v>
      </c>
      <c r="AB117" s="28">
        <v>0</v>
      </c>
      <c r="AC117" s="28">
        <v>0.92</v>
      </c>
      <c r="AD117" s="26">
        <v>0.98540145985401495</v>
      </c>
      <c r="AE117" s="26">
        <v>0.805633802816901</v>
      </c>
      <c r="AF117" s="26">
        <v>0.95686274509803904</v>
      </c>
      <c r="AG117" s="26">
        <v>0.91361437456807204</v>
      </c>
      <c r="AH117" s="28">
        <v>0.92</v>
      </c>
      <c r="AI117" s="26">
        <v>0.96914563595204195</v>
      </c>
      <c r="AJ117" s="26">
        <v>0.97398085237801102</v>
      </c>
      <c r="AK117" s="26">
        <v>0.97275248817099003</v>
      </c>
      <c r="AL117" s="26">
        <v>0.97520143815607796</v>
      </c>
      <c r="AM117" s="25">
        <v>0.99</v>
      </c>
      <c r="AN117" s="30">
        <v>1</v>
      </c>
      <c r="AO117" s="30">
        <v>1</v>
      </c>
      <c r="AP117" s="30">
        <v>1</v>
      </c>
      <c r="AQ117" s="30">
        <v>1</v>
      </c>
      <c r="AR117" s="32">
        <v>0.10526149898194399</v>
      </c>
      <c r="AS117" s="34">
        <v>-0.18181818181818199</v>
      </c>
      <c r="AT117" s="34">
        <v>0</v>
      </c>
      <c r="AU117" s="34">
        <v>0</v>
      </c>
      <c r="AV117" s="34">
        <v>1.5384615384615399E-2</v>
      </c>
      <c r="AW117" s="10"/>
      <c r="AX117" s="8"/>
    </row>
    <row r="118" spans="1:50">
      <c r="A118" s="7"/>
      <c r="B118" s="10"/>
      <c r="C118" s="45" t="s">
        <v>127</v>
      </c>
      <c r="D118" s="23" t="s">
        <v>11</v>
      </c>
      <c r="E118" s="46" t="s">
        <v>166</v>
      </c>
      <c r="F118" s="46" t="s">
        <v>166</v>
      </c>
      <c r="G118" s="46" t="s">
        <v>166</v>
      </c>
      <c r="H118" s="46" t="s">
        <v>166</v>
      </c>
      <c r="I118" s="25">
        <v>0.9</v>
      </c>
      <c r="J118" s="26">
        <v>0.97499999999999998</v>
      </c>
      <c r="K118" s="26">
        <v>0.95121951219512202</v>
      </c>
      <c r="L118" s="27">
        <v>0.98591549295774605</v>
      </c>
      <c r="M118" s="26">
        <v>0.96739130434782605</v>
      </c>
      <c r="N118" s="28">
        <v>0.9</v>
      </c>
      <c r="O118" s="26">
        <v>0</v>
      </c>
      <c r="P118" s="26">
        <v>0</v>
      </c>
      <c r="Q118" s="26">
        <v>0</v>
      </c>
      <c r="R118" s="26">
        <v>0</v>
      </c>
      <c r="S118" s="28">
        <v>0.9</v>
      </c>
      <c r="T118" s="26">
        <v>0</v>
      </c>
      <c r="U118" s="26">
        <v>0</v>
      </c>
      <c r="V118" s="26">
        <v>0</v>
      </c>
      <c r="W118" s="26">
        <v>0</v>
      </c>
      <c r="X118" s="28">
        <v>0.92</v>
      </c>
      <c r="Y118" s="28">
        <v>0</v>
      </c>
      <c r="Z118" s="28">
        <v>0</v>
      </c>
      <c r="AA118" s="28">
        <v>0</v>
      </c>
      <c r="AB118" s="28">
        <v>0</v>
      </c>
      <c r="AC118" s="28">
        <v>0.92</v>
      </c>
      <c r="AD118" s="26">
        <v>1</v>
      </c>
      <c r="AE118" s="26">
        <v>1</v>
      </c>
      <c r="AF118" s="26">
        <v>0.99019607843137303</v>
      </c>
      <c r="AG118" s="26">
        <v>0.99620853080568705</v>
      </c>
      <c r="AH118" s="28">
        <v>0.92</v>
      </c>
      <c r="AI118" s="26">
        <v>0.95238520636055002</v>
      </c>
      <c r="AJ118" s="26">
        <v>0.97306017099532205</v>
      </c>
      <c r="AK118" s="26">
        <v>0.97280334728033502</v>
      </c>
      <c r="AL118" s="26">
        <v>0.96932889531742805</v>
      </c>
      <c r="AM118" s="25">
        <v>0.99</v>
      </c>
      <c r="AN118" s="30">
        <v>1</v>
      </c>
      <c r="AO118" s="30">
        <v>1</v>
      </c>
      <c r="AP118" s="30">
        <v>1</v>
      </c>
      <c r="AQ118" s="30">
        <v>1</v>
      </c>
      <c r="AR118" s="32">
        <v>0.10526149898194399</v>
      </c>
      <c r="AS118" s="34">
        <v>6.25E-2</v>
      </c>
      <c r="AT118" s="34">
        <v>0</v>
      </c>
      <c r="AU118" s="34">
        <v>0.15384615384615399</v>
      </c>
      <c r="AV118" s="34">
        <v>8.7999999999999995E-2</v>
      </c>
      <c r="AW118" s="10"/>
      <c r="AX118" s="8"/>
    </row>
    <row r="119" spans="1:50">
      <c r="A119" s="7"/>
      <c r="B119" s="10"/>
      <c r="C119" s="45" t="s">
        <v>127</v>
      </c>
      <c r="D119" s="23" t="s">
        <v>11</v>
      </c>
      <c r="E119" s="46" t="s">
        <v>167</v>
      </c>
      <c r="F119" s="46" t="s">
        <v>167</v>
      </c>
      <c r="G119" s="46" t="s">
        <v>167</v>
      </c>
      <c r="H119" s="46" t="s">
        <v>167</v>
      </c>
      <c r="I119" s="25">
        <v>0.9</v>
      </c>
      <c r="J119" s="26">
        <v>0.91208791208791196</v>
      </c>
      <c r="K119" s="26">
        <v>0.91836734693877597</v>
      </c>
      <c r="L119" s="27">
        <v>0.96153846153846201</v>
      </c>
      <c r="M119" s="26">
        <v>0.92633517495395901</v>
      </c>
      <c r="N119" s="28">
        <v>0.9</v>
      </c>
      <c r="O119" s="26">
        <v>0</v>
      </c>
      <c r="P119" s="26">
        <v>0</v>
      </c>
      <c r="Q119" s="26">
        <v>0</v>
      </c>
      <c r="R119" s="26">
        <v>0</v>
      </c>
      <c r="S119" s="28">
        <v>0.9</v>
      </c>
      <c r="T119" s="26">
        <v>0</v>
      </c>
      <c r="U119" s="26">
        <v>0</v>
      </c>
      <c r="V119" s="26">
        <v>0</v>
      </c>
      <c r="W119" s="26">
        <v>0</v>
      </c>
      <c r="X119" s="28">
        <v>0.92</v>
      </c>
      <c r="Y119" s="28">
        <v>0</v>
      </c>
      <c r="Z119" s="28">
        <v>0</v>
      </c>
      <c r="AA119" s="28">
        <v>0</v>
      </c>
      <c r="AB119" s="28">
        <v>0</v>
      </c>
      <c r="AC119" s="28">
        <v>0.92</v>
      </c>
      <c r="AD119" s="26">
        <v>0.95121951219512202</v>
      </c>
      <c r="AE119" s="26">
        <v>0.940119760479042</v>
      </c>
      <c r="AF119" s="26">
        <v>0.94764397905759201</v>
      </c>
      <c r="AG119" s="26">
        <v>0.941818181818182</v>
      </c>
      <c r="AH119" s="28">
        <v>0.92</v>
      </c>
      <c r="AI119" s="26">
        <v>0.95912322274881501</v>
      </c>
      <c r="AJ119" s="26">
        <v>0.97882226789384297</v>
      </c>
      <c r="AK119" s="26">
        <v>0.96864589457182004</v>
      </c>
      <c r="AL119" s="26">
        <v>0.97111755061577798</v>
      </c>
      <c r="AM119" s="25">
        <v>0.99</v>
      </c>
      <c r="AN119" s="30">
        <v>1</v>
      </c>
      <c r="AO119" s="30">
        <v>1</v>
      </c>
      <c r="AP119" s="30">
        <v>1</v>
      </c>
      <c r="AQ119" s="30">
        <v>1</v>
      </c>
      <c r="AR119" s="32">
        <v>0.10526149898194399</v>
      </c>
      <c r="AS119" s="34">
        <v>0</v>
      </c>
      <c r="AT119" s="34">
        <v>0</v>
      </c>
      <c r="AU119" s="34">
        <v>0.14285714285714299</v>
      </c>
      <c r="AV119" s="34">
        <v>5.1282051282051301E-2</v>
      </c>
      <c r="AW119" s="10"/>
      <c r="AX119" s="8"/>
    </row>
    <row r="120" spans="1:50">
      <c r="A120" s="7"/>
      <c r="B120" s="10"/>
      <c r="C120" s="45" t="s">
        <v>127</v>
      </c>
      <c r="D120" s="23" t="s">
        <v>11</v>
      </c>
      <c r="E120" s="46" t="s">
        <v>168</v>
      </c>
      <c r="F120" s="46" t="s">
        <v>168</v>
      </c>
      <c r="G120" s="46" t="s">
        <v>168</v>
      </c>
      <c r="H120" s="46" t="s">
        <v>168</v>
      </c>
      <c r="I120" s="25">
        <v>0.9</v>
      </c>
      <c r="J120" s="26">
        <v>0.91836734693877597</v>
      </c>
      <c r="K120" s="26">
        <v>0.95049504950495001</v>
      </c>
      <c r="L120" s="27">
        <v>0.931506849315068</v>
      </c>
      <c r="M120" s="26">
        <v>0.94192377495462798</v>
      </c>
      <c r="N120" s="28">
        <v>0.9</v>
      </c>
      <c r="O120" s="26">
        <v>0</v>
      </c>
      <c r="P120" s="26">
        <v>0</v>
      </c>
      <c r="Q120" s="26">
        <v>0</v>
      </c>
      <c r="R120" s="26">
        <v>0</v>
      </c>
      <c r="S120" s="28">
        <v>0.9</v>
      </c>
      <c r="T120" s="26">
        <v>0</v>
      </c>
      <c r="U120" s="26">
        <v>0</v>
      </c>
      <c r="V120" s="26">
        <v>0</v>
      </c>
      <c r="W120" s="26">
        <v>0</v>
      </c>
      <c r="X120" s="28">
        <v>0.92</v>
      </c>
      <c r="Y120" s="28">
        <v>0</v>
      </c>
      <c r="Z120" s="28">
        <v>0</v>
      </c>
      <c r="AA120" s="28">
        <v>0</v>
      </c>
      <c r="AB120" s="28">
        <v>0</v>
      </c>
      <c r="AC120" s="28">
        <v>0.92</v>
      </c>
      <c r="AD120" s="26">
        <v>0.98095238095238102</v>
      </c>
      <c r="AE120" s="26">
        <v>0.97058823529411797</v>
      </c>
      <c r="AF120" s="26">
        <v>0.95161290322580605</v>
      </c>
      <c r="AG120" s="26">
        <v>0.95399999999999996</v>
      </c>
      <c r="AH120" s="28">
        <v>0.92</v>
      </c>
      <c r="AI120" s="26">
        <v>0.94279786603438098</v>
      </c>
      <c r="AJ120" s="26">
        <v>0.94766790240538001</v>
      </c>
      <c r="AK120" s="26">
        <v>0.91315428347382899</v>
      </c>
      <c r="AL120" s="26">
        <v>0.94659410771251595</v>
      </c>
      <c r="AM120" s="25">
        <v>0.99</v>
      </c>
      <c r="AN120" s="30">
        <v>1</v>
      </c>
      <c r="AO120" s="30">
        <v>1</v>
      </c>
      <c r="AP120" s="30">
        <v>1</v>
      </c>
      <c r="AQ120" s="30">
        <v>1</v>
      </c>
      <c r="AR120" s="32">
        <v>0.10526149898194399</v>
      </c>
      <c r="AS120" s="34">
        <v>0.25</v>
      </c>
      <c r="AT120" s="34">
        <v>2.5000000000000001E-2</v>
      </c>
      <c r="AU120" s="34">
        <v>9.0909090909090898E-2</v>
      </c>
      <c r="AV120" s="34">
        <v>8.8709677419354802E-2</v>
      </c>
      <c r="AW120" s="10"/>
      <c r="AX120" s="8"/>
    </row>
    <row r="121" spans="1:50">
      <c r="A121" s="7"/>
      <c r="B121" s="10"/>
      <c r="C121" s="45" t="s">
        <v>127</v>
      </c>
      <c r="D121" s="23" t="s">
        <v>11</v>
      </c>
      <c r="E121" s="46" t="s">
        <v>169</v>
      </c>
      <c r="F121" s="46" t="s">
        <v>169</v>
      </c>
      <c r="G121" s="46" t="s">
        <v>169</v>
      </c>
      <c r="H121" s="46" t="s">
        <v>169</v>
      </c>
      <c r="I121" s="25">
        <v>0.9</v>
      </c>
      <c r="J121" s="26">
        <v>1</v>
      </c>
      <c r="K121" s="26">
        <v>1</v>
      </c>
      <c r="L121" s="27">
        <v>1</v>
      </c>
      <c r="M121" s="26">
        <v>0.989304812834225</v>
      </c>
      <c r="N121" s="28">
        <v>0.9</v>
      </c>
      <c r="O121" s="26">
        <v>0</v>
      </c>
      <c r="P121" s="26">
        <v>0</v>
      </c>
      <c r="Q121" s="26">
        <v>0</v>
      </c>
      <c r="R121" s="26">
        <v>0</v>
      </c>
      <c r="S121" s="28">
        <v>0.9</v>
      </c>
      <c r="T121" s="26">
        <v>0</v>
      </c>
      <c r="U121" s="26">
        <v>0</v>
      </c>
      <c r="V121" s="26">
        <v>0</v>
      </c>
      <c r="W121" s="26">
        <v>0</v>
      </c>
      <c r="X121" s="28">
        <v>0.92</v>
      </c>
      <c r="Y121" s="28">
        <v>0</v>
      </c>
      <c r="Z121" s="28">
        <v>0</v>
      </c>
      <c r="AA121" s="28">
        <v>0</v>
      </c>
      <c r="AB121" s="28">
        <v>0</v>
      </c>
      <c r="AC121" s="28">
        <v>0.92</v>
      </c>
      <c r="AD121" s="26">
        <v>0.99806949806949796</v>
      </c>
      <c r="AE121" s="26">
        <v>0.98939929328621901</v>
      </c>
      <c r="AF121" s="26">
        <v>1</v>
      </c>
      <c r="AG121" s="26">
        <v>0.99388379204892996</v>
      </c>
      <c r="AH121" s="28">
        <v>0.92</v>
      </c>
      <c r="AI121" s="26">
        <v>0.95245600210139203</v>
      </c>
      <c r="AJ121" s="26">
        <v>0.97964688572829794</v>
      </c>
      <c r="AK121" s="26">
        <v>0.97142857142857097</v>
      </c>
      <c r="AL121" s="26">
        <v>0.97411352992640599</v>
      </c>
      <c r="AM121" s="25">
        <v>0.99</v>
      </c>
      <c r="AN121" s="30">
        <v>1</v>
      </c>
      <c r="AO121" s="30">
        <v>1</v>
      </c>
      <c r="AP121" s="30">
        <v>1</v>
      </c>
      <c r="AQ121" s="30">
        <v>1</v>
      </c>
      <c r="AR121" s="32">
        <v>0.10526149898194399</v>
      </c>
      <c r="AS121" s="34">
        <v>0</v>
      </c>
      <c r="AT121" s="34">
        <v>1</v>
      </c>
      <c r="AU121" s="34">
        <v>0</v>
      </c>
      <c r="AV121" s="34">
        <v>0.238095238095238</v>
      </c>
      <c r="AW121" s="10"/>
      <c r="AX121" s="8"/>
    </row>
    <row r="122" spans="1:50">
      <c r="A122" s="7"/>
      <c r="B122" s="10"/>
      <c r="C122" s="45" t="s">
        <v>127</v>
      </c>
      <c r="D122" s="23" t="s">
        <v>11</v>
      </c>
      <c r="E122" s="46" t="s">
        <v>170</v>
      </c>
      <c r="F122" s="46" t="s">
        <v>170</v>
      </c>
      <c r="G122" s="46" t="s">
        <v>170</v>
      </c>
      <c r="H122" s="46" t="s">
        <v>170</v>
      </c>
      <c r="I122" s="25">
        <v>0.9</v>
      </c>
      <c r="J122" s="26">
        <v>1</v>
      </c>
      <c r="K122" s="26">
        <v>1</v>
      </c>
      <c r="L122" s="27">
        <v>1</v>
      </c>
      <c r="M122" s="26">
        <v>1</v>
      </c>
      <c r="N122" s="28">
        <v>0.9</v>
      </c>
      <c r="O122" s="26">
        <v>0</v>
      </c>
      <c r="P122" s="26">
        <v>0</v>
      </c>
      <c r="Q122" s="26">
        <v>0</v>
      </c>
      <c r="R122" s="26">
        <v>0</v>
      </c>
      <c r="S122" s="28">
        <v>0.9</v>
      </c>
      <c r="T122" s="26">
        <v>0</v>
      </c>
      <c r="U122" s="26">
        <v>0</v>
      </c>
      <c r="V122" s="26">
        <v>0</v>
      </c>
      <c r="W122" s="26">
        <v>0.5</v>
      </c>
      <c r="X122" s="28">
        <v>0.92</v>
      </c>
      <c r="Y122" s="28">
        <v>0</v>
      </c>
      <c r="Z122" s="28">
        <v>0</v>
      </c>
      <c r="AA122" s="28">
        <v>1</v>
      </c>
      <c r="AB122" s="28">
        <v>0.25</v>
      </c>
      <c r="AC122" s="28">
        <v>0.92</v>
      </c>
      <c r="AD122" s="26">
        <v>0.98961937716263004</v>
      </c>
      <c r="AE122" s="26">
        <v>0.98455598455598503</v>
      </c>
      <c r="AF122" s="26">
        <v>0.98316498316498302</v>
      </c>
      <c r="AG122" s="26">
        <v>0.98181818181818203</v>
      </c>
      <c r="AH122" s="28">
        <v>0.92</v>
      </c>
      <c r="AI122" s="26">
        <v>0.97119479937233799</v>
      </c>
      <c r="AJ122" s="26">
        <v>0.981065700982928</v>
      </c>
      <c r="AK122" s="26">
        <v>0.97442027253167596</v>
      </c>
      <c r="AL122" s="26">
        <v>0.98312113332735596</v>
      </c>
      <c r="AM122" s="25">
        <v>0.99</v>
      </c>
      <c r="AN122" s="30">
        <v>1</v>
      </c>
      <c r="AO122" s="30">
        <v>1</v>
      </c>
      <c r="AP122" s="30">
        <v>1</v>
      </c>
      <c r="AQ122" s="30">
        <v>1</v>
      </c>
      <c r="AR122" s="32">
        <v>0.10526149898194399</v>
      </c>
      <c r="AS122" s="34">
        <v>0</v>
      </c>
      <c r="AT122" s="34">
        <v>0</v>
      </c>
      <c r="AU122" s="34">
        <v>0.5</v>
      </c>
      <c r="AV122" s="34">
        <v>0.26785714285714302</v>
      </c>
      <c r="AW122" s="10"/>
      <c r="AX122" s="8"/>
    </row>
    <row r="123" spans="1:50">
      <c r="A123" s="7"/>
      <c r="B123" s="10"/>
      <c r="C123" s="45" t="s">
        <v>127</v>
      </c>
      <c r="D123" s="23" t="s">
        <v>11</v>
      </c>
      <c r="E123" s="46" t="s">
        <v>171</v>
      </c>
      <c r="F123" s="46" t="s">
        <v>171</v>
      </c>
      <c r="G123" s="46" t="s">
        <v>171</v>
      </c>
      <c r="H123" s="46" t="s">
        <v>171</v>
      </c>
      <c r="I123" s="25">
        <v>0.9</v>
      </c>
      <c r="J123" s="26">
        <v>0.98850574712643702</v>
      </c>
      <c r="K123" s="26">
        <v>0.98837209302325602</v>
      </c>
      <c r="L123" s="27">
        <v>0.95652173913043503</v>
      </c>
      <c r="M123" s="26">
        <v>0.97959183673469397</v>
      </c>
      <c r="N123" s="28">
        <v>0.9</v>
      </c>
      <c r="O123" s="26">
        <v>0.5</v>
      </c>
      <c r="P123" s="26">
        <v>0</v>
      </c>
      <c r="Q123" s="26">
        <v>0</v>
      </c>
      <c r="R123" s="26">
        <v>0.5</v>
      </c>
      <c r="S123" s="28">
        <v>0.9</v>
      </c>
      <c r="T123" s="26">
        <v>0</v>
      </c>
      <c r="U123" s="26">
        <v>0</v>
      </c>
      <c r="V123" s="26">
        <v>0</v>
      </c>
      <c r="W123" s="26">
        <v>0</v>
      </c>
      <c r="X123" s="28">
        <v>0.92</v>
      </c>
      <c r="Y123" s="28">
        <v>0</v>
      </c>
      <c r="Z123" s="28">
        <v>0</v>
      </c>
      <c r="AA123" s="28">
        <v>0</v>
      </c>
      <c r="AB123" s="28">
        <v>0</v>
      </c>
      <c r="AC123" s="28">
        <v>0.92</v>
      </c>
      <c r="AD123" s="26">
        <v>0.99590163934426201</v>
      </c>
      <c r="AE123" s="26">
        <v>0.99161073825503399</v>
      </c>
      <c r="AF123" s="26">
        <v>0.99784017278617698</v>
      </c>
      <c r="AG123" s="26">
        <v>0.99342311305981801</v>
      </c>
      <c r="AH123" s="28">
        <v>0.92</v>
      </c>
      <c r="AI123" s="26">
        <v>0.97358536289833997</v>
      </c>
      <c r="AJ123" s="26">
        <v>0.98369684952632697</v>
      </c>
      <c r="AK123" s="26">
        <v>0.97668886774500496</v>
      </c>
      <c r="AL123" s="26">
        <v>0.98183230179088299</v>
      </c>
      <c r="AM123" s="25">
        <v>0.99</v>
      </c>
      <c r="AN123" s="30">
        <v>1</v>
      </c>
      <c r="AO123" s="30">
        <v>1</v>
      </c>
      <c r="AP123" s="30">
        <v>1</v>
      </c>
      <c r="AQ123" s="30">
        <v>1</v>
      </c>
      <c r="AR123" s="32">
        <v>0.10526149898194399</v>
      </c>
      <c r="AS123" s="34">
        <v>0.14285714285714299</v>
      </c>
      <c r="AT123" s="34">
        <v>6.25E-2</v>
      </c>
      <c r="AU123" s="34">
        <v>0</v>
      </c>
      <c r="AV123" s="34">
        <v>0.160714285714286</v>
      </c>
      <c r="AW123" s="10"/>
      <c r="AX123" s="8"/>
    </row>
    <row r="124" spans="1:50">
      <c r="A124" s="7"/>
      <c r="B124" s="10"/>
      <c r="C124" s="45" t="s">
        <v>127</v>
      </c>
      <c r="D124" s="23" t="s">
        <v>11</v>
      </c>
      <c r="E124" s="46" t="s">
        <v>172</v>
      </c>
      <c r="F124" s="46" t="s">
        <v>172</v>
      </c>
      <c r="G124" s="46" t="s">
        <v>172</v>
      </c>
      <c r="H124" s="46" t="s">
        <v>172</v>
      </c>
      <c r="I124" s="25">
        <v>0.9</v>
      </c>
      <c r="J124" s="26">
        <v>0.98591549295774605</v>
      </c>
      <c r="K124" s="26">
        <v>1</v>
      </c>
      <c r="L124" s="27">
        <v>0.98039215686274495</v>
      </c>
      <c r="M124" s="26">
        <v>0.98971722365038595</v>
      </c>
      <c r="N124" s="28">
        <v>0.9</v>
      </c>
      <c r="O124" s="26">
        <v>0</v>
      </c>
      <c r="P124" s="26">
        <v>0</v>
      </c>
      <c r="Q124" s="26">
        <v>0</v>
      </c>
      <c r="R124" s="26">
        <v>0</v>
      </c>
      <c r="S124" s="28">
        <v>0.9</v>
      </c>
      <c r="T124" s="26">
        <v>0</v>
      </c>
      <c r="U124" s="26">
        <v>0</v>
      </c>
      <c r="V124" s="26">
        <v>0</v>
      </c>
      <c r="W124" s="26">
        <v>0</v>
      </c>
      <c r="X124" s="28">
        <v>0.92</v>
      </c>
      <c r="Y124" s="28">
        <v>0</v>
      </c>
      <c r="Z124" s="28">
        <v>0</v>
      </c>
      <c r="AA124" s="28">
        <v>0</v>
      </c>
      <c r="AB124" s="28">
        <v>0</v>
      </c>
      <c r="AC124" s="28">
        <v>0.92</v>
      </c>
      <c r="AD124" s="26">
        <v>0.97126436781609204</v>
      </c>
      <c r="AE124" s="26">
        <v>0.958456973293769</v>
      </c>
      <c r="AF124" s="26">
        <v>0.91005291005291</v>
      </c>
      <c r="AG124" s="26">
        <v>0.94902386117136694</v>
      </c>
      <c r="AH124" s="28">
        <v>0.92</v>
      </c>
      <c r="AI124" s="26">
        <v>0.94108225603477902</v>
      </c>
      <c r="AJ124" s="26">
        <v>0.95422321247721298</v>
      </c>
      <c r="AK124" s="26">
        <v>0.93617021276595702</v>
      </c>
      <c r="AL124" s="26">
        <v>0.95314227588342004</v>
      </c>
      <c r="AM124" s="25">
        <v>0.99</v>
      </c>
      <c r="AN124" s="30">
        <v>1</v>
      </c>
      <c r="AO124" s="30">
        <v>1</v>
      </c>
      <c r="AP124" s="30">
        <v>1</v>
      </c>
      <c r="AQ124" s="30">
        <v>1</v>
      </c>
      <c r="AR124" s="32">
        <v>0.10526149898194399</v>
      </c>
      <c r="AS124" s="34">
        <v>0.28571428571428598</v>
      </c>
      <c r="AT124" s="34">
        <v>0</v>
      </c>
      <c r="AU124" s="34">
        <v>0</v>
      </c>
      <c r="AV124" s="34">
        <v>0.148148148148148</v>
      </c>
      <c r="AW124" s="10"/>
      <c r="AX124" s="8"/>
    </row>
    <row r="125" spans="1:50">
      <c r="A125" s="7"/>
      <c r="B125" s="10"/>
      <c r="C125" s="45" t="s">
        <v>127</v>
      </c>
      <c r="D125" s="23" t="s">
        <v>11</v>
      </c>
      <c r="E125" s="46" t="s">
        <v>173</v>
      </c>
      <c r="F125" s="46" t="s">
        <v>173</v>
      </c>
      <c r="G125" s="46" t="s">
        <v>173</v>
      </c>
      <c r="H125" s="46" t="s">
        <v>173</v>
      </c>
      <c r="I125" s="25">
        <v>0.9</v>
      </c>
      <c r="J125" s="26">
        <v>1</v>
      </c>
      <c r="K125" s="26">
        <v>0.96666666666666701</v>
      </c>
      <c r="L125" s="27">
        <v>0.98076923076923095</v>
      </c>
      <c r="M125" s="26">
        <v>0.97994269340974205</v>
      </c>
      <c r="N125" s="28">
        <v>0.9</v>
      </c>
      <c r="O125" s="26">
        <v>1</v>
      </c>
      <c r="P125" s="26">
        <v>0</v>
      </c>
      <c r="Q125" s="26">
        <v>0</v>
      </c>
      <c r="R125" s="26">
        <v>1</v>
      </c>
      <c r="S125" s="28">
        <v>0.9</v>
      </c>
      <c r="T125" s="26">
        <v>0</v>
      </c>
      <c r="U125" s="26">
        <v>0</v>
      </c>
      <c r="V125" s="26">
        <v>0</v>
      </c>
      <c r="W125" s="26">
        <v>0</v>
      </c>
      <c r="X125" s="28">
        <v>0.92</v>
      </c>
      <c r="Y125" s="28">
        <v>0</v>
      </c>
      <c r="Z125" s="28">
        <v>0</v>
      </c>
      <c r="AA125" s="28">
        <v>0</v>
      </c>
      <c r="AB125" s="28">
        <v>0</v>
      </c>
      <c r="AC125" s="28">
        <v>0.92</v>
      </c>
      <c r="AD125" s="26">
        <v>0.98387096774193505</v>
      </c>
      <c r="AE125" s="26">
        <v>0.98</v>
      </c>
      <c r="AF125" s="26">
        <v>0.984375</v>
      </c>
      <c r="AG125" s="26">
        <v>0.98231392778187199</v>
      </c>
      <c r="AH125" s="28">
        <v>0.92</v>
      </c>
      <c r="AI125" s="26">
        <v>0.97396190215156897</v>
      </c>
      <c r="AJ125" s="26">
        <v>0.97960484384958602</v>
      </c>
      <c r="AK125" s="26">
        <v>0.978675007108331</v>
      </c>
      <c r="AL125" s="26">
        <v>0.98031699426365404</v>
      </c>
      <c r="AM125" s="25">
        <v>0.99</v>
      </c>
      <c r="AN125" s="30">
        <v>1</v>
      </c>
      <c r="AO125" s="30">
        <v>1</v>
      </c>
      <c r="AP125" s="30">
        <v>1</v>
      </c>
      <c r="AQ125" s="30">
        <v>1</v>
      </c>
      <c r="AR125" s="32">
        <v>0.10526149898194399</v>
      </c>
      <c r="AS125" s="34">
        <v>0</v>
      </c>
      <c r="AT125" s="34">
        <v>0</v>
      </c>
      <c r="AU125" s="34">
        <v>0</v>
      </c>
      <c r="AV125" s="34">
        <v>5.1282051282051301E-2</v>
      </c>
      <c r="AW125" s="10"/>
      <c r="AX125" s="8"/>
    </row>
    <row r="126" spans="1:50">
      <c r="A126" s="7"/>
      <c r="B126" s="10"/>
      <c r="C126" s="45" t="s">
        <v>127</v>
      </c>
      <c r="D126" s="23" t="s">
        <v>11</v>
      </c>
      <c r="E126" s="46" t="s">
        <v>174</v>
      </c>
      <c r="F126" s="46" t="s">
        <v>174</v>
      </c>
      <c r="G126" s="46" t="s">
        <v>174</v>
      </c>
      <c r="H126" s="46" t="s">
        <v>174</v>
      </c>
      <c r="I126" s="25">
        <v>0.9</v>
      </c>
      <c r="J126" s="26">
        <v>1</v>
      </c>
      <c r="K126" s="26">
        <v>1</v>
      </c>
      <c r="L126" s="27">
        <v>0.96875</v>
      </c>
      <c r="M126" s="26">
        <v>0.97706422018348604</v>
      </c>
      <c r="N126" s="28">
        <v>0.9</v>
      </c>
      <c r="O126" s="26">
        <v>0</v>
      </c>
      <c r="P126" s="26">
        <v>0</v>
      </c>
      <c r="Q126" s="26">
        <v>0</v>
      </c>
      <c r="R126" s="26">
        <v>0</v>
      </c>
      <c r="S126" s="28">
        <v>0.9</v>
      </c>
      <c r="T126" s="26">
        <v>0</v>
      </c>
      <c r="U126" s="26">
        <v>0</v>
      </c>
      <c r="V126" s="26">
        <v>0</v>
      </c>
      <c r="W126" s="26">
        <v>0</v>
      </c>
      <c r="X126" s="28">
        <v>0.92</v>
      </c>
      <c r="Y126" s="28">
        <v>0</v>
      </c>
      <c r="Z126" s="28">
        <v>0</v>
      </c>
      <c r="AA126" s="28">
        <v>0</v>
      </c>
      <c r="AB126" s="28">
        <v>0</v>
      </c>
      <c r="AC126" s="28">
        <v>0.92</v>
      </c>
      <c r="AD126" s="26">
        <v>1</v>
      </c>
      <c r="AE126" s="26">
        <v>0.98550724637681197</v>
      </c>
      <c r="AF126" s="26">
        <v>1</v>
      </c>
      <c r="AG126" s="26">
        <v>0.99712643678160895</v>
      </c>
      <c r="AH126" s="28">
        <v>0.92</v>
      </c>
      <c r="AI126" s="26">
        <v>0.97954271961492201</v>
      </c>
      <c r="AJ126" s="26">
        <v>0.97351435566436695</v>
      </c>
      <c r="AK126" s="26">
        <v>0.98261709319169499</v>
      </c>
      <c r="AL126" s="26">
        <v>0.98301332948366305</v>
      </c>
      <c r="AM126" s="25">
        <v>0.99</v>
      </c>
      <c r="AN126" s="30">
        <v>1</v>
      </c>
      <c r="AO126" s="30">
        <v>1</v>
      </c>
      <c r="AP126" s="30">
        <v>1</v>
      </c>
      <c r="AQ126" s="30">
        <v>1</v>
      </c>
      <c r="AR126" s="32">
        <v>0.10526149898194399</v>
      </c>
      <c r="AS126" s="34">
        <v>0</v>
      </c>
      <c r="AT126" s="34">
        <v>0</v>
      </c>
      <c r="AU126" s="34">
        <v>0</v>
      </c>
      <c r="AV126" s="34">
        <v>0</v>
      </c>
      <c r="AW126" s="10"/>
      <c r="AX126" s="8"/>
    </row>
    <row r="127" spans="1:50">
      <c r="A127" s="7"/>
      <c r="B127" s="10"/>
      <c r="C127" s="45" t="s">
        <v>127</v>
      </c>
      <c r="D127" s="23" t="s">
        <v>11</v>
      </c>
      <c r="E127" s="46" t="s">
        <v>175</v>
      </c>
      <c r="F127" s="46" t="s">
        <v>175</v>
      </c>
      <c r="G127" s="46" t="s">
        <v>175</v>
      </c>
      <c r="H127" s="46" t="s">
        <v>175</v>
      </c>
      <c r="I127" s="25">
        <v>0.9</v>
      </c>
      <c r="J127" s="26">
        <v>0.98130841121495305</v>
      </c>
      <c r="K127" s="26">
        <v>0.96551724137931005</v>
      </c>
      <c r="L127" s="27">
        <v>0.98969072164948502</v>
      </c>
      <c r="M127" s="26">
        <v>0.98245614035087703</v>
      </c>
      <c r="N127" s="28">
        <v>0.9</v>
      </c>
      <c r="O127" s="26">
        <v>0</v>
      </c>
      <c r="P127" s="26">
        <v>0</v>
      </c>
      <c r="Q127" s="26">
        <v>0</v>
      </c>
      <c r="R127" s="26">
        <v>0</v>
      </c>
      <c r="S127" s="28">
        <v>0.9</v>
      </c>
      <c r="T127" s="26">
        <v>0</v>
      </c>
      <c r="U127" s="26">
        <v>0</v>
      </c>
      <c r="V127" s="26">
        <v>0</v>
      </c>
      <c r="W127" s="26">
        <v>0</v>
      </c>
      <c r="X127" s="28">
        <v>0.92</v>
      </c>
      <c r="Y127" s="28">
        <v>0</v>
      </c>
      <c r="Z127" s="28">
        <v>0</v>
      </c>
      <c r="AA127" s="28">
        <v>0</v>
      </c>
      <c r="AB127" s="28">
        <v>0</v>
      </c>
      <c r="AC127" s="28">
        <v>0.92</v>
      </c>
      <c r="AD127" s="26">
        <v>0.98908098271155598</v>
      </c>
      <c r="AE127" s="26">
        <v>0.98604187437686897</v>
      </c>
      <c r="AF127" s="26">
        <v>0.99615975422427006</v>
      </c>
      <c r="AG127" s="26">
        <v>0.98938799244076203</v>
      </c>
      <c r="AH127" s="28">
        <v>0.92</v>
      </c>
      <c r="AI127" s="26">
        <v>0.97236180904522596</v>
      </c>
      <c r="AJ127" s="26">
        <v>0.98545666084933103</v>
      </c>
      <c r="AK127" s="26">
        <v>0.98109574654297205</v>
      </c>
      <c r="AL127" s="26">
        <v>0.98184659140785502</v>
      </c>
      <c r="AM127" s="25">
        <v>0.99</v>
      </c>
      <c r="AN127" s="30">
        <v>1</v>
      </c>
      <c r="AO127" s="30">
        <v>1</v>
      </c>
      <c r="AP127" s="30">
        <v>1</v>
      </c>
      <c r="AQ127" s="30">
        <v>1</v>
      </c>
      <c r="AR127" s="32">
        <v>0.10526149898194399</v>
      </c>
      <c r="AS127" s="34">
        <v>0</v>
      </c>
      <c r="AT127" s="34">
        <v>0</v>
      </c>
      <c r="AU127" s="34">
        <v>0.14285714285714299</v>
      </c>
      <c r="AV127" s="34">
        <v>5.4794520547945202E-2</v>
      </c>
      <c r="AW127" s="10"/>
      <c r="AX127" s="8"/>
    </row>
    <row r="128" spans="1:50">
      <c r="A128" s="7"/>
      <c r="B128" s="10"/>
      <c r="C128" s="45" t="s">
        <v>127</v>
      </c>
      <c r="D128" s="23" t="s">
        <v>11</v>
      </c>
      <c r="E128" s="46" t="s">
        <v>176</v>
      </c>
      <c r="F128" s="46" t="s">
        <v>176</v>
      </c>
      <c r="G128" s="46" t="s">
        <v>176</v>
      </c>
      <c r="H128" s="46" t="s">
        <v>176</v>
      </c>
      <c r="I128" s="25">
        <v>0.9</v>
      </c>
      <c r="J128" s="26">
        <v>1</v>
      </c>
      <c r="K128" s="26">
        <v>0.98076923076923095</v>
      </c>
      <c r="L128" s="27">
        <v>0.98</v>
      </c>
      <c r="M128" s="26">
        <v>0.98688524590163895</v>
      </c>
      <c r="N128" s="28">
        <v>0.9</v>
      </c>
      <c r="O128" s="26">
        <v>0</v>
      </c>
      <c r="P128" s="26">
        <v>1</v>
      </c>
      <c r="Q128" s="26">
        <v>1</v>
      </c>
      <c r="R128" s="26">
        <v>0.5</v>
      </c>
      <c r="S128" s="28">
        <v>0.9</v>
      </c>
      <c r="T128" s="26">
        <v>0</v>
      </c>
      <c r="U128" s="26">
        <v>0</v>
      </c>
      <c r="V128" s="26">
        <v>1</v>
      </c>
      <c r="W128" s="26">
        <v>0.25</v>
      </c>
      <c r="X128" s="28">
        <v>0.92</v>
      </c>
      <c r="Y128" s="28">
        <v>0</v>
      </c>
      <c r="Z128" s="28">
        <v>0</v>
      </c>
      <c r="AA128" s="28">
        <v>0</v>
      </c>
      <c r="AB128" s="28">
        <v>0</v>
      </c>
      <c r="AC128" s="28">
        <v>0.92</v>
      </c>
      <c r="AD128" s="26">
        <v>0.99420289855072497</v>
      </c>
      <c r="AE128" s="26">
        <v>0.93286219081272104</v>
      </c>
      <c r="AF128" s="26">
        <v>0.98245614035087703</v>
      </c>
      <c r="AG128" s="26">
        <v>0.97886690647482</v>
      </c>
      <c r="AH128" s="28">
        <v>0.92</v>
      </c>
      <c r="AI128" s="26">
        <v>0.964741437206179</v>
      </c>
      <c r="AJ128" s="26">
        <v>0.97534957474412598</v>
      </c>
      <c r="AK128" s="26">
        <v>0.96634763815992597</v>
      </c>
      <c r="AL128" s="26">
        <v>0.97096590549686901</v>
      </c>
      <c r="AM128" s="25">
        <v>0.99</v>
      </c>
      <c r="AN128" s="30">
        <v>1</v>
      </c>
      <c r="AO128" s="30">
        <v>1</v>
      </c>
      <c r="AP128" s="30">
        <v>0</v>
      </c>
      <c r="AQ128" s="30">
        <v>1</v>
      </c>
      <c r="AR128" s="32">
        <v>0.10526149898194399</v>
      </c>
      <c r="AS128" s="34">
        <v>0</v>
      </c>
      <c r="AT128" s="34">
        <v>0</v>
      </c>
      <c r="AU128" s="34">
        <v>0</v>
      </c>
      <c r="AV128" s="34">
        <v>3.5087719298245598E-2</v>
      </c>
      <c r="AW128" s="10"/>
      <c r="AX128" s="8"/>
    </row>
    <row r="129" spans="1:50">
      <c r="A129" s="7"/>
      <c r="B129" s="10"/>
      <c r="C129" s="45" t="s">
        <v>127</v>
      </c>
      <c r="D129" s="23" t="s">
        <v>11</v>
      </c>
      <c r="E129" s="46" t="s">
        <v>177</v>
      </c>
      <c r="F129" s="46" t="s">
        <v>177</v>
      </c>
      <c r="G129" s="46" t="s">
        <v>177</v>
      </c>
      <c r="H129" s="46" t="s">
        <v>177</v>
      </c>
      <c r="I129" s="25">
        <v>0.9</v>
      </c>
      <c r="J129" s="26">
        <v>1</v>
      </c>
      <c r="K129" s="26">
        <v>1</v>
      </c>
      <c r="L129" s="27">
        <v>1</v>
      </c>
      <c r="M129" s="26">
        <v>0.99702380952380998</v>
      </c>
      <c r="N129" s="28">
        <v>0.9</v>
      </c>
      <c r="O129" s="26">
        <v>0</v>
      </c>
      <c r="P129" s="26">
        <v>0</v>
      </c>
      <c r="Q129" s="26">
        <v>0</v>
      </c>
      <c r="R129" s="26">
        <v>0.5</v>
      </c>
      <c r="S129" s="28">
        <v>0.9</v>
      </c>
      <c r="T129" s="26">
        <v>0</v>
      </c>
      <c r="U129" s="26">
        <v>0</v>
      </c>
      <c r="V129" s="26">
        <v>0</v>
      </c>
      <c r="W129" s="26">
        <v>0</v>
      </c>
      <c r="X129" s="28">
        <v>0.92</v>
      </c>
      <c r="Y129" s="28">
        <v>0</v>
      </c>
      <c r="Z129" s="28">
        <v>0</v>
      </c>
      <c r="AA129" s="28">
        <v>0</v>
      </c>
      <c r="AB129" s="28">
        <v>0</v>
      </c>
      <c r="AC129" s="28">
        <v>0.92</v>
      </c>
      <c r="AD129" s="26">
        <v>1</v>
      </c>
      <c r="AE129" s="26">
        <v>0.99219620958751398</v>
      </c>
      <c r="AF129" s="26">
        <v>0.99221789883268496</v>
      </c>
      <c r="AG129" s="26">
        <v>0.99515695067264598</v>
      </c>
      <c r="AH129" s="28">
        <v>0.92</v>
      </c>
      <c r="AI129" s="26">
        <v>0.97973340587595203</v>
      </c>
      <c r="AJ129" s="26">
        <v>0.98459032823853698</v>
      </c>
      <c r="AK129" s="26">
        <v>0.98461946433306802</v>
      </c>
      <c r="AL129" s="26">
        <v>0.98451173236273504</v>
      </c>
      <c r="AM129" s="25">
        <v>0.99</v>
      </c>
      <c r="AN129" s="30">
        <v>1</v>
      </c>
      <c r="AO129" s="30">
        <v>1</v>
      </c>
      <c r="AP129" s="30">
        <v>1</v>
      </c>
      <c r="AQ129" s="30">
        <v>1</v>
      </c>
      <c r="AR129" s="32">
        <v>0.10526149898194399</v>
      </c>
      <c r="AS129" s="34">
        <v>0</v>
      </c>
      <c r="AT129" s="34">
        <v>0</v>
      </c>
      <c r="AU129" s="34">
        <v>0</v>
      </c>
      <c r="AV129" s="34">
        <v>3.3333333333333298E-2</v>
      </c>
      <c r="AW129" s="10"/>
      <c r="AX129" s="8"/>
    </row>
    <row r="130" spans="1:50">
      <c r="A130" s="7"/>
      <c r="B130" s="10"/>
      <c r="C130" s="45" t="s">
        <v>127</v>
      </c>
      <c r="D130" s="23" t="s">
        <v>11</v>
      </c>
      <c r="E130" s="46" t="s">
        <v>178</v>
      </c>
      <c r="F130" s="46" t="s">
        <v>178</v>
      </c>
      <c r="G130" s="46" t="s">
        <v>178</v>
      </c>
      <c r="H130" s="46" t="s">
        <v>178</v>
      </c>
      <c r="I130" s="25">
        <v>0.9</v>
      </c>
      <c r="J130" s="26">
        <v>1</v>
      </c>
      <c r="K130" s="26">
        <v>0.96923076923076901</v>
      </c>
      <c r="L130" s="27">
        <v>1</v>
      </c>
      <c r="M130" s="26">
        <v>0.99445983379501401</v>
      </c>
      <c r="N130" s="28">
        <v>0.9</v>
      </c>
      <c r="O130" s="26">
        <v>0</v>
      </c>
      <c r="P130" s="26">
        <v>0</v>
      </c>
      <c r="Q130" s="26">
        <v>0</v>
      </c>
      <c r="R130" s="26">
        <v>0</v>
      </c>
      <c r="S130" s="28">
        <v>0.9</v>
      </c>
      <c r="T130" s="26">
        <v>0</v>
      </c>
      <c r="U130" s="26">
        <v>1</v>
      </c>
      <c r="V130" s="26">
        <v>0</v>
      </c>
      <c r="W130" s="26">
        <v>0.5</v>
      </c>
      <c r="X130" s="28">
        <v>0.92</v>
      </c>
      <c r="Y130" s="28">
        <v>0</v>
      </c>
      <c r="Z130" s="28">
        <v>0</v>
      </c>
      <c r="AA130" s="28">
        <v>0</v>
      </c>
      <c r="AB130" s="28">
        <v>0</v>
      </c>
      <c r="AC130" s="28">
        <v>0.92</v>
      </c>
      <c r="AD130" s="26">
        <v>0.99465240641711195</v>
      </c>
      <c r="AE130" s="26">
        <v>0.98325123152709404</v>
      </c>
      <c r="AF130" s="26">
        <v>0.99483870967741905</v>
      </c>
      <c r="AG130" s="26">
        <v>0.99158699808795403</v>
      </c>
      <c r="AH130" s="28">
        <v>0.92</v>
      </c>
      <c r="AI130" s="26">
        <v>0.97579560735096404</v>
      </c>
      <c r="AJ130" s="26">
        <v>0.98439831773165098</v>
      </c>
      <c r="AK130" s="26">
        <v>0.97801875732708099</v>
      </c>
      <c r="AL130" s="26">
        <v>0.98283908745687998</v>
      </c>
      <c r="AM130" s="25">
        <v>0.99</v>
      </c>
      <c r="AN130" s="30">
        <v>1</v>
      </c>
      <c r="AO130" s="30">
        <v>1</v>
      </c>
      <c r="AP130" s="30">
        <v>1</v>
      </c>
      <c r="AQ130" s="30">
        <v>1</v>
      </c>
      <c r="AR130" s="32">
        <v>0.10526149898194399</v>
      </c>
      <c r="AS130" s="34">
        <v>0</v>
      </c>
      <c r="AT130" s="34">
        <v>0.125</v>
      </c>
      <c r="AU130" s="34">
        <v>0</v>
      </c>
      <c r="AV130" s="34">
        <v>8.3333333333333301E-2</v>
      </c>
      <c r="AW130" s="10"/>
      <c r="AX130" s="8"/>
    </row>
    <row r="131" spans="1:50">
      <c r="A131" s="7"/>
      <c r="B131" s="10"/>
      <c r="C131" s="45" t="s">
        <v>127</v>
      </c>
      <c r="D131" s="23" t="s">
        <v>11</v>
      </c>
      <c r="E131" s="46" t="s">
        <v>179</v>
      </c>
      <c r="F131" s="46" t="s">
        <v>179</v>
      </c>
      <c r="G131" s="46" t="s">
        <v>179</v>
      </c>
      <c r="H131" s="46" t="s">
        <v>179</v>
      </c>
      <c r="I131" s="25">
        <v>0.9</v>
      </c>
      <c r="J131" s="26">
        <v>1</v>
      </c>
      <c r="K131" s="26">
        <v>1</v>
      </c>
      <c r="L131" s="27">
        <v>0.97916666666666696</v>
      </c>
      <c r="M131" s="26">
        <v>0.994285714285714</v>
      </c>
      <c r="N131" s="28">
        <v>0.9</v>
      </c>
      <c r="O131" s="26">
        <v>0</v>
      </c>
      <c r="P131" s="26">
        <v>0</v>
      </c>
      <c r="Q131" s="26">
        <v>0</v>
      </c>
      <c r="R131" s="26">
        <v>1</v>
      </c>
      <c r="S131" s="28">
        <v>0.9</v>
      </c>
      <c r="T131" s="26">
        <v>0</v>
      </c>
      <c r="U131" s="26">
        <v>0</v>
      </c>
      <c r="V131" s="26">
        <v>0</v>
      </c>
      <c r="W131" s="26">
        <v>1</v>
      </c>
      <c r="X131" s="28">
        <v>0.92</v>
      </c>
      <c r="Y131" s="28">
        <v>0</v>
      </c>
      <c r="Z131" s="28">
        <v>0</v>
      </c>
      <c r="AA131" s="28">
        <v>0</v>
      </c>
      <c r="AB131" s="28">
        <v>0</v>
      </c>
      <c r="AC131" s="28">
        <v>0.92</v>
      </c>
      <c r="AD131" s="26">
        <v>0.997214484679666</v>
      </c>
      <c r="AE131" s="26">
        <v>0.94915254237288105</v>
      </c>
      <c r="AF131" s="26">
        <v>0.96952908587257602</v>
      </c>
      <c r="AG131" s="26">
        <v>0.97490656700480505</v>
      </c>
      <c r="AH131" s="28">
        <v>0.92</v>
      </c>
      <c r="AI131" s="26">
        <v>0.96435213887166804</v>
      </c>
      <c r="AJ131" s="26">
        <v>0.96855785354946899</v>
      </c>
      <c r="AK131" s="26">
        <v>0.95734597156398105</v>
      </c>
      <c r="AL131" s="26">
        <v>0.96804590758079101</v>
      </c>
      <c r="AM131" s="25">
        <v>0.99</v>
      </c>
      <c r="AN131" s="30">
        <v>1</v>
      </c>
      <c r="AO131" s="30">
        <v>1</v>
      </c>
      <c r="AP131" s="30">
        <v>1</v>
      </c>
      <c r="AQ131" s="30">
        <v>1</v>
      </c>
      <c r="AR131" s="32">
        <v>0.10526149898194399</v>
      </c>
      <c r="AS131" s="34">
        <v>0.4</v>
      </c>
      <c r="AT131" s="34">
        <v>0.16666666666666699</v>
      </c>
      <c r="AU131" s="34">
        <v>0</v>
      </c>
      <c r="AV131" s="34">
        <v>0.13636363636363599</v>
      </c>
      <c r="AW131" s="10"/>
      <c r="AX131" s="8"/>
    </row>
    <row r="132" spans="1:50">
      <c r="A132" s="7"/>
      <c r="B132" s="10"/>
      <c r="C132" s="45" t="s">
        <v>127</v>
      </c>
      <c r="D132" s="23" t="s">
        <v>11</v>
      </c>
      <c r="E132" s="46" t="s">
        <v>180</v>
      </c>
      <c r="F132" s="46" t="s">
        <v>180</v>
      </c>
      <c r="G132" s="46" t="s">
        <v>180</v>
      </c>
      <c r="H132" s="46" t="s">
        <v>180</v>
      </c>
      <c r="I132" s="25">
        <v>0.9</v>
      </c>
      <c r="J132" s="26">
        <v>0.90625</v>
      </c>
      <c r="K132" s="26">
        <v>1</v>
      </c>
      <c r="L132" s="27">
        <v>1</v>
      </c>
      <c r="M132" s="26">
        <v>0.96954314720812196</v>
      </c>
      <c r="N132" s="28">
        <v>0.9</v>
      </c>
      <c r="O132" s="26">
        <v>0</v>
      </c>
      <c r="P132" s="26">
        <v>0</v>
      </c>
      <c r="Q132" s="26">
        <v>0</v>
      </c>
      <c r="R132" s="26">
        <v>0</v>
      </c>
      <c r="S132" s="28">
        <v>0.9</v>
      </c>
      <c r="T132" s="26">
        <v>0</v>
      </c>
      <c r="U132" s="26">
        <v>0</v>
      </c>
      <c r="V132" s="26">
        <v>0</v>
      </c>
      <c r="W132" s="26">
        <v>0</v>
      </c>
      <c r="X132" s="28">
        <v>0.92</v>
      </c>
      <c r="Y132" s="28">
        <v>0</v>
      </c>
      <c r="Z132" s="28">
        <v>0</v>
      </c>
      <c r="AA132" s="28">
        <v>0</v>
      </c>
      <c r="AB132" s="28">
        <v>0</v>
      </c>
      <c r="AC132" s="28">
        <v>0.92</v>
      </c>
      <c r="AD132" s="26">
        <v>1</v>
      </c>
      <c r="AE132" s="26">
        <v>1</v>
      </c>
      <c r="AF132" s="26">
        <v>1</v>
      </c>
      <c r="AG132" s="26">
        <v>1</v>
      </c>
      <c r="AH132" s="28">
        <v>0.92</v>
      </c>
      <c r="AI132" s="26">
        <v>0.96098331078033405</v>
      </c>
      <c r="AJ132" s="26">
        <v>0.97864914801888703</v>
      </c>
      <c r="AK132" s="26">
        <v>0.96400553760959895</v>
      </c>
      <c r="AL132" s="26">
        <v>0.97756282849697496</v>
      </c>
      <c r="AM132" s="25">
        <v>0.99</v>
      </c>
      <c r="AN132" s="30">
        <v>1</v>
      </c>
      <c r="AO132" s="30">
        <v>1</v>
      </c>
      <c r="AP132" s="30">
        <v>1</v>
      </c>
      <c r="AQ132" s="30">
        <v>1</v>
      </c>
      <c r="AR132" s="32">
        <v>0.10526149898194399</v>
      </c>
      <c r="AS132" s="34">
        <v>0.4</v>
      </c>
      <c r="AT132" s="34">
        <v>0</v>
      </c>
      <c r="AU132" s="34">
        <v>0</v>
      </c>
      <c r="AV132" s="34">
        <v>0.1</v>
      </c>
      <c r="AW132" s="10"/>
      <c r="AX132" s="8"/>
    </row>
    <row r="133" spans="1:50">
      <c r="A133" s="7"/>
      <c r="B133" s="10"/>
      <c r="C133" s="45" t="s">
        <v>127</v>
      </c>
      <c r="D133" s="23" t="s">
        <v>11</v>
      </c>
      <c r="E133" s="46" t="s">
        <v>181</v>
      </c>
      <c r="F133" s="46" t="s">
        <v>181</v>
      </c>
      <c r="G133" s="46" t="s">
        <v>181</v>
      </c>
      <c r="H133" s="46" t="s">
        <v>181</v>
      </c>
      <c r="I133" s="25">
        <v>0.9</v>
      </c>
      <c r="J133" s="26">
        <v>1</v>
      </c>
      <c r="K133" s="26">
        <v>0.95652173913043503</v>
      </c>
      <c r="L133" s="27">
        <v>1</v>
      </c>
      <c r="M133" s="26">
        <v>0.96747967479674801</v>
      </c>
      <c r="N133" s="28">
        <v>0.9</v>
      </c>
      <c r="O133" s="26">
        <v>0</v>
      </c>
      <c r="P133" s="26">
        <v>0</v>
      </c>
      <c r="Q133" s="26">
        <v>0</v>
      </c>
      <c r="R133" s="26">
        <v>0</v>
      </c>
      <c r="S133" s="28">
        <v>0.9</v>
      </c>
      <c r="T133" s="26">
        <v>0</v>
      </c>
      <c r="U133" s="26">
        <v>0</v>
      </c>
      <c r="V133" s="26">
        <v>0</v>
      </c>
      <c r="W133" s="26">
        <v>0</v>
      </c>
      <c r="X133" s="28">
        <v>0.92</v>
      </c>
      <c r="Y133" s="28">
        <v>0</v>
      </c>
      <c r="Z133" s="28">
        <v>0</v>
      </c>
      <c r="AA133" s="28">
        <v>0</v>
      </c>
      <c r="AB133" s="28">
        <v>0</v>
      </c>
      <c r="AC133" s="28">
        <v>0.92</v>
      </c>
      <c r="AD133" s="26">
        <v>1</v>
      </c>
      <c r="AE133" s="26">
        <v>0.97701149425287404</v>
      </c>
      <c r="AF133" s="26">
        <v>0.96261682242990698</v>
      </c>
      <c r="AG133" s="26">
        <v>0.98595505617977497</v>
      </c>
      <c r="AH133" s="28">
        <v>0.92</v>
      </c>
      <c r="AI133" s="26">
        <v>0.98570407433881302</v>
      </c>
      <c r="AJ133" s="26">
        <v>0.99097978227060701</v>
      </c>
      <c r="AK133" s="26">
        <v>0.98256203890006699</v>
      </c>
      <c r="AL133" s="26">
        <v>0.99024064171123005</v>
      </c>
      <c r="AM133" s="25">
        <v>0.99</v>
      </c>
      <c r="AN133" s="30">
        <v>1</v>
      </c>
      <c r="AO133" s="30">
        <v>1</v>
      </c>
      <c r="AP133" s="30">
        <v>1</v>
      </c>
      <c r="AQ133" s="30">
        <v>1</v>
      </c>
      <c r="AR133" s="32">
        <v>0.10526149898194399</v>
      </c>
      <c r="AS133" s="34">
        <v>0</v>
      </c>
      <c r="AT133" s="34">
        <v>0.33333333333333298</v>
      </c>
      <c r="AU133" s="34">
        <v>0</v>
      </c>
      <c r="AV133" s="34">
        <v>0.05</v>
      </c>
      <c r="AW133" s="10"/>
      <c r="AX133" s="8"/>
    </row>
    <row r="134" spans="1:50">
      <c r="A134" s="7"/>
      <c r="B134" s="10"/>
      <c r="C134" s="45" t="s">
        <v>127</v>
      </c>
      <c r="D134" s="23" t="s">
        <v>11</v>
      </c>
      <c r="E134" s="46" t="s">
        <v>182</v>
      </c>
      <c r="F134" s="46" t="s">
        <v>182</v>
      </c>
      <c r="G134" s="46" t="s">
        <v>182</v>
      </c>
      <c r="H134" s="46" t="s">
        <v>182</v>
      </c>
      <c r="I134" s="25">
        <v>0.9</v>
      </c>
      <c r="J134" s="26">
        <v>0.98684210526315796</v>
      </c>
      <c r="K134" s="26">
        <v>0.987179487179487</v>
      </c>
      <c r="L134" s="27">
        <v>0.98630136986301398</v>
      </c>
      <c r="M134" s="26">
        <v>0.97511312217194601</v>
      </c>
      <c r="N134" s="28">
        <v>0.9</v>
      </c>
      <c r="O134" s="26">
        <v>0</v>
      </c>
      <c r="P134" s="26">
        <v>0</v>
      </c>
      <c r="Q134" s="26">
        <v>0</v>
      </c>
      <c r="R134" s="26">
        <v>0</v>
      </c>
      <c r="S134" s="28">
        <v>0.9</v>
      </c>
      <c r="T134" s="26">
        <v>0</v>
      </c>
      <c r="U134" s="26">
        <v>0</v>
      </c>
      <c r="V134" s="26">
        <v>1</v>
      </c>
      <c r="W134" s="26">
        <v>0.2</v>
      </c>
      <c r="X134" s="28">
        <v>0.92</v>
      </c>
      <c r="Y134" s="28">
        <v>0</v>
      </c>
      <c r="Z134" s="28">
        <v>0</v>
      </c>
      <c r="AA134" s="28">
        <v>0</v>
      </c>
      <c r="AB134" s="28">
        <v>0</v>
      </c>
      <c r="AC134" s="28">
        <v>0.92</v>
      </c>
      <c r="AD134" s="26">
        <v>0.99514563106796095</v>
      </c>
      <c r="AE134" s="26">
        <v>0.99876390605686005</v>
      </c>
      <c r="AF134" s="26">
        <v>0.99090909090909096</v>
      </c>
      <c r="AG134" s="26">
        <v>0.99163744267601805</v>
      </c>
      <c r="AH134" s="28">
        <v>0.92</v>
      </c>
      <c r="AI134" s="26">
        <v>0.96811397557666201</v>
      </c>
      <c r="AJ134" s="26">
        <v>0.98782079164854297</v>
      </c>
      <c r="AK134" s="26">
        <v>0.99064765022211798</v>
      </c>
      <c r="AL134" s="26">
        <v>0.98381649629411405</v>
      </c>
      <c r="AM134" s="25">
        <v>0.99</v>
      </c>
      <c r="AN134" s="30">
        <v>1</v>
      </c>
      <c r="AO134" s="30">
        <v>1</v>
      </c>
      <c r="AP134" s="30">
        <v>1</v>
      </c>
      <c r="AQ134" s="30">
        <v>1</v>
      </c>
      <c r="AR134" s="32">
        <v>0.10526149898194399</v>
      </c>
      <c r="AS134" s="34">
        <v>-0.05</v>
      </c>
      <c r="AT134" s="34">
        <v>-0.16666666666666699</v>
      </c>
      <c r="AU134" s="34">
        <v>-5.8823529411764698E-2</v>
      </c>
      <c r="AV134" s="34">
        <v>3.2967032967033003E-2</v>
      </c>
      <c r="AW134" s="10"/>
      <c r="AX134" s="8"/>
    </row>
    <row r="135" spans="1:50">
      <c r="A135" s="7"/>
      <c r="B135" s="10"/>
      <c r="C135" s="45" t="s">
        <v>127</v>
      </c>
      <c r="D135" s="23" t="s">
        <v>11</v>
      </c>
      <c r="E135" s="46" t="s">
        <v>183</v>
      </c>
      <c r="F135" s="46" t="s">
        <v>183</v>
      </c>
      <c r="G135" s="46" t="s">
        <v>183</v>
      </c>
      <c r="H135" s="46" t="s">
        <v>183</v>
      </c>
      <c r="I135" s="25">
        <v>0.9</v>
      </c>
      <c r="J135" s="26">
        <v>0.93589743589743601</v>
      </c>
      <c r="K135" s="26">
        <v>0.97435897435897401</v>
      </c>
      <c r="L135" s="27">
        <v>0.984615384615385</v>
      </c>
      <c r="M135" s="26">
        <v>0.96428571428571397</v>
      </c>
      <c r="N135" s="28">
        <v>0.9</v>
      </c>
      <c r="O135" s="26">
        <v>0.2</v>
      </c>
      <c r="P135" s="26">
        <v>0</v>
      </c>
      <c r="Q135" s="26">
        <v>0</v>
      </c>
      <c r="R135" s="26">
        <v>0.14285714285714299</v>
      </c>
      <c r="S135" s="28">
        <v>0.9</v>
      </c>
      <c r="T135" s="26">
        <v>0.2</v>
      </c>
      <c r="U135" s="26">
        <v>0</v>
      </c>
      <c r="V135" s="26">
        <v>0</v>
      </c>
      <c r="W135" s="26">
        <v>0.14285714285714299</v>
      </c>
      <c r="X135" s="28">
        <v>0.92</v>
      </c>
      <c r="Y135" s="28">
        <v>0</v>
      </c>
      <c r="Z135" s="28">
        <v>0</v>
      </c>
      <c r="AA135" s="28">
        <v>0</v>
      </c>
      <c r="AB135" s="28">
        <v>0</v>
      </c>
      <c r="AC135" s="28">
        <v>0.92</v>
      </c>
      <c r="AD135" s="26">
        <v>1</v>
      </c>
      <c r="AE135" s="26">
        <v>0.99118942731277504</v>
      </c>
      <c r="AF135" s="26">
        <v>0.988826815642458</v>
      </c>
      <c r="AG135" s="26">
        <v>0.99362803663878896</v>
      </c>
      <c r="AH135" s="28">
        <v>0.92</v>
      </c>
      <c r="AI135" s="26">
        <v>0.98555908850026497</v>
      </c>
      <c r="AJ135" s="26">
        <v>0.98858035821613199</v>
      </c>
      <c r="AK135" s="26">
        <v>0.98562577447335797</v>
      </c>
      <c r="AL135" s="26">
        <v>0.988195831412915</v>
      </c>
      <c r="AM135" s="25">
        <v>0.99</v>
      </c>
      <c r="AN135" s="30">
        <v>1</v>
      </c>
      <c r="AO135" s="30">
        <v>1</v>
      </c>
      <c r="AP135" s="30">
        <v>1</v>
      </c>
      <c r="AQ135" s="30">
        <v>1</v>
      </c>
      <c r="AR135" s="32">
        <v>0.10526149898194399</v>
      </c>
      <c r="AS135" s="34">
        <v>0</v>
      </c>
      <c r="AT135" s="34">
        <v>2.4390243902439001E-2</v>
      </c>
      <c r="AU135" s="34">
        <v>5.5555555555555601E-2</v>
      </c>
      <c r="AV135" s="34">
        <v>4.08163265306122E-2</v>
      </c>
      <c r="AW135" s="10"/>
      <c r="AX135" s="8"/>
    </row>
    <row r="136" spans="1:50">
      <c r="A136" s="7"/>
      <c r="B136" s="10"/>
      <c r="C136" s="45" t="s">
        <v>127</v>
      </c>
      <c r="D136" s="23" t="s">
        <v>11</v>
      </c>
      <c r="E136" s="46" t="s">
        <v>184</v>
      </c>
      <c r="F136" s="46" t="s">
        <v>184</v>
      </c>
      <c r="G136" s="46" t="s">
        <v>184</v>
      </c>
      <c r="H136" s="46" t="s">
        <v>184</v>
      </c>
      <c r="I136" s="25">
        <v>0.9</v>
      </c>
      <c r="J136" s="26">
        <v>0.98</v>
      </c>
      <c r="K136" s="26">
        <v>0.97959183673469397</v>
      </c>
      <c r="L136" s="27">
        <v>0.94736842105263197</v>
      </c>
      <c r="M136" s="26">
        <v>0.98555956678700396</v>
      </c>
      <c r="N136" s="28">
        <v>0.9</v>
      </c>
      <c r="O136" s="26">
        <v>0</v>
      </c>
      <c r="P136" s="26">
        <v>0</v>
      </c>
      <c r="Q136" s="26">
        <v>0</v>
      </c>
      <c r="R136" s="26">
        <v>0</v>
      </c>
      <c r="S136" s="28">
        <v>0.9</v>
      </c>
      <c r="T136" s="26">
        <v>0</v>
      </c>
      <c r="U136" s="26">
        <v>0</v>
      </c>
      <c r="V136" s="26">
        <v>0</v>
      </c>
      <c r="W136" s="26">
        <v>0</v>
      </c>
      <c r="X136" s="28">
        <v>0.92</v>
      </c>
      <c r="Y136" s="28">
        <v>0</v>
      </c>
      <c r="Z136" s="28">
        <v>0</v>
      </c>
      <c r="AA136" s="28">
        <v>0</v>
      </c>
      <c r="AB136" s="28">
        <v>0</v>
      </c>
      <c r="AC136" s="28">
        <v>0.92</v>
      </c>
      <c r="AD136" s="26">
        <v>1</v>
      </c>
      <c r="AE136" s="26">
        <v>1</v>
      </c>
      <c r="AF136" s="26">
        <v>1</v>
      </c>
      <c r="AG136" s="26">
        <v>0.99704391891891897</v>
      </c>
      <c r="AH136" s="28">
        <v>0.92</v>
      </c>
      <c r="AI136" s="26">
        <v>0.98245967741935503</v>
      </c>
      <c r="AJ136" s="26">
        <v>0.99439985066268399</v>
      </c>
      <c r="AK136" s="26">
        <v>0.98844161020326804</v>
      </c>
      <c r="AL136" s="26">
        <v>0.99064176357727396</v>
      </c>
      <c r="AM136" s="25">
        <v>0.99</v>
      </c>
      <c r="AN136" s="30">
        <v>1</v>
      </c>
      <c r="AO136" s="30">
        <v>1</v>
      </c>
      <c r="AP136" s="30">
        <v>1</v>
      </c>
      <c r="AQ136" s="30">
        <v>1</v>
      </c>
      <c r="AR136" s="32">
        <v>0.10526149898194399</v>
      </c>
      <c r="AS136" s="34">
        <v>0</v>
      </c>
      <c r="AT136" s="34">
        <v>0.5</v>
      </c>
      <c r="AU136" s="34">
        <v>0</v>
      </c>
      <c r="AV136" s="34">
        <v>0.1875</v>
      </c>
      <c r="AW136" s="10"/>
      <c r="AX136" s="8"/>
    </row>
    <row r="137" spans="1:50">
      <c r="A137" s="7"/>
      <c r="B137" s="10"/>
      <c r="C137" s="45" t="s">
        <v>127</v>
      </c>
      <c r="D137" s="23" t="s">
        <v>11</v>
      </c>
      <c r="E137" s="46" t="s">
        <v>185</v>
      </c>
      <c r="F137" s="46" t="s">
        <v>185</v>
      </c>
      <c r="G137" s="46" t="s">
        <v>185</v>
      </c>
      <c r="H137" s="46" t="s">
        <v>185</v>
      </c>
      <c r="I137" s="25">
        <v>0.9</v>
      </c>
      <c r="J137" s="26">
        <v>1</v>
      </c>
      <c r="K137" s="26">
        <v>0.97058823529411797</v>
      </c>
      <c r="L137" s="27">
        <v>1</v>
      </c>
      <c r="M137" s="26">
        <v>0.99476439790575899</v>
      </c>
      <c r="N137" s="28">
        <v>0.9</v>
      </c>
      <c r="O137" s="26">
        <v>0</v>
      </c>
      <c r="P137" s="26">
        <v>0</v>
      </c>
      <c r="Q137" s="26">
        <v>0</v>
      </c>
      <c r="R137" s="26">
        <v>0</v>
      </c>
      <c r="S137" s="28">
        <v>0.9</v>
      </c>
      <c r="T137" s="26">
        <v>0</v>
      </c>
      <c r="U137" s="26">
        <v>0</v>
      </c>
      <c r="V137" s="26">
        <v>0</v>
      </c>
      <c r="W137" s="26">
        <v>0</v>
      </c>
      <c r="X137" s="28">
        <v>0.92</v>
      </c>
      <c r="Y137" s="28">
        <v>0</v>
      </c>
      <c r="Z137" s="28">
        <v>0</v>
      </c>
      <c r="AA137" s="28">
        <v>0</v>
      </c>
      <c r="AB137" s="28">
        <v>0</v>
      </c>
      <c r="AC137" s="28">
        <v>0.92</v>
      </c>
      <c r="AD137" s="26">
        <v>0.98245614035087703</v>
      </c>
      <c r="AE137" s="26">
        <v>0.984732824427481</v>
      </c>
      <c r="AF137" s="26">
        <v>0.93023255813953498</v>
      </c>
      <c r="AG137" s="26">
        <v>0.974048442906574</v>
      </c>
      <c r="AH137" s="28">
        <v>0.92</v>
      </c>
      <c r="AI137" s="26">
        <v>0.97026520225020096</v>
      </c>
      <c r="AJ137" s="26">
        <v>0.99253208868144704</v>
      </c>
      <c r="AK137" s="26">
        <v>0.98593073593073599</v>
      </c>
      <c r="AL137" s="26">
        <v>0.987142710787829</v>
      </c>
      <c r="AM137" s="25">
        <v>0.99</v>
      </c>
      <c r="AN137" s="30">
        <v>1</v>
      </c>
      <c r="AO137" s="30">
        <v>1</v>
      </c>
      <c r="AP137" s="30">
        <v>0</v>
      </c>
      <c r="AQ137" s="30">
        <v>1</v>
      </c>
      <c r="AR137" s="32">
        <v>0.10526149898194399</v>
      </c>
      <c r="AS137" s="34">
        <v>0.5</v>
      </c>
      <c r="AT137" s="34">
        <v>0.16666666666666699</v>
      </c>
      <c r="AU137" s="34">
        <v>0</v>
      </c>
      <c r="AV137" s="34">
        <v>0.2</v>
      </c>
      <c r="AW137" s="10"/>
      <c r="AX137" s="8"/>
    </row>
    <row r="138" spans="1:50">
      <c r="A138" s="7"/>
      <c r="B138" s="10"/>
      <c r="C138" s="45" t="s">
        <v>127</v>
      </c>
      <c r="D138" s="23" t="s">
        <v>11</v>
      </c>
      <c r="E138" s="46" t="s">
        <v>186</v>
      </c>
      <c r="F138" s="46" t="s">
        <v>186</v>
      </c>
      <c r="G138" s="46" t="s">
        <v>186</v>
      </c>
      <c r="H138" s="46" t="s">
        <v>186</v>
      </c>
      <c r="I138" s="25">
        <v>0.9</v>
      </c>
      <c r="J138" s="26">
        <v>1</v>
      </c>
      <c r="K138" s="26">
        <v>1</v>
      </c>
      <c r="L138" s="27">
        <v>0.97872340425531901</v>
      </c>
      <c r="M138" s="26">
        <v>0.99006622516556297</v>
      </c>
      <c r="N138" s="28">
        <v>0.9</v>
      </c>
      <c r="O138" s="26">
        <v>0.28571428571428598</v>
      </c>
      <c r="P138" s="26">
        <v>0</v>
      </c>
      <c r="Q138" s="26">
        <v>0</v>
      </c>
      <c r="R138" s="26">
        <v>0.25</v>
      </c>
      <c r="S138" s="28">
        <v>0.9</v>
      </c>
      <c r="T138" s="26">
        <v>0</v>
      </c>
      <c r="U138" s="26">
        <v>0</v>
      </c>
      <c r="V138" s="26">
        <v>0</v>
      </c>
      <c r="W138" s="26">
        <v>0.125</v>
      </c>
      <c r="X138" s="28">
        <v>0.92</v>
      </c>
      <c r="Y138" s="28">
        <v>0</v>
      </c>
      <c r="Z138" s="28">
        <v>0</v>
      </c>
      <c r="AA138" s="28">
        <v>0</v>
      </c>
      <c r="AB138" s="28">
        <v>0</v>
      </c>
      <c r="AC138" s="28">
        <v>0.92</v>
      </c>
      <c r="AD138" s="26">
        <v>0.99504132231404996</v>
      </c>
      <c r="AE138" s="26">
        <v>0.99815157116451003</v>
      </c>
      <c r="AF138" s="26">
        <v>0.99873577749683895</v>
      </c>
      <c r="AG138" s="26">
        <v>0.99802800236639699</v>
      </c>
      <c r="AH138" s="28">
        <v>0.92</v>
      </c>
      <c r="AI138" s="26">
        <v>0.89309267615411303</v>
      </c>
      <c r="AJ138" s="26">
        <v>0.98767605633802802</v>
      </c>
      <c r="AK138" s="26">
        <v>0.98615384615384605</v>
      </c>
      <c r="AL138" s="26">
        <v>0.96678953188352401</v>
      </c>
      <c r="AM138" s="25">
        <v>0.99</v>
      </c>
      <c r="AN138" s="30">
        <v>1</v>
      </c>
      <c r="AO138" s="30">
        <v>1</v>
      </c>
      <c r="AP138" s="30">
        <v>1</v>
      </c>
      <c r="AQ138" s="30">
        <v>1</v>
      </c>
      <c r="AR138" s="32">
        <v>0.10526149898194399</v>
      </c>
      <c r="AS138" s="34">
        <v>0.33333333333333298</v>
      </c>
      <c r="AT138" s="34">
        <v>-0.11111111111111099</v>
      </c>
      <c r="AU138" s="34">
        <v>0</v>
      </c>
      <c r="AV138" s="34">
        <v>9.8039215686274495E-2</v>
      </c>
      <c r="AW138" s="10"/>
      <c r="AX138" s="8"/>
    </row>
    <row r="139" spans="1:50">
      <c r="A139" s="7"/>
      <c r="B139" s="10"/>
      <c r="C139" s="45" t="s">
        <v>127</v>
      </c>
      <c r="D139" s="23" t="s">
        <v>11</v>
      </c>
      <c r="E139" s="46" t="s">
        <v>187</v>
      </c>
      <c r="F139" s="46" t="s">
        <v>187</v>
      </c>
      <c r="G139" s="46" t="s">
        <v>187</v>
      </c>
      <c r="H139" s="46" t="s">
        <v>187</v>
      </c>
      <c r="I139" s="25">
        <v>0.9</v>
      </c>
      <c r="J139" s="26">
        <v>0.95918367346938804</v>
      </c>
      <c r="K139" s="26">
        <v>0.95192307692307698</v>
      </c>
      <c r="L139" s="27">
        <v>0.91397849462365599</v>
      </c>
      <c r="M139" s="26">
        <v>0.94784172661870503</v>
      </c>
      <c r="N139" s="28">
        <v>0.9</v>
      </c>
      <c r="O139" s="26">
        <v>0.96335512383758404</v>
      </c>
      <c r="P139" s="26">
        <v>0.94061048440610495</v>
      </c>
      <c r="Q139" s="26">
        <v>0.95931428571428601</v>
      </c>
      <c r="R139" s="26">
        <v>0.95329642161386197</v>
      </c>
      <c r="S139" s="28">
        <v>0.9</v>
      </c>
      <c r="T139" s="26">
        <v>0.93057729490838803</v>
      </c>
      <c r="U139" s="26">
        <v>0.93098871930988703</v>
      </c>
      <c r="V139" s="26">
        <v>0.93885714285714295</v>
      </c>
      <c r="W139" s="26">
        <v>0.93138863255750404</v>
      </c>
      <c r="X139" s="28">
        <v>0.92</v>
      </c>
      <c r="Y139" s="28">
        <v>0.95166793025019003</v>
      </c>
      <c r="Z139" s="28">
        <v>0.96538807311956798</v>
      </c>
      <c r="AA139" s="28">
        <v>0.96456310679611601</v>
      </c>
      <c r="AB139" s="28">
        <v>0.96223488445710703</v>
      </c>
      <c r="AC139" s="28">
        <v>0.92</v>
      </c>
      <c r="AD139" s="26">
        <v>0.99425170620734504</v>
      </c>
      <c r="AE139" s="26">
        <v>0.98884995771268802</v>
      </c>
      <c r="AF139" s="26">
        <v>0.98870595837800501</v>
      </c>
      <c r="AG139" s="26">
        <v>0.99137529917311096</v>
      </c>
      <c r="AH139" s="28">
        <v>0.92</v>
      </c>
      <c r="AI139" s="26">
        <v>0.96944909214847896</v>
      </c>
      <c r="AJ139" s="26">
        <v>0.97870296236989596</v>
      </c>
      <c r="AK139" s="26">
        <v>0.97931034482758605</v>
      </c>
      <c r="AL139" s="26">
        <v>0.97744344217732404</v>
      </c>
      <c r="AM139" s="25">
        <v>0.99</v>
      </c>
      <c r="AN139" s="30">
        <v>1</v>
      </c>
      <c r="AO139" s="30">
        <v>1</v>
      </c>
      <c r="AP139" s="30">
        <v>1</v>
      </c>
      <c r="AQ139" s="30">
        <v>1</v>
      </c>
      <c r="AR139" s="32">
        <v>0.10526149898194399</v>
      </c>
      <c r="AS139" s="34">
        <v>0</v>
      </c>
      <c r="AT139" s="34">
        <v>0</v>
      </c>
      <c r="AU139" s="34">
        <v>0</v>
      </c>
      <c r="AV139" s="34">
        <v>0.05</v>
      </c>
      <c r="AW139" s="10"/>
      <c r="AX139" s="8"/>
    </row>
    <row r="140" spans="1:50">
      <c r="A140" s="7"/>
      <c r="B140" s="10"/>
      <c r="C140" s="45" t="s">
        <v>127</v>
      </c>
      <c r="D140" s="23" t="s">
        <v>11</v>
      </c>
      <c r="E140" s="46" t="s">
        <v>188</v>
      </c>
      <c r="F140" s="46" t="s">
        <v>188</v>
      </c>
      <c r="G140" s="46" t="s">
        <v>188</v>
      </c>
      <c r="H140" s="46" t="s">
        <v>188</v>
      </c>
      <c r="I140" s="25">
        <v>0.9</v>
      </c>
      <c r="J140" s="26">
        <v>0.98765432098765404</v>
      </c>
      <c r="K140" s="26">
        <v>0.97560975609756095</v>
      </c>
      <c r="L140" s="27">
        <v>0.95</v>
      </c>
      <c r="M140" s="26">
        <v>0.974683544303797</v>
      </c>
      <c r="N140" s="28">
        <v>0.9</v>
      </c>
      <c r="O140" s="26">
        <v>0.97635903919089795</v>
      </c>
      <c r="P140" s="26">
        <v>0.975742135578201</v>
      </c>
      <c r="Q140" s="26">
        <v>0.96108835576360396</v>
      </c>
      <c r="R140" s="26">
        <v>0.97205676042409295</v>
      </c>
      <c r="S140" s="28">
        <v>0.9</v>
      </c>
      <c r="T140" s="26">
        <v>0.93691529709228805</v>
      </c>
      <c r="U140" s="26">
        <v>0.93243243243243201</v>
      </c>
      <c r="V140" s="26">
        <v>0.94880046811000596</v>
      </c>
      <c r="W140" s="26">
        <v>0.93903084105701295</v>
      </c>
      <c r="X140" s="28">
        <v>0.92</v>
      </c>
      <c r="Y140" s="28">
        <v>0.94825355756791696</v>
      </c>
      <c r="Z140" s="28">
        <v>0.96178343949044598</v>
      </c>
      <c r="AA140" s="28">
        <v>0.96217974786498595</v>
      </c>
      <c r="AB140" s="28">
        <v>0.96261333995776899</v>
      </c>
      <c r="AC140" s="28">
        <v>0.92</v>
      </c>
      <c r="AD140" s="26">
        <v>0.99594773161062999</v>
      </c>
      <c r="AE140" s="26">
        <v>0.97954502007264399</v>
      </c>
      <c r="AF140" s="26">
        <v>0.98544631306597696</v>
      </c>
      <c r="AG140" s="26">
        <v>0.98332501701066</v>
      </c>
      <c r="AH140" s="28">
        <v>0.92</v>
      </c>
      <c r="AI140" s="26">
        <v>0.97376019021739102</v>
      </c>
      <c r="AJ140" s="26">
        <v>0.97744253895965305</v>
      </c>
      <c r="AK140" s="26">
        <v>0.97941476692752605</v>
      </c>
      <c r="AL140" s="26">
        <v>0.97945033337768495</v>
      </c>
      <c r="AM140" s="25">
        <v>0.99</v>
      </c>
      <c r="AN140" s="30">
        <v>1</v>
      </c>
      <c r="AO140" s="30">
        <v>1</v>
      </c>
      <c r="AP140" s="30">
        <v>1</v>
      </c>
      <c r="AQ140" s="30">
        <v>1</v>
      </c>
      <c r="AR140" s="32">
        <v>0.10526149898194399</v>
      </c>
      <c r="AS140" s="34">
        <v>0.05</v>
      </c>
      <c r="AT140" s="34">
        <v>0.21052631578947401</v>
      </c>
      <c r="AU140" s="34">
        <v>9.0909090909090898E-2</v>
      </c>
      <c r="AV140" s="34">
        <v>0.12295081967213101</v>
      </c>
      <c r="AW140" s="10"/>
      <c r="AX140" s="8"/>
    </row>
    <row r="141" spans="1:50">
      <c r="A141" s="7"/>
      <c r="B141" s="10"/>
      <c r="C141" s="45" t="s">
        <v>127</v>
      </c>
      <c r="D141" s="23" t="s">
        <v>11</v>
      </c>
      <c r="E141" s="46" t="s">
        <v>189</v>
      </c>
      <c r="F141" s="46" t="s">
        <v>189</v>
      </c>
      <c r="G141" s="46" t="s">
        <v>189</v>
      </c>
      <c r="H141" s="46" t="s">
        <v>189</v>
      </c>
      <c r="I141" s="25">
        <v>0.9</v>
      </c>
      <c r="J141" s="26">
        <v>0.96296296296296302</v>
      </c>
      <c r="K141" s="26">
        <v>0.97345132743362806</v>
      </c>
      <c r="L141" s="27">
        <v>0.98095238095238102</v>
      </c>
      <c r="M141" s="26">
        <v>0.96794871794871795</v>
      </c>
      <c r="N141" s="28">
        <v>0.9</v>
      </c>
      <c r="O141" s="26">
        <v>0.93586870950160495</v>
      </c>
      <c r="P141" s="26">
        <v>0.94089016278189397</v>
      </c>
      <c r="Q141" s="26">
        <v>0.95873379099923695</v>
      </c>
      <c r="R141" s="26">
        <v>0.91445110511142602</v>
      </c>
      <c r="S141" s="28">
        <v>0.9</v>
      </c>
      <c r="T141" s="26">
        <v>0.93544480106582695</v>
      </c>
      <c r="U141" s="26">
        <v>0.91428262397923299</v>
      </c>
      <c r="V141" s="26">
        <v>0.93066361556064103</v>
      </c>
      <c r="W141" s="26">
        <v>0.92384340822770294</v>
      </c>
      <c r="X141" s="28">
        <v>0.92</v>
      </c>
      <c r="Y141" s="28">
        <v>0.91511771995043401</v>
      </c>
      <c r="Z141" s="28">
        <v>0.92945629731589796</v>
      </c>
      <c r="AA141" s="28">
        <v>0.91530460624071297</v>
      </c>
      <c r="AB141" s="28">
        <v>0.91870536032081296</v>
      </c>
      <c r="AC141" s="28">
        <v>0.92</v>
      </c>
      <c r="AD141" s="26">
        <v>0.99052339593470096</v>
      </c>
      <c r="AE141" s="26">
        <v>0.98934145678375496</v>
      </c>
      <c r="AF141" s="26">
        <v>0.99073215386180202</v>
      </c>
      <c r="AG141" s="26">
        <v>0.98934049877528596</v>
      </c>
      <c r="AH141" s="28">
        <v>0.92</v>
      </c>
      <c r="AI141" s="26">
        <v>0.95852374113243699</v>
      </c>
      <c r="AJ141" s="26">
        <v>0.95902542995737206</v>
      </c>
      <c r="AK141" s="26">
        <v>0.956665854252986</v>
      </c>
      <c r="AL141" s="26">
        <v>0.95553463390542004</v>
      </c>
      <c r="AM141" s="25">
        <v>0.99</v>
      </c>
      <c r="AN141" s="30">
        <v>1</v>
      </c>
      <c r="AO141" s="30">
        <v>1</v>
      </c>
      <c r="AP141" s="30">
        <v>1</v>
      </c>
      <c r="AQ141" s="30">
        <v>1</v>
      </c>
      <c r="AR141" s="32">
        <v>0.10526149898194399</v>
      </c>
      <c r="AS141" s="34">
        <v>0.162162162162162</v>
      </c>
      <c r="AT141" s="34">
        <v>0.16129032258064499</v>
      </c>
      <c r="AU141" s="34">
        <v>7.1428571428571397E-2</v>
      </c>
      <c r="AV141" s="34">
        <v>0.112582781456954</v>
      </c>
      <c r="AW141" s="10"/>
      <c r="AX141" s="8"/>
    </row>
    <row r="142" spans="1:50">
      <c r="A142" s="7"/>
      <c r="B142" s="10"/>
      <c r="C142" s="45" t="s">
        <v>127</v>
      </c>
      <c r="D142" s="23" t="s">
        <v>11</v>
      </c>
      <c r="E142" s="46" t="s">
        <v>190</v>
      </c>
      <c r="F142" s="46" t="s">
        <v>190</v>
      </c>
      <c r="G142" s="46" t="s">
        <v>190</v>
      </c>
      <c r="H142" s="46" t="s">
        <v>190</v>
      </c>
      <c r="I142" s="25">
        <v>0.9</v>
      </c>
      <c r="J142" s="26">
        <v>0.96666666666666701</v>
      </c>
      <c r="K142" s="26">
        <v>0.97959183673469397</v>
      </c>
      <c r="L142" s="27">
        <v>0.97872340425531901</v>
      </c>
      <c r="M142" s="26">
        <v>0.97977941176470595</v>
      </c>
      <c r="N142" s="28">
        <v>0.9</v>
      </c>
      <c r="O142" s="26">
        <v>0.94901274681329695</v>
      </c>
      <c r="P142" s="26">
        <v>0.96821677041376797</v>
      </c>
      <c r="Q142" s="26">
        <v>0.93482364629905601</v>
      </c>
      <c r="R142" s="26">
        <v>0.95845999537072801</v>
      </c>
      <c r="S142" s="28">
        <v>0.9</v>
      </c>
      <c r="T142" s="26">
        <v>0.92326918270432401</v>
      </c>
      <c r="U142" s="26">
        <v>0.92046869278652499</v>
      </c>
      <c r="V142" s="26">
        <v>0.934724292101341</v>
      </c>
      <c r="W142" s="26">
        <v>0.93634750405061296</v>
      </c>
      <c r="X142" s="28">
        <v>0.92</v>
      </c>
      <c r="Y142" s="28">
        <v>0.93698928636281098</v>
      </c>
      <c r="Z142" s="28">
        <v>0.94852240228789297</v>
      </c>
      <c r="AA142" s="28">
        <v>0.956170531039641</v>
      </c>
      <c r="AB142" s="28">
        <v>0.947195487191416</v>
      </c>
      <c r="AC142" s="28">
        <v>0.92</v>
      </c>
      <c r="AD142" s="26">
        <v>0.99659716895614003</v>
      </c>
      <c r="AE142" s="26">
        <v>0.95444198786717105</v>
      </c>
      <c r="AF142" s="26">
        <v>0.93711367701044801</v>
      </c>
      <c r="AG142" s="26">
        <v>0.95717965984196196</v>
      </c>
      <c r="AH142" s="28">
        <v>0.92</v>
      </c>
      <c r="AI142" s="26">
        <v>0.96533013479552199</v>
      </c>
      <c r="AJ142" s="26">
        <v>0.97467028519735299</v>
      </c>
      <c r="AK142" s="26">
        <v>0.97529095792300802</v>
      </c>
      <c r="AL142" s="26">
        <v>0.97285888433290701</v>
      </c>
      <c r="AM142" s="25">
        <v>0.99</v>
      </c>
      <c r="AN142" s="30">
        <v>1</v>
      </c>
      <c r="AO142" s="30">
        <v>1</v>
      </c>
      <c r="AP142" s="30">
        <v>1</v>
      </c>
      <c r="AQ142" s="30">
        <v>1</v>
      </c>
      <c r="AR142" s="32">
        <v>0.10526149898194399</v>
      </c>
      <c r="AS142" s="34">
        <v>5.8823529411764698E-2</v>
      </c>
      <c r="AT142" s="34">
        <v>6.25E-2</v>
      </c>
      <c r="AU142" s="34">
        <v>6.25E-2</v>
      </c>
      <c r="AV142" s="34">
        <v>0.10891089108910899</v>
      </c>
      <c r="AW142" s="10"/>
      <c r="AX142" s="8"/>
    </row>
    <row r="143" spans="1:50">
      <c r="A143" s="7"/>
      <c r="B143" s="10"/>
      <c r="C143" s="45" t="s">
        <v>127</v>
      </c>
      <c r="D143" s="23" t="s">
        <v>11</v>
      </c>
      <c r="E143" s="46" t="s">
        <v>191</v>
      </c>
      <c r="F143" s="46" t="s">
        <v>191</v>
      </c>
      <c r="G143" s="46" t="s">
        <v>191</v>
      </c>
      <c r="H143" s="46" t="s">
        <v>191</v>
      </c>
      <c r="I143" s="25">
        <v>0.9</v>
      </c>
      <c r="J143" s="26">
        <v>1</v>
      </c>
      <c r="K143" s="26">
        <v>1</v>
      </c>
      <c r="L143" s="27">
        <v>0.99270072992700698</v>
      </c>
      <c r="M143" s="26">
        <v>0.99621212121212099</v>
      </c>
      <c r="N143" s="28">
        <v>0.9</v>
      </c>
      <c r="O143" s="26">
        <v>0.97194663017447802</v>
      </c>
      <c r="P143" s="26">
        <v>0.97137096774193499</v>
      </c>
      <c r="Q143" s="26">
        <v>0.97402417002361397</v>
      </c>
      <c r="R143" s="26">
        <v>0.97086917460940303</v>
      </c>
      <c r="S143" s="28">
        <v>0.9</v>
      </c>
      <c r="T143" s="26">
        <v>0.95295928840232602</v>
      </c>
      <c r="U143" s="26">
        <v>0.96849798387096797</v>
      </c>
      <c r="V143" s="26">
        <v>0.97159327684400598</v>
      </c>
      <c r="W143" s="26">
        <v>0.96257706089488704</v>
      </c>
      <c r="X143" s="28">
        <v>0.92</v>
      </c>
      <c r="Y143" s="28">
        <v>0.920389095097914</v>
      </c>
      <c r="Z143" s="28">
        <v>0.94441199376947005</v>
      </c>
      <c r="AA143" s="28">
        <v>0.94252372123459505</v>
      </c>
      <c r="AB143" s="28">
        <v>0.93896937086092702</v>
      </c>
      <c r="AC143" s="28">
        <v>0.92</v>
      </c>
      <c r="AD143" s="26">
        <v>0.98587625275703294</v>
      </c>
      <c r="AE143" s="26">
        <v>0.97067420422060202</v>
      </c>
      <c r="AF143" s="26">
        <v>0.97552015540241399</v>
      </c>
      <c r="AG143" s="26">
        <v>0.97926821699160405</v>
      </c>
      <c r="AH143" s="28">
        <v>0.92</v>
      </c>
      <c r="AI143" s="26">
        <v>0.96501814166272304</v>
      </c>
      <c r="AJ143" s="26">
        <v>0.97695653617558198</v>
      </c>
      <c r="AK143" s="26">
        <v>0.97369872311542904</v>
      </c>
      <c r="AL143" s="26">
        <v>0.97307218170423504</v>
      </c>
      <c r="AM143" s="25">
        <v>0.99</v>
      </c>
      <c r="AN143" s="30">
        <v>1</v>
      </c>
      <c r="AO143" s="30">
        <v>1</v>
      </c>
      <c r="AP143" s="30">
        <v>1</v>
      </c>
      <c r="AQ143" s="30">
        <v>1</v>
      </c>
      <c r="AR143" s="32">
        <v>0.10526149898194399</v>
      </c>
      <c r="AS143" s="34">
        <v>0.1</v>
      </c>
      <c r="AT143" s="34">
        <v>0.08</v>
      </c>
      <c r="AU143" s="34">
        <v>3.7037037037037E-2</v>
      </c>
      <c r="AV143" s="34">
        <v>6.2111801242236003E-2</v>
      </c>
      <c r="AW143" s="10"/>
      <c r="AX143" s="8"/>
    </row>
    <row r="144" spans="1:50">
      <c r="A144" s="7"/>
      <c r="B144" s="10"/>
      <c r="C144" s="45" t="s">
        <v>127</v>
      </c>
      <c r="D144" s="23" t="s">
        <v>11</v>
      </c>
      <c r="E144" s="46" t="s">
        <v>192</v>
      </c>
      <c r="F144" s="46" t="s">
        <v>192</v>
      </c>
      <c r="G144" s="46" t="s">
        <v>192</v>
      </c>
      <c r="H144" s="46" t="s">
        <v>192</v>
      </c>
      <c r="I144" s="25">
        <v>0.9</v>
      </c>
      <c r="J144" s="26">
        <v>1</v>
      </c>
      <c r="K144" s="26">
        <v>1</v>
      </c>
      <c r="L144" s="27">
        <v>1</v>
      </c>
      <c r="M144" s="26">
        <v>1</v>
      </c>
      <c r="N144" s="28">
        <v>0.9</v>
      </c>
      <c r="O144" s="26">
        <v>0.97343749999999996</v>
      </c>
      <c r="P144" s="26">
        <v>0.969135802469136</v>
      </c>
      <c r="Q144" s="26">
        <v>0.97591477535896198</v>
      </c>
      <c r="R144" s="26">
        <v>0.97628153398126405</v>
      </c>
      <c r="S144" s="28">
        <v>0.9</v>
      </c>
      <c r="T144" s="26">
        <v>0.9638671875</v>
      </c>
      <c r="U144" s="26">
        <v>0.96479813146479798</v>
      </c>
      <c r="V144" s="26">
        <v>0.97359888837424702</v>
      </c>
      <c r="W144" s="26">
        <v>0.96922914985439101</v>
      </c>
      <c r="X144" s="28">
        <v>0.92</v>
      </c>
      <c r="Y144" s="28">
        <v>0.96372838464782795</v>
      </c>
      <c r="Z144" s="28">
        <v>0.97267759562841505</v>
      </c>
      <c r="AA144" s="28">
        <v>0.96949602122015899</v>
      </c>
      <c r="AB144" s="28">
        <v>0.966236796059879</v>
      </c>
      <c r="AC144" s="28">
        <v>0.92</v>
      </c>
      <c r="AD144" s="26">
        <v>0.994819936487917</v>
      </c>
      <c r="AE144" s="26">
        <v>0.99294193134424102</v>
      </c>
      <c r="AF144" s="26">
        <v>0.90172106529081097</v>
      </c>
      <c r="AG144" s="26">
        <v>0.97057861757505604</v>
      </c>
      <c r="AH144" s="28">
        <v>0.92</v>
      </c>
      <c r="AI144" s="26">
        <v>0.98091552115307601</v>
      </c>
      <c r="AJ144" s="26">
        <v>0.98589577950043095</v>
      </c>
      <c r="AK144" s="26">
        <v>0.985137714753204</v>
      </c>
      <c r="AL144" s="26">
        <v>0.983546493104547</v>
      </c>
      <c r="AM144" s="25">
        <v>0.99</v>
      </c>
      <c r="AN144" s="30">
        <v>1</v>
      </c>
      <c r="AO144" s="30">
        <v>1</v>
      </c>
      <c r="AP144" s="30">
        <v>1</v>
      </c>
      <c r="AQ144" s="30">
        <v>1</v>
      </c>
      <c r="AR144" s="32">
        <v>0.10526149898194399</v>
      </c>
      <c r="AS144" s="34">
        <v>0.1</v>
      </c>
      <c r="AT144" s="34">
        <v>0.14285714285714299</v>
      </c>
      <c r="AU144" s="34">
        <v>0.125</v>
      </c>
      <c r="AV144" s="34">
        <v>0.125</v>
      </c>
      <c r="AW144" s="10"/>
      <c r="AX144" s="8"/>
    </row>
    <row r="145" spans="1:50">
      <c r="A145" s="7"/>
      <c r="B145" s="10"/>
      <c r="C145" s="45" t="s">
        <v>127</v>
      </c>
      <c r="D145" s="23" t="s">
        <v>11</v>
      </c>
      <c r="E145" s="46" t="s">
        <v>193</v>
      </c>
      <c r="F145" s="46" t="s">
        <v>193</v>
      </c>
      <c r="G145" s="46" t="s">
        <v>193</v>
      </c>
      <c r="H145" s="46" t="s">
        <v>193</v>
      </c>
      <c r="I145" s="25">
        <v>0.9</v>
      </c>
      <c r="J145" s="26">
        <v>0.93693693693693703</v>
      </c>
      <c r="K145" s="26">
        <v>0.94067796610169496</v>
      </c>
      <c r="L145" s="27">
        <v>0.93043478260869605</v>
      </c>
      <c r="M145" s="26">
        <v>0.93215339233038397</v>
      </c>
      <c r="N145" s="28">
        <v>0.9</v>
      </c>
      <c r="O145" s="26">
        <v>0.58013291772040199</v>
      </c>
      <c r="P145" s="26">
        <v>0.94011687128075905</v>
      </c>
      <c r="Q145" s="26">
        <v>0.94469525959367995</v>
      </c>
      <c r="R145" s="26">
        <v>0.87052067124161803</v>
      </c>
      <c r="S145" s="28">
        <v>0.9</v>
      </c>
      <c r="T145" s="26">
        <v>0.85837793330588696</v>
      </c>
      <c r="U145" s="26">
        <v>0.85428617380582195</v>
      </c>
      <c r="V145" s="26">
        <v>0.91136192626034596</v>
      </c>
      <c r="W145" s="26">
        <v>0.87776372205492204</v>
      </c>
      <c r="X145" s="28">
        <v>0.92</v>
      </c>
      <c r="Y145" s="28">
        <v>0.92891760904684995</v>
      </c>
      <c r="Z145" s="28">
        <v>0.94844010478685403</v>
      </c>
      <c r="AA145" s="28">
        <v>0.94099294628323404</v>
      </c>
      <c r="AB145" s="28">
        <v>0.94425010396536102</v>
      </c>
      <c r="AC145" s="28">
        <v>0.92</v>
      </c>
      <c r="AD145" s="26">
        <v>0.950596724951429</v>
      </c>
      <c r="AE145" s="26">
        <v>0.99670590818895499</v>
      </c>
      <c r="AF145" s="26">
        <v>0.99405469678953595</v>
      </c>
      <c r="AG145" s="26">
        <v>0.99027322848311805</v>
      </c>
      <c r="AH145" s="28">
        <v>0.92</v>
      </c>
      <c r="AI145" s="26">
        <v>0.95745322872661398</v>
      </c>
      <c r="AJ145" s="26">
        <v>0.96252217622708502</v>
      </c>
      <c r="AK145" s="26">
        <v>0.96171901466389198</v>
      </c>
      <c r="AL145" s="26">
        <v>0.96205117179101296</v>
      </c>
      <c r="AM145" s="25">
        <v>0.99</v>
      </c>
      <c r="AN145" s="30">
        <v>1</v>
      </c>
      <c r="AO145" s="30">
        <v>1</v>
      </c>
      <c r="AP145" s="30">
        <v>1</v>
      </c>
      <c r="AQ145" s="30">
        <v>1</v>
      </c>
      <c r="AR145" s="32">
        <v>0.10526149898194399</v>
      </c>
      <c r="AS145" s="34">
        <v>6.8965517241379296E-2</v>
      </c>
      <c r="AT145" s="34">
        <v>3.03030303030303E-2</v>
      </c>
      <c r="AU145" s="34">
        <v>6.25E-2</v>
      </c>
      <c r="AV145" s="34">
        <v>8.1967213114754106E-2</v>
      </c>
      <c r="AW145" s="10"/>
      <c r="AX145" s="8"/>
    </row>
    <row r="146" spans="1:50">
      <c r="A146" s="7"/>
      <c r="B146" s="10"/>
      <c r="C146" s="45" t="s">
        <v>127</v>
      </c>
      <c r="D146" s="23" t="s">
        <v>11</v>
      </c>
      <c r="E146" s="46" t="s">
        <v>194</v>
      </c>
      <c r="F146" s="46" t="s">
        <v>194</v>
      </c>
      <c r="G146" s="46" t="s">
        <v>194</v>
      </c>
      <c r="H146" s="46" t="s">
        <v>194</v>
      </c>
      <c r="I146" s="25">
        <v>0.9</v>
      </c>
      <c r="J146" s="26">
        <v>0.96428571428571397</v>
      </c>
      <c r="K146" s="26">
        <v>0.89743589743589702</v>
      </c>
      <c r="L146" s="27">
        <v>0.934579439252336</v>
      </c>
      <c r="M146" s="26">
        <v>0.93447737909516404</v>
      </c>
      <c r="N146" s="28">
        <v>0.9</v>
      </c>
      <c r="O146" s="26">
        <v>0.97616251761390305</v>
      </c>
      <c r="P146" s="26">
        <v>0.961742314734509</v>
      </c>
      <c r="Q146" s="26">
        <v>0.98353850558259404</v>
      </c>
      <c r="R146" s="26">
        <v>0.97330960854092496</v>
      </c>
      <c r="S146" s="28">
        <v>0.9</v>
      </c>
      <c r="T146" s="26">
        <v>0.926373884452795</v>
      </c>
      <c r="U146" s="26">
        <v>0.93485593138672096</v>
      </c>
      <c r="V146" s="26">
        <v>0.93959347265960502</v>
      </c>
      <c r="W146" s="26">
        <v>0.93631548456509195</v>
      </c>
      <c r="X146" s="28">
        <v>0.92</v>
      </c>
      <c r="Y146" s="28">
        <v>0.93739054290718005</v>
      </c>
      <c r="Z146" s="28">
        <v>0.95981173062997804</v>
      </c>
      <c r="AA146" s="28">
        <v>0.953095684803002</v>
      </c>
      <c r="AB146" s="28">
        <v>0.95062437203961503</v>
      </c>
      <c r="AC146" s="28">
        <v>0.92</v>
      </c>
      <c r="AD146" s="26">
        <v>0.99546094140075303</v>
      </c>
      <c r="AE146" s="26">
        <v>0.99549707091020401</v>
      </c>
      <c r="AF146" s="26">
        <v>0.99192859700834701</v>
      </c>
      <c r="AG146" s="26">
        <v>0.99096693643009703</v>
      </c>
      <c r="AH146" s="28">
        <v>0.92</v>
      </c>
      <c r="AI146" s="26">
        <v>0.96102407336645002</v>
      </c>
      <c r="AJ146" s="26">
        <v>0.977819666980836</v>
      </c>
      <c r="AK146" s="26">
        <v>0.97206443078359706</v>
      </c>
      <c r="AL146" s="26">
        <v>0.97203164150126597</v>
      </c>
      <c r="AM146" s="25">
        <v>0.99</v>
      </c>
      <c r="AN146" s="30">
        <v>1</v>
      </c>
      <c r="AO146" s="30">
        <v>1</v>
      </c>
      <c r="AP146" s="30">
        <v>1</v>
      </c>
      <c r="AQ146" s="30">
        <v>1</v>
      </c>
      <c r="AR146" s="32">
        <v>0.10526149898194399</v>
      </c>
      <c r="AS146" s="34">
        <v>0.33333333333333298</v>
      </c>
      <c r="AT146" s="34">
        <v>4.7619047619047603E-2</v>
      </c>
      <c r="AU146" s="34">
        <v>6.25E-2</v>
      </c>
      <c r="AV146" s="34">
        <v>0.12</v>
      </c>
      <c r="AW146" s="10"/>
      <c r="AX146" s="8"/>
    </row>
    <row r="147" spans="1:50">
      <c r="A147" s="7"/>
      <c r="B147" s="10"/>
      <c r="C147" s="45" t="s">
        <v>127</v>
      </c>
      <c r="D147" s="23" t="s">
        <v>11</v>
      </c>
      <c r="E147" s="46" t="s">
        <v>195</v>
      </c>
      <c r="F147" s="46" t="s">
        <v>195</v>
      </c>
      <c r="G147" s="46" t="s">
        <v>195</v>
      </c>
      <c r="H147" s="46" t="s">
        <v>195</v>
      </c>
      <c r="I147" s="25">
        <v>0.9</v>
      </c>
      <c r="J147" s="26">
        <v>0.96511627906976705</v>
      </c>
      <c r="K147" s="26">
        <v>0.89772727272727304</v>
      </c>
      <c r="L147" s="27">
        <v>0.97752808988763995</v>
      </c>
      <c r="M147" s="26">
        <v>0.94951456310679605</v>
      </c>
      <c r="N147" s="28">
        <v>0.9</v>
      </c>
      <c r="O147" s="26">
        <v>0.98209001713128796</v>
      </c>
      <c r="P147" s="26">
        <v>0.97757239679605701</v>
      </c>
      <c r="Q147" s="26">
        <v>0.98885900883595901</v>
      </c>
      <c r="R147" s="26">
        <v>0.98346837783457497</v>
      </c>
      <c r="S147" s="28">
        <v>0.9</v>
      </c>
      <c r="T147" s="26">
        <v>0.939884753153714</v>
      </c>
      <c r="U147" s="26">
        <v>0.94799753542821896</v>
      </c>
      <c r="V147" s="26">
        <v>0.95140222819823295</v>
      </c>
      <c r="W147" s="26">
        <v>0.94453205720811395</v>
      </c>
      <c r="X147" s="28">
        <v>0.92</v>
      </c>
      <c r="Y147" s="28">
        <v>0.93652173913043502</v>
      </c>
      <c r="Z147" s="28">
        <v>0.95322777101096201</v>
      </c>
      <c r="AA147" s="28">
        <v>0.95977653631284898</v>
      </c>
      <c r="AB147" s="28">
        <v>0.94814639905549003</v>
      </c>
      <c r="AC147" s="28">
        <v>0.92</v>
      </c>
      <c r="AD147" s="26">
        <v>0.993996901626646</v>
      </c>
      <c r="AE147" s="26">
        <v>0.99556336075422902</v>
      </c>
      <c r="AF147" s="26">
        <v>0.98663745892661603</v>
      </c>
      <c r="AG147" s="26">
        <v>0.95630220277292699</v>
      </c>
      <c r="AH147" s="28">
        <v>0.92</v>
      </c>
      <c r="AI147" s="26">
        <v>0.96234817813765205</v>
      </c>
      <c r="AJ147" s="26">
        <v>0.97725413189330701</v>
      </c>
      <c r="AK147" s="26">
        <v>0.977176494887948</v>
      </c>
      <c r="AL147" s="26">
        <v>0.97257391244350899</v>
      </c>
      <c r="AM147" s="25">
        <v>0.99</v>
      </c>
      <c r="AN147" s="30">
        <v>1</v>
      </c>
      <c r="AO147" s="30">
        <v>1</v>
      </c>
      <c r="AP147" s="30">
        <v>1</v>
      </c>
      <c r="AQ147" s="30">
        <v>1</v>
      </c>
      <c r="AR147" s="32">
        <v>0.10526149898194399</v>
      </c>
      <c r="AS147" s="34">
        <v>0.11764705882352899</v>
      </c>
      <c r="AT147" s="34">
        <v>0</v>
      </c>
      <c r="AU147" s="34">
        <v>0.133333333333333</v>
      </c>
      <c r="AV147" s="34">
        <v>0.12</v>
      </c>
      <c r="AW147" s="10"/>
      <c r="AX147" s="8"/>
    </row>
    <row r="148" spans="1:50">
      <c r="A148" s="7"/>
      <c r="B148" s="10"/>
      <c r="C148" s="45" t="s">
        <v>127</v>
      </c>
      <c r="D148" s="23" t="s">
        <v>11</v>
      </c>
      <c r="E148" s="46" t="s">
        <v>196</v>
      </c>
      <c r="F148" s="46" t="s">
        <v>196</v>
      </c>
      <c r="G148" s="46" t="s">
        <v>196</v>
      </c>
      <c r="H148" s="46" t="s">
        <v>196</v>
      </c>
      <c r="I148" s="25">
        <v>0.9</v>
      </c>
      <c r="J148" s="26">
        <v>1</v>
      </c>
      <c r="K148" s="26">
        <v>1</v>
      </c>
      <c r="L148" s="27">
        <v>1</v>
      </c>
      <c r="M148" s="26">
        <v>0.99618320610686995</v>
      </c>
      <c r="N148" s="28">
        <v>0.9</v>
      </c>
      <c r="O148" s="26">
        <v>0.91971565962784896</v>
      </c>
      <c r="P148" s="26">
        <v>0.97017755559386298</v>
      </c>
      <c r="Q148" s="26">
        <v>0.94504152418172904</v>
      </c>
      <c r="R148" s="26">
        <v>0.94705003461973003</v>
      </c>
      <c r="S148" s="28">
        <v>0.9</v>
      </c>
      <c r="T148" s="26">
        <v>0.92473343090110804</v>
      </c>
      <c r="U148" s="26">
        <v>0.89277710739527705</v>
      </c>
      <c r="V148" s="26">
        <v>0.939667806546165</v>
      </c>
      <c r="W148" s="26">
        <v>0.91862541452571</v>
      </c>
      <c r="X148" s="28">
        <v>0.92</v>
      </c>
      <c r="Y148" s="28">
        <v>0.96027846027845998</v>
      </c>
      <c r="Z148" s="28">
        <v>0.95131204552639903</v>
      </c>
      <c r="AA148" s="28">
        <v>0.958883994126285</v>
      </c>
      <c r="AB148" s="28">
        <v>0.95467658183216897</v>
      </c>
      <c r="AC148" s="28">
        <v>0.92</v>
      </c>
      <c r="AD148" s="26">
        <v>0.98547178467655605</v>
      </c>
      <c r="AE148" s="26">
        <v>0.98378754724487805</v>
      </c>
      <c r="AF148" s="26">
        <v>0.98088888888888903</v>
      </c>
      <c r="AG148" s="26">
        <v>0.972083234056072</v>
      </c>
      <c r="AH148" s="28">
        <v>0.92</v>
      </c>
      <c r="AI148" s="26">
        <v>0.97509339975093401</v>
      </c>
      <c r="AJ148" s="26">
        <v>0.97467930842163997</v>
      </c>
      <c r="AK148" s="26">
        <v>0.97426323509801305</v>
      </c>
      <c r="AL148" s="26">
        <v>0.97579221261964499</v>
      </c>
      <c r="AM148" s="25">
        <v>0.99</v>
      </c>
      <c r="AN148" s="30">
        <v>1</v>
      </c>
      <c r="AO148" s="30">
        <v>1</v>
      </c>
      <c r="AP148" s="30">
        <v>1</v>
      </c>
      <c r="AQ148" s="30">
        <v>1</v>
      </c>
      <c r="AR148" s="32">
        <v>0.10526149898194399</v>
      </c>
      <c r="AS148" s="34">
        <v>5.2631578947368397E-2</v>
      </c>
      <c r="AT148" s="34">
        <v>5.5555555555555601E-2</v>
      </c>
      <c r="AU148" s="34">
        <v>0</v>
      </c>
      <c r="AV148" s="34">
        <v>0.10989010989011</v>
      </c>
      <c r="AW148" s="10"/>
      <c r="AX148" s="8"/>
    </row>
    <row r="149" spans="1:50">
      <c r="A149" s="7"/>
      <c r="B149" s="10"/>
      <c r="C149" s="45" t="s">
        <v>127</v>
      </c>
      <c r="D149" s="23" t="s">
        <v>11</v>
      </c>
      <c r="E149" s="46" t="s">
        <v>197</v>
      </c>
      <c r="F149" s="46" t="s">
        <v>197</v>
      </c>
      <c r="G149" s="46" t="s">
        <v>197</v>
      </c>
      <c r="H149" s="46" t="s">
        <v>197</v>
      </c>
      <c r="I149" s="25">
        <v>0.9</v>
      </c>
      <c r="J149" s="26">
        <v>0.97530864197530898</v>
      </c>
      <c r="K149" s="26">
        <v>0.987341772151899</v>
      </c>
      <c r="L149" s="27">
        <v>0.97560975609756095</v>
      </c>
      <c r="M149" s="26">
        <v>0.98105263157894695</v>
      </c>
      <c r="N149" s="28">
        <v>0.9</v>
      </c>
      <c r="O149" s="26">
        <v>0.90231304738378604</v>
      </c>
      <c r="P149" s="26">
        <v>0.81554777009752899</v>
      </c>
      <c r="Q149" s="26">
        <v>0.94720210664911098</v>
      </c>
      <c r="R149" s="26">
        <v>0.90122708068004898</v>
      </c>
      <c r="S149" s="28">
        <v>0.9</v>
      </c>
      <c r="T149" s="26">
        <v>0.86941387828430305</v>
      </c>
      <c r="U149" s="26">
        <v>0.85048764321560499</v>
      </c>
      <c r="V149" s="26">
        <v>0.90783410138248799</v>
      </c>
      <c r="W149" s="26">
        <v>0.88024339458628997</v>
      </c>
      <c r="X149" s="28">
        <v>0.92</v>
      </c>
      <c r="Y149" s="28">
        <v>0.91688686043718504</v>
      </c>
      <c r="Z149" s="28">
        <v>0.90704332887955696</v>
      </c>
      <c r="AA149" s="28">
        <v>0.92727609178386405</v>
      </c>
      <c r="AB149" s="28">
        <v>0.90677290836653401</v>
      </c>
      <c r="AC149" s="28">
        <v>0.92</v>
      </c>
      <c r="AD149" s="26">
        <v>0.99377448350969599</v>
      </c>
      <c r="AE149" s="26">
        <v>0.98713292180399703</v>
      </c>
      <c r="AF149" s="26">
        <v>0.99072968886766899</v>
      </c>
      <c r="AG149" s="26">
        <v>0.99092142080375401</v>
      </c>
      <c r="AH149" s="28">
        <v>0.92</v>
      </c>
      <c r="AI149" s="26">
        <v>0.94996940024479803</v>
      </c>
      <c r="AJ149" s="26">
        <v>0.94716193127887105</v>
      </c>
      <c r="AK149" s="26">
        <v>0.95707692307692305</v>
      </c>
      <c r="AL149" s="26">
        <v>0.94589569460011902</v>
      </c>
      <c r="AM149" s="25">
        <v>0.99</v>
      </c>
      <c r="AN149" s="30">
        <v>1</v>
      </c>
      <c r="AO149" s="30">
        <v>1</v>
      </c>
      <c r="AP149" s="30">
        <v>1</v>
      </c>
      <c r="AQ149" s="30">
        <v>1</v>
      </c>
      <c r="AR149" s="32">
        <v>0.10526149898194399</v>
      </c>
      <c r="AS149" s="34">
        <v>0.27777777777777801</v>
      </c>
      <c r="AT149" s="34">
        <v>0.10344827586206901</v>
      </c>
      <c r="AU149" s="34">
        <v>6.6666666666666693E-2</v>
      </c>
      <c r="AV149" s="34">
        <v>0.11111111111111099</v>
      </c>
      <c r="AW149" s="10"/>
      <c r="AX149" s="8"/>
    </row>
    <row r="150" spans="1:50">
      <c r="A150" s="7"/>
      <c r="B150" s="10"/>
      <c r="C150" s="45" t="s">
        <v>127</v>
      </c>
      <c r="D150" s="23" t="s">
        <v>11</v>
      </c>
      <c r="E150" s="46" t="s">
        <v>198</v>
      </c>
      <c r="F150" s="46" t="s">
        <v>198</v>
      </c>
      <c r="G150" s="46" t="s">
        <v>198</v>
      </c>
      <c r="H150" s="46" t="s">
        <v>198</v>
      </c>
      <c r="I150" s="25">
        <v>0.9</v>
      </c>
      <c r="J150" s="26">
        <v>0.85714285714285698</v>
      </c>
      <c r="K150" s="26">
        <v>0.91666666666666696</v>
      </c>
      <c r="L150" s="27">
        <v>0.18181818181818199</v>
      </c>
      <c r="M150" s="26">
        <v>0.58870967741935498</v>
      </c>
      <c r="N150" s="28">
        <v>0.9</v>
      </c>
      <c r="O150" s="26">
        <v>0.88483466362599805</v>
      </c>
      <c r="P150" s="26">
        <v>0.904095649961842</v>
      </c>
      <c r="Q150" s="26">
        <v>0.52883675464320601</v>
      </c>
      <c r="R150" s="26">
        <v>0.75738111944729303</v>
      </c>
      <c r="S150" s="28">
        <v>0.9</v>
      </c>
      <c r="T150" s="26">
        <v>0.75228050171037597</v>
      </c>
      <c r="U150" s="26">
        <v>0.76469091834138903</v>
      </c>
      <c r="V150" s="26">
        <v>0.78592375366568901</v>
      </c>
      <c r="W150" s="26">
        <v>0.74939277810762694</v>
      </c>
      <c r="X150" s="28">
        <v>0.92</v>
      </c>
      <c r="Y150" s="28">
        <v>0.91415038484310196</v>
      </c>
      <c r="Z150" s="28">
        <v>0.94463840399002497</v>
      </c>
      <c r="AA150" s="28">
        <v>0.95629820051413905</v>
      </c>
      <c r="AB150" s="28">
        <v>0.93056128765992596</v>
      </c>
      <c r="AC150" s="28">
        <v>0.92</v>
      </c>
      <c r="AD150" s="26">
        <v>0.99537953795379497</v>
      </c>
      <c r="AE150" s="26">
        <v>0.99073387694588599</v>
      </c>
      <c r="AF150" s="26">
        <v>0.98594549812113497</v>
      </c>
      <c r="AG150" s="26">
        <v>0.98160220024577205</v>
      </c>
      <c r="AH150" s="28">
        <v>0.92</v>
      </c>
      <c r="AI150" s="26">
        <v>0.93496247835289603</v>
      </c>
      <c r="AJ150" s="26">
        <v>0.96058615462354702</v>
      </c>
      <c r="AK150" s="26">
        <v>0.96749750747756702</v>
      </c>
      <c r="AL150" s="26">
        <v>0.94582624716553299</v>
      </c>
      <c r="AM150" s="25">
        <v>0.99</v>
      </c>
      <c r="AN150" s="30">
        <v>1</v>
      </c>
      <c r="AO150" s="30">
        <v>1</v>
      </c>
      <c r="AP150" s="30">
        <v>1</v>
      </c>
      <c r="AQ150" s="30">
        <v>1</v>
      </c>
      <c r="AR150" s="32">
        <v>0.10526149898194399</v>
      </c>
      <c r="AS150" s="34">
        <v>0.125</v>
      </c>
      <c r="AT150" s="34">
        <v>7.1428571428571397E-2</v>
      </c>
      <c r="AU150" s="34">
        <v>7.69230769230769E-2</v>
      </c>
      <c r="AV150" s="34">
        <v>0.101694915254237</v>
      </c>
      <c r="AW150" s="10"/>
      <c r="AX150" s="8"/>
    </row>
    <row r="151" spans="1:50">
      <c r="A151" s="7"/>
      <c r="B151" s="10"/>
      <c r="C151" s="45" t="s">
        <v>127</v>
      </c>
      <c r="D151" s="23" t="s">
        <v>11</v>
      </c>
      <c r="E151" s="46" t="s">
        <v>199</v>
      </c>
      <c r="F151" s="46" t="s">
        <v>199</v>
      </c>
      <c r="G151" s="46" t="s">
        <v>199</v>
      </c>
      <c r="H151" s="46" t="s">
        <v>199</v>
      </c>
      <c r="I151" s="25">
        <v>0.9</v>
      </c>
      <c r="J151" s="26">
        <v>0.98571428571428599</v>
      </c>
      <c r="K151" s="26">
        <v>1</v>
      </c>
      <c r="L151" s="27">
        <v>1</v>
      </c>
      <c r="M151" s="26">
        <v>0.99748110831234305</v>
      </c>
      <c r="N151" s="28">
        <v>0.9</v>
      </c>
      <c r="O151" s="26">
        <v>0.97495373226403503</v>
      </c>
      <c r="P151" s="26">
        <v>0.977688289072704</v>
      </c>
      <c r="Q151" s="26">
        <v>0.96720532319391594</v>
      </c>
      <c r="R151" s="26">
        <v>0.97488255267686896</v>
      </c>
      <c r="S151" s="28">
        <v>0.9</v>
      </c>
      <c r="T151" s="26">
        <v>0.94114743985194305</v>
      </c>
      <c r="U151" s="26">
        <v>0.92566390944710497</v>
      </c>
      <c r="V151" s="26">
        <v>0.95152091254752802</v>
      </c>
      <c r="W151" s="26">
        <v>0.93362481975905898</v>
      </c>
      <c r="X151" s="28">
        <v>0.92</v>
      </c>
      <c r="Y151" s="28">
        <v>0.92053167420814497</v>
      </c>
      <c r="Z151" s="28">
        <v>0.93637992831541195</v>
      </c>
      <c r="AA151" s="28">
        <v>0.93445338381448195</v>
      </c>
      <c r="AB151" s="28">
        <v>0.92211473565804303</v>
      </c>
      <c r="AC151" s="28">
        <v>0.92</v>
      </c>
      <c r="AD151" s="26">
        <v>0.99583945944255003</v>
      </c>
      <c r="AE151" s="26">
        <v>0.99171116862693698</v>
      </c>
      <c r="AF151" s="26">
        <v>0.99062696259079797</v>
      </c>
      <c r="AG151" s="26">
        <v>0.99170165824496503</v>
      </c>
      <c r="AH151" s="28">
        <v>0.92</v>
      </c>
      <c r="AI151" s="26">
        <v>0.96193831085144799</v>
      </c>
      <c r="AJ151" s="26">
        <v>0.970196250732279</v>
      </c>
      <c r="AK151" s="26">
        <v>0.96518026565464898</v>
      </c>
      <c r="AL151" s="26">
        <v>0.95917835517743499</v>
      </c>
      <c r="AM151" s="25">
        <v>0.99</v>
      </c>
      <c r="AN151" s="30">
        <v>1</v>
      </c>
      <c r="AO151" s="30">
        <v>1</v>
      </c>
      <c r="AP151" s="30">
        <v>1</v>
      </c>
      <c r="AQ151" s="30">
        <v>1</v>
      </c>
      <c r="AR151" s="32">
        <v>0.10526149898194399</v>
      </c>
      <c r="AS151" s="34">
        <v>7.69230769230769E-2</v>
      </c>
      <c r="AT151" s="34">
        <v>3.03030303030303E-2</v>
      </c>
      <c r="AU151" s="34">
        <v>0.05</v>
      </c>
      <c r="AV151" s="34">
        <v>6.19047619047619E-2</v>
      </c>
      <c r="AW151" s="10"/>
      <c r="AX151" s="8"/>
    </row>
    <row r="152" spans="1:50">
      <c r="A152" s="7"/>
      <c r="B152" s="10"/>
      <c r="C152" s="45" t="s">
        <v>127</v>
      </c>
      <c r="D152" s="23" t="s">
        <v>11</v>
      </c>
      <c r="E152" s="46" t="s">
        <v>200</v>
      </c>
      <c r="F152" s="46" t="s">
        <v>200</v>
      </c>
      <c r="G152" s="46" t="s">
        <v>200</v>
      </c>
      <c r="H152" s="46" t="s">
        <v>200</v>
      </c>
      <c r="I152" s="25">
        <v>0.9</v>
      </c>
      <c r="J152" s="26">
        <v>0</v>
      </c>
      <c r="K152" s="26">
        <v>0</v>
      </c>
      <c r="L152" s="27">
        <v>0</v>
      </c>
      <c r="M152" s="26">
        <v>0</v>
      </c>
      <c r="N152" s="28">
        <v>0.9</v>
      </c>
      <c r="O152" s="26">
        <v>0</v>
      </c>
      <c r="P152" s="26">
        <v>0</v>
      </c>
      <c r="Q152" s="26">
        <v>0</v>
      </c>
      <c r="R152" s="26">
        <v>0</v>
      </c>
      <c r="S152" s="28">
        <v>0.9</v>
      </c>
      <c r="T152" s="26">
        <v>0</v>
      </c>
      <c r="U152" s="26">
        <v>0</v>
      </c>
      <c r="V152" s="26">
        <v>0</v>
      </c>
      <c r="W152" s="26">
        <v>0</v>
      </c>
      <c r="X152" s="28">
        <v>0.92</v>
      </c>
      <c r="Y152" s="28">
        <v>0</v>
      </c>
      <c r="Z152" s="28">
        <v>0</v>
      </c>
      <c r="AA152" s="28">
        <v>0</v>
      </c>
      <c r="AB152" s="28">
        <v>0</v>
      </c>
      <c r="AC152" s="28">
        <v>0.92</v>
      </c>
      <c r="AD152" s="26">
        <v>0</v>
      </c>
      <c r="AE152" s="26">
        <v>0</v>
      </c>
      <c r="AF152" s="26">
        <v>0</v>
      </c>
      <c r="AG152" s="26">
        <v>0</v>
      </c>
      <c r="AH152" s="28">
        <v>0.92</v>
      </c>
      <c r="AI152" s="26">
        <v>0</v>
      </c>
      <c r="AJ152" s="26">
        <v>0</v>
      </c>
      <c r="AK152" s="26">
        <v>0</v>
      </c>
      <c r="AL152" s="26">
        <v>0</v>
      </c>
      <c r="AM152" s="25">
        <v>0.99</v>
      </c>
      <c r="AN152" s="30">
        <v>0</v>
      </c>
      <c r="AO152" s="30">
        <v>0</v>
      </c>
      <c r="AP152" s="30">
        <v>0</v>
      </c>
      <c r="AQ152" s="30">
        <v>0</v>
      </c>
      <c r="AR152" s="32">
        <v>0.10526149898194399</v>
      </c>
      <c r="AS152" s="34">
        <v>0</v>
      </c>
      <c r="AT152" s="34">
        <v>0</v>
      </c>
      <c r="AU152" s="34">
        <v>0</v>
      </c>
      <c r="AV152" s="34">
        <v>0</v>
      </c>
      <c r="AW152" s="10"/>
      <c r="AX152" s="8"/>
    </row>
    <row r="153" spans="1:50">
      <c r="A153" s="7"/>
      <c r="B153" s="10"/>
      <c r="C153" s="45" t="s">
        <v>127</v>
      </c>
      <c r="D153" s="23" t="s">
        <v>11</v>
      </c>
      <c r="E153" s="46" t="s">
        <v>201</v>
      </c>
      <c r="F153" s="46" t="s">
        <v>201</v>
      </c>
      <c r="G153" s="46" t="s">
        <v>201</v>
      </c>
      <c r="H153" s="46" t="s">
        <v>201</v>
      </c>
      <c r="I153" s="25">
        <v>0.9</v>
      </c>
      <c r="J153" s="26">
        <v>0.97777777777777797</v>
      </c>
      <c r="K153" s="26">
        <v>0.95555555555555605</v>
      </c>
      <c r="L153" s="27">
        <v>0.96470588235294097</v>
      </c>
      <c r="M153" s="26">
        <v>0.94891944990176802</v>
      </c>
      <c r="N153" s="28">
        <v>0.9</v>
      </c>
      <c r="O153" s="26">
        <v>0.94416819331763102</v>
      </c>
      <c r="P153" s="26">
        <v>0.91823998736077095</v>
      </c>
      <c r="Q153" s="26">
        <v>0.95558402733290604</v>
      </c>
      <c r="R153" s="26">
        <v>0.94082830535152195</v>
      </c>
      <c r="S153" s="28">
        <v>0.9</v>
      </c>
      <c r="T153" s="26">
        <v>0.93614237110704002</v>
      </c>
      <c r="U153" s="26">
        <v>0.90891855596808602</v>
      </c>
      <c r="V153" s="26">
        <v>0.93860773008755105</v>
      </c>
      <c r="W153" s="26">
        <v>0.93225341028331599</v>
      </c>
      <c r="X153" s="28">
        <v>0.92</v>
      </c>
      <c r="Y153" s="28">
        <v>0.96235202794488695</v>
      </c>
      <c r="Z153" s="28">
        <v>0.96279828071735596</v>
      </c>
      <c r="AA153" s="28">
        <v>0.95995288574793902</v>
      </c>
      <c r="AB153" s="28">
        <v>0.96599500205611599</v>
      </c>
      <c r="AC153" s="28">
        <v>0.92</v>
      </c>
      <c r="AD153" s="26">
        <v>0.99018732426476197</v>
      </c>
      <c r="AE153" s="26">
        <v>0.98877205346488695</v>
      </c>
      <c r="AF153" s="26">
        <v>0.987002857823291</v>
      </c>
      <c r="AG153" s="26">
        <v>0.98827215573552796</v>
      </c>
      <c r="AH153" s="28">
        <v>0.92</v>
      </c>
      <c r="AI153" s="26">
        <v>0.97569486223077895</v>
      </c>
      <c r="AJ153" s="26">
        <v>0.97810632598392699</v>
      </c>
      <c r="AK153" s="26">
        <v>0.97655586756350798</v>
      </c>
      <c r="AL153" s="26">
        <v>0.97894941382213896</v>
      </c>
      <c r="AM153" s="25">
        <v>0.99</v>
      </c>
      <c r="AN153" s="30">
        <v>1</v>
      </c>
      <c r="AO153" s="30">
        <v>1</v>
      </c>
      <c r="AP153" s="30">
        <v>1</v>
      </c>
      <c r="AQ153" s="30">
        <v>1</v>
      </c>
      <c r="AR153" s="32">
        <v>0.10526149898194399</v>
      </c>
      <c r="AS153" s="34">
        <v>0</v>
      </c>
      <c r="AT153" s="34">
        <v>0</v>
      </c>
      <c r="AU153" s="34">
        <v>9.0909090909090898E-2</v>
      </c>
      <c r="AV153" s="34">
        <v>5.0359712230215799E-2</v>
      </c>
      <c r="AW153" s="10"/>
      <c r="AX153" s="8"/>
    </row>
    <row r="154" spans="1:50">
      <c r="A154" s="7"/>
      <c r="B154" s="10"/>
      <c r="C154" s="45" t="s">
        <v>127</v>
      </c>
      <c r="D154" s="23" t="s">
        <v>11</v>
      </c>
      <c r="E154" s="46" t="s">
        <v>202</v>
      </c>
      <c r="F154" s="46" t="s">
        <v>202</v>
      </c>
      <c r="G154" s="46" t="s">
        <v>202</v>
      </c>
      <c r="H154" s="46" t="s">
        <v>202</v>
      </c>
      <c r="I154" s="25">
        <v>0.9</v>
      </c>
      <c r="J154" s="26">
        <v>0.97520661157024802</v>
      </c>
      <c r="K154" s="26">
        <v>0.97674418604651203</v>
      </c>
      <c r="L154" s="27">
        <v>0.98387096774193505</v>
      </c>
      <c r="M154" s="26">
        <v>0.96849315068493103</v>
      </c>
      <c r="N154" s="28">
        <v>0.9</v>
      </c>
      <c r="O154" s="26">
        <v>0.88816302067725506</v>
      </c>
      <c r="P154" s="26">
        <v>0.89652202002799597</v>
      </c>
      <c r="Q154" s="26">
        <v>0.92743984456732897</v>
      </c>
      <c r="R154" s="26">
        <v>0.90615231278032005</v>
      </c>
      <c r="S154" s="28">
        <v>0.9</v>
      </c>
      <c r="T154" s="26">
        <v>0.93700928978124098</v>
      </c>
      <c r="U154" s="26">
        <v>0.91821901582857801</v>
      </c>
      <c r="V154" s="26">
        <v>0.95090419967119999</v>
      </c>
      <c r="W154" s="26">
        <v>0.93673265981062803</v>
      </c>
      <c r="X154" s="28">
        <v>0.92</v>
      </c>
      <c r="Y154" s="28">
        <v>0.94643587297260501</v>
      </c>
      <c r="Z154" s="28">
        <v>0.95569688476878301</v>
      </c>
      <c r="AA154" s="28">
        <v>0.94363137434255695</v>
      </c>
      <c r="AB154" s="28">
        <v>0.94936005688383296</v>
      </c>
      <c r="AC154" s="28">
        <v>0.92</v>
      </c>
      <c r="AD154" s="26">
        <v>0.893058980121757</v>
      </c>
      <c r="AE154" s="26">
        <v>0.97719263315082106</v>
      </c>
      <c r="AF154" s="26">
        <v>0.96679530642559197</v>
      </c>
      <c r="AG154" s="26">
        <v>0.95156293016513804</v>
      </c>
      <c r="AH154" s="28">
        <v>0.92</v>
      </c>
      <c r="AI154" s="26">
        <v>0.97082206035379803</v>
      </c>
      <c r="AJ154" s="26">
        <v>0.97260913268236604</v>
      </c>
      <c r="AK154" s="26">
        <v>0.97067461931227705</v>
      </c>
      <c r="AL154" s="26">
        <v>0.97209012766085101</v>
      </c>
      <c r="AM154" s="25">
        <v>0.99</v>
      </c>
      <c r="AN154" s="30">
        <v>1</v>
      </c>
      <c r="AO154" s="30">
        <v>1</v>
      </c>
      <c r="AP154" s="30">
        <v>1</v>
      </c>
      <c r="AQ154" s="30">
        <v>1</v>
      </c>
      <c r="AR154" s="32">
        <v>0.10526149898194399</v>
      </c>
      <c r="AS154" s="34">
        <v>1.0416666666666701E-2</v>
      </c>
      <c r="AT154" s="34">
        <v>9.6153846153846194E-3</v>
      </c>
      <c r="AU154" s="34">
        <v>1.03092783505155E-2</v>
      </c>
      <c r="AV154" s="34">
        <v>2.07667731629393E-2</v>
      </c>
      <c r="AW154" s="10"/>
      <c r="AX154" s="8"/>
    </row>
    <row r="155" spans="1:50">
      <c r="A155" s="7"/>
      <c r="B155" s="10"/>
      <c r="C155" s="45" t="s">
        <v>127</v>
      </c>
      <c r="D155" s="23" t="s">
        <v>11</v>
      </c>
      <c r="E155" s="46" t="s">
        <v>203</v>
      </c>
      <c r="F155" s="46" t="s">
        <v>203</v>
      </c>
      <c r="G155" s="46" t="s">
        <v>203</v>
      </c>
      <c r="H155" s="46" t="s">
        <v>203</v>
      </c>
      <c r="I155" s="25">
        <v>0.9</v>
      </c>
      <c r="J155" s="26">
        <v>0.95588235294117696</v>
      </c>
      <c r="K155" s="26">
        <v>0.95774647887323905</v>
      </c>
      <c r="L155" s="27">
        <v>0.95522388059701502</v>
      </c>
      <c r="M155" s="26">
        <v>0.95674300254452904</v>
      </c>
      <c r="N155" s="28">
        <v>0.9</v>
      </c>
      <c r="O155" s="26">
        <v>0.83333333333333304</v>
      </c>
      <c r="P155" s="26">
        <v>0.84546904065904904</v>
      </c>
      <c r="Q155" s="26">
        <v>0.90183696900114796</v>
      </c>
      <c r="R155" s="26">
        <v>0.85726772874665202</v>
      </c>
      <c r="S155" s="28">
        <v>0.9</v>
      </c>
      <c r="T155" s="26">
        <v>0.81742281033396302</v>
      </c>
      <c r="U155" s="26">
        <v>0.825006643635397</v>
      </c>
      <c r="V155" s="26">
        <v>0.88040566398775399</v>
      </c>
      <c r="W155" s="26">
        <v>0.83578175666149701</v>
      </c>
      <c r="X155" s="28">
        <v>0.92</v>
      </c>
      <c r="Y155" s="28">
        <v>0.96024173027989801</v>
      </c>
      <c r="Z155" s="28">
        <v>0.90539541759053999</v>
      </c>
      <c r="AA155" s="28">
        <v>0.92594244925273295</v>
      </c>
      <c r="AB155" s="28">
        <v>0.92424544277318499</v>
      </c>
      <c r="AC155" s="28">
        <v>0.92</v>
      </c>
      <c r="AD155" s="26">
        <v>0.99292786421499302</v>
      </c>
      <c r="AE155" s="26">
        <v>0.99557069846678004</v>
      </c>
      <c r="AF155" s="26">
        <v>0.99660556687033297</v>
      </c>
      <c r="AG155" s="26">
        <v>0.99237562742232699</v>
      </c>
      <c r="AH155" s="28">
        <v>0.92</v>
      </c>
      <c r="AI155" s="26">
        <v>0.96544822500790095</v>
      </c>
      <c r="AJ155" s="26">
        <v>0.94596927326083202</v>
      </c>
      <c r="AK155" s="26">
        <v>0.95509783728115305</v>
      </c>
      <c r="AL155" s="26">
        <v>0.95117911791179099</v>
      </c>
      <c r="AM155" s="25">
        <v>0.99</v>
      </c>
      <c r="AN155" s="30">
        <v>1</v>
      </c>
      <c r="AO155" s="30">
        <v>1</v>
      </c>
      <c r="AP155" s="30">
        <v>1</v>
      </c>
      <c r="AQ155" s="30">
        <v>1</v>
      </c>
      <c r="AR155" s="32">
        <v>0.10526149898194399</v>
      </c>
      <c r="AS155" s="34">
        <v>6.25E-2</v>
      </c>
      <c r="AT155" s="34">
        <v>5.5555555555555601E-2</v>
      </c>
      <c r="AU155" s="34">
        <v>6.6666666666666693E-2</v>
      </c>
      <c r="AV155" s="34">
        <v>5.8252427184466E-2</v>
      </c>
      <c r="AW155" s="10"/>
      <c r="AX155" s="8"/>
    </row>
    <row r="156" spans="1:50">
      <c r="A156" s="7"/>
      <c r="B156" s="10"/>
      <c r="C156" s="45" t="s">
        <v>127</v>
      </c>
      <c r="D156" s="23" t="s">
        <v>11</v>
      </c>
      <c r="E156" s="46" t="s">
        <v>204</v>
      </c>
      <c r="F156" s="46" t="s">
        <v>204</v>
      </c>
      <c r="G156" s="46" t="s">
        <v>204</v>
      </c>
      <c r="H156" s="46" t="s">
        <v>204</v>
      </c>
      <c r="I156" s="25">
        <v>0.9</v>
      </c>
      <c r="J156" s="26">
        <v>0.98305084745762705</v>
      </c>
      <c r="K156" s="26">
        <v>0.96721311475409799</v>
      </c>
      <c r="L156" s="27">
        <v>0.94339622641509402</v>
      </c>
      <c r="M156" s="26">
        <v>0.96470588235294097</v>
      </c>
      <c r="N156" s="28">
        <v>0.9</v>
      </c>
      <c r="O156" s="26">
        <v>0.93812279009964605</v>
      </c>
      <c r="P156" s="26">
        <v>0.93222645617855204</v>
      </c>
      <c r="Q156" s="26">
        <v>0.92976396085204405</v>
      </c>
      <c r="R156" s="26">
        <v>0.94041830892718403</v>
      </c>
      <c r="S156" s="28">
        <v>0.9</v>
      </c>
      <c r="T156" s="26">
        <v>0.92060430729668896</v>
      </c>
      <c r="U156" s="26">
        <v>0.93508437670114297</v>
      </c>
      <c r="V156" s="26">
        <v>0.92976396085204405</v>
      </c>
      <c r="W156" s="26">
        <v>0.93423286055410104</v>
      </c>
      <c r="X156" s="28">
        <v>0.92</v>
      </c>
      <c r="Y156" s="28">
        <v>0.96129441624365497</v>
      </c>
      <c r="Z156" s="28">
        <v>0.97470238095238104</v>
      </c>
      <c r="AA156" s="28">
        <v>0.97021593447505605</v>
      </c>
      <c r="AB156" s="28">
        <v>0.96708952895913503</v>
      </c>
      <c r="AC156" s="28">
        <v>0.92</v>
      </c>
      <c r="AD156" s="26">
        <v>0.99461802248047204</v>
      </c>
      <c r="AE156" s="26">
        <v>0.99271620874055</v>
      </c>
      <c r="AF156" s="26">
        <v>0.99575655180542999</v>
      </c>
      <c r="AG156" s="26">
        <v>0.984379635123109</v>
      </c>
      <c r="AH156" s="28">
        <v>0.92</v>
      </c>
      <c r="AI156" s="26">
        <v>0.970986666666667</v>
      </c>
      <c r="AJ156" s="26">
        <v>0.98286768581971495</v>
      </c>
      <c r="AK156" s="26">
        <v>0.97922527591430397</v>
      </c>
      <c r="AL156" s="26">
        <v>0.97818639705201604</v>
      </c>
      <c r="AM156" s="25">
        <v>0.99</v>
      </c>
      <c r="AN156" s="30">
        <v>1</v>
      </c>
      <c r="AO156" s="30">
        <v>1</v>
      </c>
      <c r="AP156" s="30">
        <v>1</v>
      </c>
      <c r="AQ156" s="30">
        <v>1</v>
      </c>
      <c r="AR156" s="32">
        <v>0.10526149898194399</v>
      </c>
      <c r="AS156" s="34">
        <v>0.11764705882352899</v>
      </c>
      <c r="AT156" s="34">
        <v>4.3478260869565202E-2</v>
      </c>
      <c r="AU156" s="34">
        <v>0</v>
      </c>
      <c r="AV156" s="34">
        <v>8.6538461538461495E-2</v>
      </c>
      <c r="AW156" s="10"/>
      <c r="AX156" s="8"/>
    </row>
    <row r="157" spans="1:50">
      <c r="A157" s="7"/>
      <c r="B157" s="10"/>
      <c r="C157" s="45" t="s">
        <v>127</v>
      </c>
      <c r="D157" s="23" t="s">
        <v>11</v>
      </c>
      <c r="E157" s="46" t="s">
        <v>205</v>
      </c>
      <c r="F157" s="46" t="s">
        <v>205</v>
      </c>
      <c r="G157" s="46" t="s">
        <v>205</v>
      </c>
      <c r="H157" s="46" t="s">
        <v>205</v>
      </c>
      <c r="I157" s="25">
        <v>0.9</v>
      </c>
      <c r="J157" s="26">
        <v>0.99115044247787598</v>
      </c>
      <c r="K157" s="26">
        <v>0.98198198198198205</v>
      </c>
      <c r="L157" s="27">
        <v>0.98095238095238102</v>
      </c>
      <c r="M157" s="26">
        <v>0.96343402225755204</v>
      </c>
      <c r="N157" s="28">
        <v>0.9</v>
      </c>
      <c r="O157" s="26">
        <v>0.97158395649218199</v>
      </c>
      <c r="P157" s="26">
        <v>0.95425709515859802</v>
      </c>
      <c r="Q157" s="26">
        <v>0.96361290322580695</v>
      </c>
      <c r="R157" s="26">
        <v>0.96440299125251805</v>
      </c>
      <c r="S157" s="28">
        <v>0.9</v>
      </c>
      <c r="T157" s="26">
        <v>0.904826648538409</v>
      </c>
      <c r="U157" s="26">
        <v>0.87946577629382305</v>
      </c>
      <c r="V157" s="26">
        <v>0.901935483870968</v>
      </c>
      <c r="W157" s="26">
        <v>0.89756891746460998</v>
      </c>
      <c r="X157" s="28">
        <v>0.92</v>
      </c>
      <c r="Y157" s="28">
        <v>0.93851441665075397</v>
      </c>
      <c r="Z157" s="28">
        <v>0.94062172546280098</v>
      </c>
      <c r="AA157" s="28">
        <v>0.95622374530179099</v>
      </c>
      <c r="AB157" s="28">
        <v>0.94570762279551102</v>
      </c>
      <c r="AC157" s="28">
        <v>0.92</v>
      </c>
      <c r="AD157" s="26">
        <v>0.97018970189701903</v>
      </c>
      <c r="AE157" s="26">
        <v>0.96065128900949803</v>
      </c>
      <c r="AF157" s="26">
        <v>0.97026431718061701</v>
      </c>
      <c r="AG157" s="26">
        <v>0.97672568132086701</v>
      </c>
      <c r="AH157" s="28">
        <v>0.92</v>
      </c>
      <c r="AI157" s="26">
        <v>0.963324601095499</v>
      </c>
      <c r="AJ157" s="26">
        <v>0.96656927362913603</v>
      </c>
      <c r="AK157" s="26">
        <v>0.96868674842243097</v>
      </c>
      <c r="AL157" s="26">
        <v>0.96673208258105003</v>
      </c>
      <c r="AM157" s="25">
        <v>0.99</v>
      </c>
      <c r="AN157" s="30">
        <v>1</v>
      </c>
      <c r="AO157" s="30">
        <v>1</v>
      </c>
      <c r="AP157" s="30">
        <v>1</v>
      </c>
      <c r="AQ157" s="30">
        <v>1</v>
      </c>
      <c r="AR157" s="32">
        <v>0.10526149898194399</v>
      </c>
      <c r="AS157" s="34">
        <v>0.1</v>
      </c>
      <c r="AT157" s="34">
        <v>5.2631578947368397E-2</v>
      </c>
      <c r="AU157" s="34">
        <v>0.25</v>
      </c>
      <c r="AV157" s="34">
        <v>0.15730337078651699</v>
      </c>
      <c r="AW157" s="10"/>
      <c r="AX157" s="8"/>
    </row>
    <row r="158" spans="1:50">
      <c r="A158" s="7"/>
      <c r="B158" s="10"/>
      <c r="C158" s="45" t="s">
        <v>127</v>
      </c>
      <c r="D158" s="23" t="s">
        <v>11</v>
      </c>
      <c r="E158" s="46" t="s">
        <v>206</v>
      </c>
      <c r="F158" s="46" t="s">
        <v>206</v>
      </c>
      <c r="G158" s="46" t="s">
        <v>206</v>
      </c>
      <c r="H158" s="46" t="s">
        <v>206</v>
      </c>
      <c r="I158" s="25">
        <v>0.9</v>
      </c>
      <c r="J158" s="26">
        <v>0.97872340425531901</v>
      </c>
      <c r="K158" s="26">
        <v>0.98979591836734704</v>
      </c>
      <c r="L158" s="27">
        <v>0.96551724137931005</v>
      </c>
      <c r="M158" s="26">
        <v>0.96958174904942995</v>
      </c>
      <c r="N158" s="28">
        <v>0.9</v>
      </c>
      <c r="O158" s="26">
        <v>0.95218076720966904</v>
      </c>
      <c r="P158" s="26">
        <v>0.84480431848852899</v>
      </c>
      <c r="Q158" s="26">
        <v>0.98245614035087703</v>
      </c>
      <c r="R158" s="26">
        <v>0.92167254101478302</v>
      </c>
      <c r="S158" s="28">
        <v>0.9</v>
      </c>
      <c r="T158" s="26">
        <v>0.95086705202312105</v>
      </c>
      <c r="U158" s="26">
        <v>0.95266272189349099</v>
      </c>
      <c r="V158" s="26">
        <v>0.95937211449676796</v>
      </c>
      <c r="W158" s="26">
        <v>0.94827192737784305</v>
      </c>
      <c r="X158" s="28">
        <v>0.92</v>
      </c>
      <c r="Y158" s="28">
        <v>0.95995070856438702</v>
      </c>
      <c r="Z158" s="28">
        <v>0.96822594880847301</v>
      </c>
      <c r="AA158" s="28">
        <v>0.96869527145359002</v>
      </c>
      <c r="AB158" s="28">
        <v>0.96048891415576998</v>
      </c>
      <c r="AC158" s="28">
        <v>0.92</v>
      </c>
      <c r="AD158" s="26">
        <v>0.99558967657628195</v>
      </c>
      <c r="AE158" s="26">
        <v>0.65539016689219698</v>
      </c>
      <c r="AF158" s="26">
        <v>0.99213711958366302</v>
      </c>
      <c r="AG158" s="26">
        <v>0.83075353758199</v>
      </c>
      <c r="AH158" s="28">
        <v>0.92</v>
      </c>
      <c r="AI158" s="26">
        <v>0.97373478539397795</v>
      </c>
      <c r="AJ158" s="26">
        <v>0.98071643352072202</v>
      </c>
      <c r="AK158" s="26">
        <v>0.97876404494381997</v>
      </c>
      <c r="AL158" s="26">
        <v>0.97513056085689298</v>
      </c>
      <c r="AM158" s="25">
        <v>0.99</v>
      </c>
      <c r="AN158" s="30">
        <v>1</v>
      </c>
      <c r="AO158" s="30">
        <v>1</v>
      </c>
      <c r="AP158" s="30">
        <v>1</v>
      </c>
      <c r="AQ158" s="30">
        <v>1</v>
      </c>
      <c r="AR158" s="32">
        <v>0.10526149898194399</v>
      </c>
      <c r="AS158" s="34">
        <v>7.69230769230769E-2</v>
      </c>
      <c r="AT158" s="34">
        <v>3.4482758620689703E-2</v>
      </c>
      <c r="AU158" s="34">
        <v>-5.5555555555555601E-2</v>
      </c>
      <c r="AV158" s="34">
        <v>2.7586206896551699E-2</v>
      </c>
      <c r="AW158" s="10"/>
      <c r="AX158" s="8"/>
    </row>
    <row r="159" spans="1:50">
      <c r="A159" s="7"/>
      <c r="B159" s="10"/>
      <c r="C159" s="45" t="s">
        <v>127</v>
      </c>
      <c r="D159" s="23" t="s">
        <v>11</v>
      </c>
      <c r="E159" s="46" t="s">
        <v>207</v>
      </c>
      <c r="F159" s="46" t="s">
        <v>207</v>
      </c>
      <c r="G159" s="46" t="s">
        <v>207</v>
      </c>
      <c r="H159" s="46" t="s">
        <v>207</v>
      </c>
      <c r="I159" s="25">
        <v>0.9</v>
      </c>
      <c r="J159" s="26">
        <v>0.97222222222222199</v>
      </c>
      <c r="K159" s="26">
        <v>0.97297297297297303</v>
      </c>
      <c r="L159" s="27">
        <v>0.97101449275362295</v>
      </c>
      <c r="M159" s="26">
        <v>0.96125907990314796</v>
      </c>
      <c r="N159" s="28">
        <v>0.9</v>
      </c>
      <c r="O159" s="26">
        <v>0</v>
      </c>
      <c r="P159" s="26">
        <v>0</v>
      </c>
      <c r="Q159" s="26">
        <v>0</v>
      </c>
      <c r="R159" s="26">
        <v>0.1</v>
      </c>
      <c r="S159" s="28">
        <v>0.9</v>
      </c>
      <c r="T159" s="26">
        <v>0</v>
      </c>
      <c r="U159" s="26">
        <v>0</v>
      </c>
      <c r="V159" s="26">
        <v>0</v>
      </c>
      <c r="W159" s="26">
        <v>0.3</v>
      </c>
      <c r="X159" s="28">
        <v>0.92</v>
      </c>
      <c r="Y159" s="28">
        <v>0.25</v>
      </c>
      <c r="Z159" s="28">
        <v>0</v>
      </c>
      <c r="AA159" s="28">
        <v>0</v>
      </c>
      <c r="AB159" s="28">
        <v>0.2</v>
      </c>
      <c r="AC159" s="28">
        <v>0.92</v>
      </c>
      <c r="AD159" s="26">
        <v>0.97569444444444398</v>
      </c>
      <c r="AE159" s="26">
        <v>0.98327759197324405</v>
      </c>
      <c r="AF159" s="26">
        <v>0.99211045364891504</v>
      </c>
      <c r="AG159" s="26">
        <v>0.97986577181208101</v>
      </c>
      <c r="AH159" s="28">
        <v>0.92</v>
      </c>
      <c r="AI159" s="26">
        <v>0.98543839719095305</v>
      </c>
      <c r="AJ159" s="26">
        <v>0.99307829015059401</v>
      </c>
      <c r="AK159" s="26">
        <v>0.99220067453625604</v>
      </c>
      <c r="AL159" s="26">
        <v>0.99092694979443896</v>
      </c>
      <c r="AM159" s="25">
        <v>0.99</v>
      </c>
      <c r="AN159" s="30">
        <v>1</v>
      </c>
      <c r="AO159" s="30">
        <v>1</v>
      </c>
      <c r="AP159" s="30">
        <v>1</v>
      </c>
      <c r="AQ159" s="30">
        <v>1</v>
      </c>
      <c r="AR159" s="32">
        <v>0.10526149898194399</v>
      </c>
      <c r="AS159" s="34">
        <v>0</v>
      </c>
      <c r="AT159" s="34">
        <v>0</v>
      </c>
      <c r="AU159" s="34">
        <v>0</v>
      </c>
      <c r="AV159" s="34">
        <v>7.1428571428571397E-2</v>
      </c>
      <c r="AW159" s="10"/>
      <c r="AX159" s="8"/>
    </row>
    <row r="160" spans="1:50">
      <c r="A160" s="7"/>
      <c r="B160" s="10"/>
      <c r="C160" s="45" t="s">
        <v>127</v>
      </c>
      <c r="D160" s="23" t="s">
        <v>11</v>
      </c>
      <c r="E160" s="46" t="s">
        <v>208</v>
      </c>
      <c r="F160" s="46" t="s">
        <v>208</v>
      </c>
      <c r="G160" s="46" t="s">
        <v>208</v>
      </c>
      <c r="H160" s="46" t="s">
        <v>208</v>
      </c>
      <c r="I160" s="25">
        <v>0.9</v>
      </c>
      <c r="J160" s="26">
        <v>0.94117647058823495</v>
      </c>
      <c r="K160" s="26">
        <v>1</v>
      </c>
      <c r="L160" s="27">
        <v>0.97222222222222199</v>
      </c>
      <c r="M160" s="26">
        <v>0.970873786407767</v>
      </c>
      <c r="N160" s="28">
        <v>0.9</v>
      </c>
      <c r="O160" s="26">
        <v>0.96549219033781297</v>
      </c>
      <c r="P160" s="26">
        <v>0.96318840579710097</v>
      </c>
      <c r="Q160" s="26">
        <v>0.96812227074235802</v>
      </c>
      <c r="R160" s="26">
        <v>0.96862184665092599</v>
      </c>
      <c r="S160" s="28">
        <v>0.9</v>
      </c>
      <c r="T160" s="26">
        <v>0.94188158372684305</v>
      </c>
      <c r="U160" s="26">
        <v>0.95478260869565201</v>
      </c>
      <c r="V160" s="26">
        <v>0.95414847161572003</v>
      </c>
      <c r="W160" s="26">
        <v>0.94358145892879297</v>
      </c>
      <c r="X160" s="28">
        <v>0.92</v>
      </c>
      <c r="Y160" s="28">
        <v>0.98065376917945302</v>
      </c>
      <c r="Z160" s="28">
        <v>0.98046663049376004</v>
      </c>
      <c r="AA160" s="28">
        <v>0.98374760994263899</v>
      </c>
      <c r="AB160" s="28">
        <v>0.98043297252289796</v>
      </c>
      <c r="AC160" s="28">
        <v>0.92</v>
      </c>
      <c r="AD160" s="26">
        <v>0.99067599067599099</v>
      </c>
      <c r="AE160" s="26">
        <v>0.98488120950323998</v>
      </c>
      <c r="AF160" s="26">
        <v>0.99297423887587799</v>
      </c>
      <c r="AG160" s="26">
        <v>0.9883865615927</v>
      </c>
      <c r="AH160" s="28">
        <v>0.92</v>
      </c>
      <c r="AI160" s="26">
        <v>0.98494825964252097</v>
      </c>
      <c r="AJ160" s="26">
        <v>0.98715284337804599</v>
      </c>
      <c r="AK160" s="26">
        <v>0.99041533546325899</v>
      </c>
      <c r="AL160" s="26">
        <v>0.98813368089328102</v>
      </c>
      <c r="AM160" s="25">
        <v>0.99</v>
      </c>
      <c r="AN160" s="30">
        <v>1</v>
      </c>
      <c r="AO160" s="30">
        <v>1</v>
      </c>
      <c r="AP160" s="30">
        <v>1</v>
      </c>
      <c r="AQ160" s="30">
        <v>1</v>
      </c>
      <c r="AR160" s="32">
        <v>0.10526149898194399</v>
      </c>
      <c r="AS160" s="34">
        <v>0</v>
      </c>
      <c r="AT160" s="34">
        <v>0</v>
      </c>
      <c r="AU160" s="34">
        <v>1</v>
      </c>
      <c r="AV160" s="34">
        <v>8.3333333333333301E-2</v>
      </c>
      <c r="AW160" s="10"/>
      <c r="AX160" s="8"/>
    </row>
    <row r="161" spans="1:50">
      <c r="A161" s="7"/>
      <c r="B161" s="10"/>
      <c r="C161" s="45" t="s">
        <v>127</v>
      </c>
      <c r="D161" s="23" t="s">
        <v>11</v>
      </c>
      <c r="E161" s="46" t="s">
        <v>209</v>
      </c>
      <c r="F161" s="46" t="s">
        <v>209</v>
      </c>
      <c r="G161" s="46" t="s">
        <v>209</v>
      </c>
      <c r="H161" s="46" t="s">
        <v>209</v>
      </c>
      <c r="I161" s="25">
        <v>0.9</v>
      </c>
      <c r="J161" s="26">
        <v>0.94594594594594605</v>
      </c>
      <c r="K161" s="26">
        <v>0.92727272727272703</v>
      </c>
      <c r="L161" s="27">
        <v>0.94117647058823495</v>
      </c>
      <c r="M161" s="26">
        <v>0.93533123028391196</v>
      </c>
      <c r="N161" s="28">
        <v>0.9</v>
      </c>
      <c r="O161" s="26">
        <v>6.25E-2</v>
      </c>
      <c r="P161" s="26">
        <v>0.16666666666666699</v>
      </c>
      <c r="Q161" s="26">
        <v>0.25</v>
      </c>
      <c r="R161" s="26">
        <v>0.16</v>
      </c>
      <c r="S161" s="28">
        <v>0.9</v>
      </c>
      <c r="T161" s="26">
        <v>0.125</v>
      </c>
      <c r="U161" s="26">
        <v>4.1666666666666699E-2</v>
      </c>
      <c r="V161" s="26">
        <v>0</v>
      </c>
      <c r="W161" s="26">
        <v>0.1</v>
      </c>
      <c r="X161" s="28">
        <v>0.92</v>
      </c>
      <c r="Y161" s="28">
        <v>0.70833333333333304</v>
      </c>
      <c r="Z161" s="28">
        <v>0</v>
      </c>
      <c r="AA161" s="28">
        <v>9.0909090909090898E-2</v>
      </c>
      <c r="AB161" s="28">
        <v>0.42592592592592599</v>
      </c>
      <c r="AC161" s="28">
        <v>0.92</v>
      </c>
      <c r="AD161" s="26">
        <v>0.983963344788087</v>
      </c>
      <c r="AE161" s="26">
        <v>0.98010532475131695</v>
      </c>
      <c r="AF161" s="26">
        <v>0.98348059930848997</v>
      </c>
      <c r="AG161" s="26">
        <v>0.97226913163274398</v>
      </c>
      <c r="AH161" s="28">
        <v>0.92</v>
      </c>
      <c r="AI161" s="26">
        <v>0.96277982558662201</v>
      </c>
      <c r="AJ161" s="26">
        <v>0.958959444175149</v>
      </c>
      <c r="AK161" s="26">
        <v>0.95460681741478204</v>
      </c>
      <c r="AL161" s="26">
        <v>0.967027269899423</v>
      </c>
      <c r="AM161" s="25">
        <v>0.99</v>
      </c>
      <c r="AN161" s="30">
        <v>1</v>
      </c>
      <c r="AO161" s="30">
        <v>1</v>
      </c>
      <c r="AP161" s="30">
        <v>1</v>
      </c>
      <c r="AQ161" s="30">
        <v>1</v>
      </c>
      <c r="AR161" s="32">
        <v>0.10526149898194399</v>
      </c>
      <c r="AS161" s="34">
        <v>0</v>
      </c>
      <c r="AT161" s="34">
        <v>0</v>
      </c>
      <c r="AU161" s="34">
        <v>8.3333333333333301E-2</v>
      </c>
      <c r="AV161" s="34">
        <v>8.7499999999999994E-2</v>
      </c>
      <c r="AW161" s="10"/>
      <c r="AX161" s="8"/>
    </row>
    <row r="162" spans="1:50">
      <c r="A162" s="7"/>
      <c r="B162" s="10"/>
      <c r="C162" s="45" t="s">
        <v>127</v>
      </c>
      <c r="D162" s="23" t="s">
        <v>11</v>
      </c>
      <c r="E162" s="46" t="s">
        <v>210</v>
      </c>
      <c r="F162" s="46" t="s">
        <v>210</v>
      </c>
      <c r="G162" s="46" t="s">
        <v>210</v>
      </c>
      <c r="H162" s="46" t="s">
        <v>210</v>
      </c>
      <c r="I162" s="25">
        <v>0.9</v>
      </c>
      <c r="J162" s="26">
        <v>0.87878787878787901</v>
      </c>
      <c r="K162" s="26">
        <v>0.90322580645161299</v>
      </c>
      <c r="L162" s="27">
        <v>0.91525423728813604</v>
      </c>
      <c r="M162" s="26">
        <v>0.88385269121813004</v>
      </c>
      <c r="N162" s="28">
        <v>0.9</v>
      </c>
      <c r="O162" s="26">
        <v>0.987131129354338</v>
      </c>
      <c r="P162" s="26">
        <v>0.98244356861339999</v>
      </c>
      <c r="Q162" s="26">
        <v>0.88297872340425498</v>
      </c>
      <c r="R162" s="26">
        <v>0.97093126780626804</v>
      </c>
      <c r="S162" s="28">
        <v>0.9</v>
      </c>
      <c r="T162" s="26">
        <v>0.90747725759928999</v>
      </c>
      <c r="U162" s="26">
        <v>0.87459691866714395</v>
      </c>
      <c r="V162" s="26">
        <v>0.92808510638297903</v>
      </c>
      <c r="W162" s="26">
        <v>0.90682870370370405</v>
      </c>
      <c r="X162" s="28">
        <v>0.92</v>
      </c>
      <c r="Y162" s="28">
        <v>0.93727060393727102</v>
      </c>
      <c r="Z162" s="28">
        <v>0.95901884534848902</v>
      </c>
      <c r="AA162" s="28">
        <v>0.96137667304015295</v>
      </c>
      <c r="AB162" s="28">
        <v>0.95082667317430303</v>
      </c>
      <c r="AC162" s="28">
        <v>0.92</v>
      </c>
      <c r="AD162" s="26">
        <v>0.97846153846153805</v>
      </c>
      <c r="AE162" s="26">
        <v>0.94425385934819905</v>
      </c>
      <c r="AF162" s="26">
        <v>0.98280802292263603</v>
      </c>
      <c r="AG162" s="26">
        <v>0.972588658557478</v>
      </c>
      <c r="AH162" s="28">
        <v>0.92</v>
      </c>
      <c r="AI162" s="26">
        <v>0.962025316455696</v>
      </c>
      <c r="AJ162" s="26">
        <v>0.97456582633053201</v>
      </c>
      <c r="AK162" s="26">
        <v>0.97301107754280003</v>
      </c>
      <c r="AL162" s="26">
        <v>0.97001750051472102</v>
      </c>
      <c r="AM162" s="25">
        <v>0.99</v>
      </c>
      <c r="AN162" s="30">
        <v>1</v>
      </c>
      <c r="AO162" s="30">
        <v>1</v>
      </c>
      <c r="AP162" s="30">
        <v>1</v>
      </c>
      <c r="AQ162" s="30">
        <v>1</v>
      </c>
      <c r="AR162" s="32">
        <v>0.10526149898194399</v>
      </c>
      <c r="AS162" s="34">
        <v>0.16666666666666699</v>
      </c>
      <c r="AT162" s="34">
        <v>0</v>
      </c>
      <c r="AU162" s="34">
        <v>0.2</v>
      </c>
      <c r="AV162" s="34">
        <v>6.5573770491803296E-2</v>
      </c>
      <c r="AW162" s="10"/>
      <c r="AX162" s="8"/>
    </row>
    <row r="163" spans="1:50">
      <c r="A163" s="7"/>
      <c r="B163" s="10"/>
      <c r="C163" s="45" t="s">
        <v>127</v>
      </c>
      <c r="D163" s="23" t="s">
        <v>11</v>
      </c>
      <c r="E163" s="46" t="s">
        <v>211</v>
      </c>
      <c r="F163" s="46" t="s">
        <v>211</v>
      </c>
      <c r="G163" s="46" t="s">
        <v>211</v>
      </c>
      <c r="H163" s="46" t="s">
        <v>211</v>
      </c>
      <c r="I163" s="25">
        <v>0.9</v>
      </c>
      <c r="J163" s="26">
        <v>0.95918367346938804</v>
      </c>
      <c r="K163" s="26">
        <v>1</v>
      </c>
      <c r="L163" s="27">
        <v>1</v>
      </c>
      <c r="M163" s="26">
        <v>0.975945017182131</v>
      </c>
      <c r="N163" s="28">
        <v>0.9</v>
      </c>
      <c r="O163" s="26">
        <v>0.90433108758421599</v>
      </c>
      <c r="P163" s="26">
        <v>0.91291551246537395</v>
      </c>
      <c r="Q163" s="26">
        <v>0.94056785370548601</v>
      </c>
      <c r="R163" s="26">
        <v>0.92320163535755795</v>
      </c>
      <c r="S163" s="28">
        <v>0.9</v>
      </c>
      <c r="T163" s="26">
        <v>0.88007699711260801</v>
      </c>
      <c r="U163" s="26">
        <v>0.90858725761772896</v>
      </c>
      <c r="V163" s="26">
        <v>0.91097208854667999</v>
      </c>
      <c r="W163" s="26">
        <v>0.89937616748317095</v>
      </c>
      <c r="X163" s="28">
        <v>0.92</v>
      </c>
      <c r="Y163" s="28">
        <v>0.94423076923076898</v>
      </c>
      <c r="Z163" s="28">
        <v>0.95825932504440503</v>
      </c>
      <c r="AA163" s="28">
        <v>0.96193984039287905</v>
      </c>
      <c r="AB163" s="28">
        <v>0.95917222464626295</v>
      </c>
      <c r="AC163" s="28">
        <v>0.92</v>
      </c>
      <c r="AD163" s="26">
        <v>0.99586196704352303</v>
      </c>
      <c r="AE163" s="26">
        <v>0.986906608749612</v>
      </c>
      <c r="AF163" s="26">
        <v>0.993342210386152</v>
      </c>
      <c r="AG163" s="26">
        <v>0.97910623494781901</v>
      </c>
      <c r="AH163" s="28">
        <v>0.92</v>
      </c>
      <c r="AI163" s="26">
        <v>0.96382296343810103</v>
      </c>
      <c r="AJ163" s="26">
        <v>0.97498361372077802</v>
      </c>
      <c r="AK163" s="26">
        <v>0.96750269687162904</v>
      </c>
      <c r="AL163" s="26">
        <v>0.972039621791986</v>
      </c>
      <c r="AM163" s="25">
        <v>0.99</v>
      </c>
      <c r="AN163" s="30">
        <v>1</v>
      </c>
      <c r="AO163" s="30">
        <v>1</v>
      </c>
      <c r="AP163" s="30">
        <v>1</v>
      </c>
      <c r="AQ163" s="30">
        <v>1</v>
      </c>
      <c r="AR163" s="32">
        <v>0.10526149898194399</v>
      </c>
      <c r="AS163" s="34">
        <v>0</v>
      </c>
      <c r="AT163" s="34">
        <v>5.5555555555555601E-2</v>
      </c>
      <c r="AU163" s="34">
        <v>0.133333333333333</v>
      </c>
      <c r="AV163" s="34">
        <v>6.4935064935064901E-2</v>
      </c>
      <c r="AW163" s="10"/>
      <c r="AX163" s="8"/>
    </row>
    <row r="164" spans="1:50">
      <c r="A164" s="7"/>
      <c r="B164" s="10"/>
      <c r="C164" s="45" t="s">
        <v>127</v>
      </c>
      <c r="D164" s="23" t="s">
        <v>11</v>
      </c>
      <c r="E164" s="46" t="s">
        <v>212</v>
      </c>
      <c r="F164" s="46" t="s">
        <v>212</v>
      </c>
      <c r="G164" s="46" t="s">
        <v>212</v>
      </c>
      <c r="H164" s="46" t="s">
        <v>212</v>
      </c>
      <c r="I164" s="25">
        <v>0.9</v>
      </c>
      <c r="J164" s="26">
        <v>0.96296296296296302</v>
      </c>
      <c r="K164" s="26">
        <v>1</v>
      </c>
      <c r="L164" s="27">
        <v>0.98181818181818203</v>
      </c>
      <c r="M164" s="26">
        <v>0.98402555910543099</v>
      </c>
      <c r="N164" s="28">
        <v>0.9</v>
      </c>
      <c r="O164" s="26">
        <v>0.97353535353535403</v>
      </c>
      <c r="P164" s="26">
        <v>0.96899094870935298</v>
      </c>
      <c r="Q164" s="26">
        <v>0.98288508557457199</v>
      </c>
      <c r="R164" s="26">
        <v>0.97680763983628904</v>
      </c>
      <c r="S164" s="28">
        <v>0.9</v>
      </c>
      <c r="T164" s="26">
        <v>0.94686868686868697</v>
      </c>
      <c r="U164" s="26">
        <v>0.93161247066711395</v>
      </c>
      <c r="V164" s="26">
        <v>0.96063569682151595</v>
      </c>
      <c r="W164" s="26">
        <v>0.94618367200402098</v>
      </c>
      <c r="X164" s="28">
        <v>0.92</v>
      </c>
      <c r="Y164" s="28">
        <v>0.969984802431611</v>
      </c>
      <c r="Z164" s="28">
        <v>0.97774244833068402</v>
      </c>
      <c r="AA164" s="28">
        <v>0.97872340425531901</v>
      </c>
      <c r="AB164" s="28">
        <v>0.97608257804632403</v>
      </c>
      <c r="AC164" s="28">
        <v>0.92</v>
      </c>
      <c r="AD164" s="26">
        <v>0.959053685168335</v>
      </c>
      <c r="AE164" s="26">
        <v>0.97610513739546001</v>
      </c>
      <c r="AF164" s="26">
        <v>0.99153386454183301</v>
      </c>
      <c r="AG164" s="26">
        <v>0.96570134282478604</v>
      </c>
      <c r="AH164" s="28">
        <v>0.92</v>
      </c>
      <c r="AI164" s="26">
        <v>0.97613081893709597</v>
      </c>
      <c r="AJ164" s="26">
        <v>0.98551201843924896</v>
      </c>
      <c r="AK164" s="26">
        <v>0.98502954694681599</v>
      </c>
      <c r="AL164" s="26">
        <v>0.98374857142857097</v>
      </c>
      <c r="AM164" s="25">
        <v>0.99</v>
      </c>
      <c r="AN164" s="30">
        <v>1</v>
      </c>
      <c r="AO164" s="30">
        <v>1</v>
      </c>
      <c r="AP164" s="30">
        <v>1</v>
      </c>
      <c r="AQ164" s="30">
        <v>1</v>
      </c>
      <c r="AR164" s="32">
        <v>0.10526149898194399</v>
      </c>
      <c r="AS164" s="34">
        <v>0.11111111111111099</v>
      </c>
      <c r="AT164" s="34">
        <v>0.13043478260869601</v>
      </c>
      <c r="AU164" s="34">
        <v>0</v>
      </c>
      <c r="AV164" s="34">
        <v>6.0606060606060601E-2</v>
      </c>
      <c r="AW164" s="10"/>
      <c r="AX164" s="8"/>
    </row>
    <row r="165" spans="1:50">
      <c r="A165" s="7"/>
      <c r="B165" s="10"/>
      <c r="C165" s="45" t="s">
        <v>127</v>
      </c>
      <c r="D165" s="23" t="s">
        <v>11</v>
      </c>
      <c r="E165" s="46" t="s">
        <v>213</v>
      </c>
      <c r="F165" s="46" t="s">
        <v>213</v>
      </c>
      <c r="G165" s="46" t="s">
        <v>213</v>
      </c>
      <c r="H165" s="46" t="s">
        <v>213</v>
      </c>
      <c r="I165" s="25">
        <v>0.9</v>
      </c>
      <c r="J165" s="26">
        <v>0.95283018867924496</v>
      </c>
      <c r="K165" s="26">
        <v>0.95535714285714302</v>
      </c>
      <c r="L165" s="27">
        <v>0.970873786407767</v>
      </c>
      <c r="M165" s="26">
        <v>0.96375617792421697</v>
      </c>
      <c r="N165" s="28">
        <v>0.9</v>
      </c>
      <c r="O165" s="26">
        <v>0.97351055806938203</v>
      </c>
      <c r="P165" s="26">
        <v>0.95303215303215305</v>
      </c>
      <c r="Q165" s="26">
        <v>0.98055012084244397</v>
      </c>
      <c r="R165" s="26">
        <v>0.96686773017162397</v>
      </c>
      <c r="S165" s="28">
        <v>0.9</v>
      </c>
      <c r="T165" s="26">
        <v>0.96370663650075405</v>
      </c>
      <c r="U165" s="26">
        <v>0.95034595034595004</v>
      </c>
      <c r="V165" s="26">
        <v>0.96501323512487003</v>
      </c>
      <c r="W165" s="26">
        <v>0.93945626436682295</v>
      </c>
      <c r="X165" s="28">
        <v>0.92</v>
      </c>
      <c r="Y165" s="28">
        <v>0.94590417310664598</v>
      </c>
      <c r="Z165" s="28">
        <v>0.95930599369085201</v>
      </c>
      <c r="AA165" s="28">
        <v>0.96250000000000002</v>
      </c>
      <c r="AB165" s="28">
        <v>0.95554731212711397</v>
      </c>
      <c r="AC165" s="28">
        <v>0.92</v>
      </c>
      <c r="AD165" s="26">
        <v>0.99544966511580302</v>
      </c>
      <c r="AE165" s="26">
        <v>0.99569577498468098</v>
      </c>
      <c r="AF165" s="26">
        <v>0.99457657682272105</v>
      </c>
      <c r="AG165" s="26">
        <v>0.99475847113647897</v>
      </c>
      <c r="AH165" s="28">
        <v>0.92</v>
      </c>
      <c r="AI165" s="26">
        <v>0.97232250300842404</v>
      </c>
      <c r="AJ165" s="26">
        <v>0.98035637612709303</v>
      </c>
      <c r="AK165" s="26">
        <v>0.98004304441400902</v>
      </c>
      <c r="AL165" s="26">
        <v>0.975462706416935</v>
      </c>
      <c r="AM165" s="25">
        <v>0.99</v>
      </c>
      <c r="AN165" s="30">
        <v>1</v>
      </c>
      <c r="AO165" s="30">
        <v>1</v>
      </c>
      <c r="AP165" s="30">
        <v>1</v>
      </c>
      <c r="AQ165" s="30">
        <v>1</v>
      </c>
      <c r="AR165" s="32">
        <v>0.10526149898194399</v>
      </c>
      <c r="AS165" s="34">
        <v>0</v>
      </c>
      <c r="AT165" s="34">
        <v>0</v>
      </c>
      <c r="AU165" s="34">
        <v>0.107142857142857</v>
      </c>
      <c r="AV165" s="34">
        <v>6.9930069930069894E-2</v>
      </c>
      <c r="AW165" s="10"/>
      <c r="AX165" s="8"/>
    </row>
    <row r="166" spans="1:50">
      <c r="A166" s="7"/>
      <c r="B166" s="10"/>
      <c r="C166" s="45" t="s">
        <v>127</v>
      </c>
      <c r="D166" s="23" t="s">
        <v>11</v>
      </c>
      <c r="E166" s="46" t="s">
        <v>214</v>
      </c>
      <c r="F166" s="46" t="s">
        <v>214</v>
      </c>
      <c r="G166" s="46" t="s">
        <v>214</v>
      </c>
      <c r="H166" s="46" t="s">
        <v>214</v>
      </c>
      <c r="I166" s="25">
        <v>0.9</v>
      </c>
      <c r="J166" s="26">
        <v>1</v>
      </c>
      <c r="K166" s="26">
        <v>0.98214285714285698</v>
      </c>
      <c r="L166" s="27">
        <v>0.97872340425531901</v>
      </c>
      <c r="M166" s="26">
        <v>0.97682119205298001</v>
      </c>
      <c r="N166" s="28">
        <v>0.9</v>
      </c>
      <c r="O166" s="26">
        <v>0</v>
      </c>
      <c r="P166" s="26">
        <v>1</v>
      </c>
      <c r="Q166" s="26">
        <v>0</v>
      </c>
      <c r="R166" s="26">
        <v>0.33333333333333298</v>
      </c>
      <c r="S166" s="28">
        <v>0.9</v>
      </c>
      <c r="T166" s="26">
        <v>0</v>
      </c>
      <c r="U166" s="26">
        <v>0</v>
      </c>
      <c r="V166" s="26">
        <v>0</v>
      </c>
      <c r="W166" s="26">
        <v>0.33333333333333298</v>
      </c>
      <c r="X166" s="28">
        <v>0.92</v>
      </c>
      <c r="Y166" s="28">
        <v>0</v>
      </c>
      <c r="Z166" s="28">
        <v>0</v>
      </c>
      <c r="AA166" s="28">
        <v>0</v>
      </c>
      <c r="AB166" s="28">
        <v>0</v>
      </c>
      <c r="AC166" s="28">
        <v>0.92</v>
      </c>
      <c r="AD166" s="26">
        <v>0.98095238095238102</v>
      </c>
      <c r="AE166" s="26">
        <v>0.99291408325952202</v>
      </c>
      <c r="AF166" s="26">
        <v>0.99330730619074203</v>
      </c>
      <c r="AG166" s="26">
        <v>0.98879184861717595</v>
      </c>
      <c r="AH166" s="28">
        <v>0.92</v>
      </c>
      <c r="AI166" s="26">
        <v>0.98105095541401299</v>
      </c>
      <c r="AJ166" s="26">
        <v>0.99043616867120698</v>
      </c>
      <c r="AK166" s="26">
        <v>0.98700887198986098</v>
      </c>
      <c r="AL166" s="26">
        <v>0.98767528139344796</v>
      </c>
      <c r="AM166" s="25">
        <v>0.99</v>
      </c>
      <c r="AN166" s="30">
        <v>1</v>
      </c>
      <c r="AO166" s="30">
        <v>1</v>
      </c>
      <c r="AP166" s="30">
        <v>1</v>
      </c>
      <c r="AQ166" s="30">
        <v>1</v>
      </c>
      <c r="AR166" s="32">
        <v>0.10526149898194399</v>
      </c>
      <c r="AS166" s="34">
        <v>0.5</v>
      </c>
      <c r="AT166" s="34">
        <v>0</v>
      </c>
      <c r="AU166" s="34">
        <v>0</v>
      </c>
      <c r="AV166" s="34">
        <v>0.105263157894737</v>
      </c>
      <c r="AW166" s="10"/>
      <c r="AX166" s="8"/>
    </row>
    <row r="167" spans="1:50">
      <c r="A167" s="7"/>
      <c r="B167" s="10"/>
      <c r="C167" s="45" t="s">
        <v>127</v>
      </c>
      <c r="D167" s="23" t="s">
        <v>11</v>
      </c>
      <c r="E167" s="46" t="s">
        <v>215</v>
      </c>
      <c r="F167" s="46" t="s">
        <v>215</v>
      </c>
      <c r="G167" s="46" t="s">
        <v>215</v>
      </c>
      <c r="H167" s="46" t="s">
        <v>215</v>
      </c>
      <c r="I167" s="25">
        <v>0.9</v>
      </c>
      <c r="J167" s="26">
        <v>0.98214285714285698</v>
      </c>
      <c r="K167" s="26">
        <v>0.96491228070175405</v>
      </c>
      <c r="L167" s="27">
        <v>1</v>
      </c>
      <c r="M167" s="26">
        <v>0.98787878787878802</v>
      </c>
      <c r="N167" s="28">
        <v>0.9</v>
      </c>
      <c r="O167" s="26">
        <v>0.96152380952381</v>
      </c>
      <c r="P167" s="26">
        <v>0.91526987544210403</v>
      </c>
      <c r="Q167" s="26">
        <v>0.962930077691454</v>
      </c>
      <c r="R167" s="26">
        <v>0.95402936378466596</v>
      </c>
      <c r="S167" s="28">
        <v>0.9</v>
      </c>
      <c r="T167" s="26">
        <v>0.93638095238095198</v>
      </c>
      <c r="U167" s="26">
        <v>0.92357373519913899</v>
      </c>
      <c r="V167" s="26">
        <v>0.95249722530521597</v>
      </c>
      <c r="W167" s="26">
        <v>0.94176182707993505</v>
      </c>
      <c r="X167" s="28">
        <v>0.92</v>
      </c>
      <c r="Y167" s="28">
        <v>0.95913461538461497</v>
      </c>
      <c r="Z167" s="28">
        <v>0.97560314448359997</v>
      </c>
      <c r="AA167" s="28">
        <v>0.96753740806492505</v>
      </c>
      <c r="AB167" s="28">
        <v>0.96794906975467898</v>
      </c>
      <c r="AC167" s="28">
        <v>0.92</v>
      </c>
      <c r="AD167" s="26">
        <v>0.99568514644351502</v>
      </c>
      <c r="AE167" s="26">
        <v>0.991514985630218</v>
      </c>
      <c r="AF167" s="26">
        <v>0.98518666800120103</v>
      </c>
      <c r="AG167" s="26">
        <v>0.99406274597998401</v>
      </c>
      <c r="AH167" s="28">
        <v>0.92</v>
      </c>
      <c r="AI167" s="26">
        <v>0.97439353099730497</v>
      </c>
      <c r="AJ167" s="26">
        <v>0.98616833431430295</v>
      </c>
      <c r="AK167" s="26">
        <v>0.97999763285595898</v>
      </c>
      <c r="AL167" s="26">
        <v>0.98148451245959301</v>
      </c>
      <c r="AM167" s="25">
        <v>0.99</v>
      </c>
      <c r="AN167" s="30">
        <v>1</v>
      </c>
      <c r="AO167" s="30">
        <v>1</v>
      </c>
      <c r="AP167" s="30">
        <v>1</v>
      </c>
      <c r="AQ167" s="30">
        <v>1</v>
      </c>
      <c r="AR167" s="32">
        <v>0.10526149898194399</v>
      </c>
      <c r="AS167" s="34">
        <v>0.25</v>
      </c>
      <c r="AT167" s="34">
        <v>9.0909090909090898E-2</v>
      </c>
      <c r="AU167" s="34">
        <v>0.11111111111111099</v>
      </c>
      <c r="AV167" s="34">
        <v>0.116666666666667</v>
      </c>
      <c r="AW167" s="10"/>
      <c r="AX167" s="8"/>
    </row>
    <row r="168" spans="1:50">
      <c r="A168" s="7"/>
      <c r="B168" s="10"/>
      <c r="C168" s="45" t="s">
        <v>127</v>
      </c>
      <c r="D168" s="23" t="s">
        <v>11</v>
      </c>
      <c r="E168" s="46" t="s">
        <v>216</v>
      </c>
      <c r="F168" s="46" t="s">
        <v>216</v>
      </c>
      <c r="G168" s="46" t="s">
        <v>216</v>
      </c>
      <c r="H168" s="46" t="s">
        <v>216</v>
      </c>
      <c r="I168" s="25">
        <v>0.9</v>
      </c>
      <c r="J168" s="26">
        <v>0.93333333333333302</v>
      </c>
      <c r="K168" s="26">
        <v>0.90909090909090895</v>
      </c>
      <c r="L168" s="27">
        <v>0.95348837209302295</v>
      </c>
      <c r="M168" s="26">
        <v>0.94117647058823495</v>
      </c>
      <c r="N168" s="28">
        <v>0.9</v>
      </c>
      <c r="O168" s="26">
        <v>0.94007956240676305</v>
      </c>
      <c r="P168" s="26">
        <v>0.93850213111426795</v>
      </c>
      <c r="Q168" s="26">
        <v>0.94713526284701699</v>
      </c>
      <c r="R168" s="26">
        <v>0.94613739641807004</v>
      </c>
      <c r="S168" s="28">
        <v>0.9</v>
      </c>
      <c r="T168" s="26">
        <v>0.92242665340626595</v>
      </c>
      <c r="U168" s="26">
        <v>0.920844327176781</v>
      </c>
      <c r="V168" s="26">
        <v>0.92409923213230905</v>
      </c>
      <c r="W168" s="26">
        <v>0.91468413080281596</v>
      </c>
      <c r="X168" s="28">
        <v>0.92</v>
      </c>
      <c r="Y168" s="28">
        <v>0.93755697356426604</v>
      </c>
      <c r="Z168" s="28">
        <v>0.95754716981132104</v>
      </c>
      <c r="AA168" s="28">
        <v>0.96898954703832796</v>
      </c>
      <c r="AB168" s="28">
        <v>0.94734105763517495</v>
      </c>
      <c r="AC168" s="28">
        <v>0.92</v>
      </c>
      <c r="AD168" s="26">
        <v>0.98684210526315796</v>
      </c>
      <c r="AE168" s="26">
        <v>0.95708154506437804</v>
      </c>
      <c r="AF168" s="26">
        <v>0.93432835820895499</v>
      </c>
      <c r="AG168" s="26">
        <v>0.92904509283819603</v>
      </c>
      <c r="AH168" s="28">
        <v>0.92</v>
      </c>
      <c r="AI168" s="26">
        <v>0.96058558558558604</v>
      </c>
      <c r="AJ168" s="26">
        <v>0.97371502927781395</v>
      </c>
      <c r="AK168" s="26">
        <v>0.97666613392999801</v>
      </c>
      <c r="AL168" s="26">
        <v>0.96525128776277302</v>
      </c>
      <c r="AM168" s="25">
        <v>0.99</v>
      </c>
      <c r="AN168" s="30">
        <v>1</v>
      </c>
      <c r="AO168" s="30">
        <v>1</v>
      </c>
      <c r="AP168" s="30">
        <v>1</v>
      </c>
      <c r="AQ168" s="30">
        <v>1</v>
      </c>
      <c r="AR168" s="32">
        <v>0.10526149898194399</v>
      </c>
      <c r="AS168" s="34">
        <v>0</v>
      </c>
      <c r="AT168" s="34">
        <v>0</v>
      </c>
      <c r="AU168" s="34">
        <v>0</v>
      </c>
      <c r="AV168" s="34">
        <v>5.4054054054054099E-2</v>
      </c>
      <c r="AW168" s="10"/>
      <c r="AX168" s="8"/>
    </row>
    <row r="169" spans="1:50">
      <c r="A169" s="7"/>
      <c r="B169" s="10"/>
      <c r="C169" s="45" t="s">
        <v>127</v>
      </c>
      <c r="D169" s="23" t="s">
        <v>11</v>
      </c>
      <c r="E169" s="46" t="s">
        <v>217</v>
      </c>
      <c r="F169" s="46" t="s">
        <v>217</v>
      </c>
      <c r="G169" s="46" t="s">
        <v>217</v>
      </c>
      <c r="H169" s="46" t="s">
        <v>217</v>
      </c>
      <c r="I169" s="25">
        <v>0.9</v>
      </c>
      <c r="J169" s="26">
        <v>0.95774647887323905</v>
      </c>
      <c r="K169" s="26">
        <v>0.94594594594594605</v>
      </c>
      <c r="L169" s="27">
        <v>0.95945945945945899</v>
      </c>
      <c r="M169" s="26">
        <v>0.95035460992907805</v>
      </c>
      <c r="N169" s="28">
        <v>0.9</v>
      </c>
      <c r="O169" s="26">
        <v>0.92097264437689996</v>
      </c>
      <c r="P169" s="26">
        <v>0.87735326688815096</v>
      </c>
      <c r="Q169" s="26">
        <v>0.94953936348408696</v>
      </c>
      <c r="R169" s="26">
        <v>0.91865998942424298</v>
      </c>
      <c r="S169" s="28">
        <v>0.9</v>
      </c>
      <c r="T169" s="26">
        <v>0.87520114428750195</v>
      </c>
      <c r="U169" s="26">
        <v>0.88565891472868197</v>
      </c>
      <c r="V169" s="26">
        <v>0.904731993299832</v>
      </c>
      <c r="W169" s="26">
        <v>0.88739929702323594</v>
      </c>
      <c r="X169" s="28">
        <v>0.92</v>
      </c>
      <c r="Y169" s="28">
        <v>0.94688524590163903</v>
      </c>
      <c r="Z169" s="28">
        <v>0.93607305936073104</v>
      </c>
      <c r="AA169" s="28">
        <v>0.96947640291148196</v>
      </c>
      <c r="AB169" s="28">
        <v>0.94048417901202697</v>
      </c>
      <c r="AC169" s="28">
        <v>0.92</v>
      </c>
      <c r="AD169" s="26">
        <v>0.992518059855521</v>
      </c>
      <c r="AE169" s="26">
        <v>0.99096657633243002</v>
      </c>
      <c r="AF169" s="26">
        <v>0.98399641040981201</v>
      </c>
      <c r="AG169" s="26">
        <v>0.98765792436309097</v>
      </c>
      <c r="AH169" s="28">
        <v>0.92</v>
      </c>
      <c r="AI169" s="26">
        <v>0.95198426472289699</v>
      </c>
      <c r="AJ169" s="26">
        <v>0.96319718928414599</v>
      </c>
      <c r="AK169" s="26">
        <v>0.97786386275594905</v>
      </c>
      <c r="AL169" s="26">
        <v>0.96263804514488704</v>
      </c>
      <c r="AM169" s="25">
        <v>0.99</v>
      </c>
      <c r="AN169" s="30">
        <v>1</v>
      </c>
      <c r="AO169" s="30">
        <v>1</v>
      </c>
      <c r="AP169" s="30">
        <v>1</v>
      </c>
      <c r="AQ169" s="30">
        <v>1</v>
      </c>
      <c r="AR169" s="32">
        <v>0.10526149898194399</v>
      </c>
      <c r="AS169" s="34">
        <v>0.16129032258064499</v>
      </c>
      <c r="AT169" s="34">
        <v>8.5106382978723402E-2</v>
      </c>
      <c r="AU169" s="34">
        <v>7.8947368421052599E-2</v>
      </c>
      <c r="AV169" s="34">
        <v>8.9201877934272297E-2</v>
      </c>
      <c r="AW169" s="10"/>
      <c r="AX169" s="8"/>
    </row>
    <row r="170" spans="1:50">
      <c r="A170" s="7"/>
      <c r="B170" s="10"/>
      <c r="C170" s="45" t="s">
        <v>127</v>
      </c>
      <c r="D170" s="23" t="s">
        <v>11</v>
      </c>
      <c r="E170" s="46" t="s">
        <v>218</v>
      </c>
      <c r="F170" s="46" t="s">
        <v>218</v>
      </c>
      <c r="G170" s="46" t="s">
        <v>218</v>
      </c>
      <c r="H170" s="46" t="s">
        <v>218</v>
      </c>
      <c r="I170" s="25">
        <v>0.9</v>
      </c>
      <c r="J170" s="26">
        <v>0.938271604938272</v>
      </c>
      <c r="K170" s="26">
        <v>0.88043478260869601</v>
      </c>
      <c r="L170" s="27">
        <v>0.94252873563218398</v>
      </c>
      <c r="M170" s="26">
        <v>0.91925465838509302</v>
      </c>
      <c r="N170" s="28">
        <v>0.9</v>
      </c>
      <c r="O170" s="26">
        <v>0.93102386451116204</v>
      </c>
      <c r="P170" s="26">
        <v>0.93297553669495803</v>
      </c>
      <c r="Q170" s="26">
        <v>0.94197886647454399</v>
      </c>
      <c r="R170" s="26">
        <v>0.92157403830233497</v>
      </c>
      <c r="S170" s="28">
        <v>0.9</v>
      </c>
      <c r="T170" s="26">
        <v>0.87405696689761403</v>
      </c>
      <c r="U170" s="26">
        <v>0.88929106340489295</v>
      </c>
      <c r="V170" s="26">
        <v>0.92872238232468796</v>
      </c>
      <c r="W170" s="26">
        <v>0.88172636458965703</v>
      </c>
      <c r="X170" s="28">
        <v>0.92</v>
      </c>
      <c r="Y170" s="28">
        <v>0.93513513513513502</v>
      </c>
      <c r="Z170" s="28">
        <v>0.93317212574192099</v>
      </c>
      <c r="AA170" s="28">
        <v>0.95122950819672103</v>
      </c>
      <c r="AB170" s="28">
        <v>0.93514921621498104</v>
      </c>
      <c r="AC170" s="28">
        <v>0.92</v>
      </c>
      <c r="AD170" s="26">
        <v>0.99648437499999998</v>
      </c>
      <c r="AE170" s="26">
        <v>0.99612194333728299</v>
      </c>
      <c r="AF170" s="26">
        <v>0.99724665391969403</v>
      </c>
      <c r="AG170" s="26">
        <v>0.99586948321388202</v>
      </c>
      <c r="AH170" s="28">
        <v>0.92</v>
      </c>
      <c r="AI170" s="26">
        <v>0.95625686607410398</v>
      </c>
      <c r="AJ170" s="26">
        <v>0.96170687047209602</v>
      </c>
      <c r="AK170" s="26">
        <v>0.96976605868358401</v>
      </c>
      <c r="AL170" s="26">
        <v>0.96015826595561704</v>
      </c>
      <c r="AM170" s="25">
        <v>0.99</v>
      </c>
      <c r="AN170" s="30">
        <v>1</v>
      </c>
      <c r="AO170" s="30">
        <v>1</v>
      </c>
      <c r="AP170" s="30">
        <v>1</v>
      </c>
      <c r="AQ170" s="30">
        <v>1</v>
      </c>
      <c r="AR170" s="32">
        <v>0.10526149898194399</v>
      </c>
      <c r="AS170" s="34">
        <v>0.1</v>
      </c>
      <c r="AT170" s="34">
        <v>7.69230769230769E-2</v>
      </c>
      <c r="AU170" s="34">
        <v>0.105263157894737</v>
      </c>
      <c r="AV170" s="34">
        <v>6.9343065693430697E-2</v>
      </c>
      <c r="AW170" s="10"/>
      <c r="AX170" s="8"/>
    </row>
    <row r="171" spans="1:50">
      <c r="A171" s="7"/>
      <c r="B171" s="10"/>
      <c r="C171" s="45" t="s">
        <v>127</v>
      </c>
      <c r="D171" s="23" t="s">
        <v>11</v>
      </c>
      <c r="E171" s="46" t="s">
        <v>219</v>
      </c>
      <c r="F171" s="46" t="s">
        <v>219</v>
      </c>
      <c r="G171" s="46" t="s">
        <v>219</v>
      </c>
      <c r="H171" s="46" t="s">
        <v>219</v>
      </c>
      <c r="I171" s="25">
        <v>0.9</v>
      </c>
      <c r="J171" s="26">
        <v>0.93333333333333302</v>
      </c>
      <c r="K171" s="26">
        <v>0.95</v>
      </c>
      <c r="L171" s="27">
        <v>0.96</v>
      </c>
      <c r="M171" s="26">
        <v>0.93258426966292096</v>
      </c>
      <c r="N171" s="28">
        <v>0.9</v>
      </c>
      <c r="O171" s="26">
        <v>0.94001912829621503</v>
      </c>
      <c r="P171" s="26">
        <v>0.89250027451410996</v>
      </c>
      <c r="Q171" s="26">
        <v>0.95058517555266597</v>
      </c>
      <c r="R171" s="26">
        <v>0.92842341354006697</v>
      </c>
      <c r="S171" s="28">
        <v>0.9</v>
      </c>
      <c r="T171" s="26">
        <v>0.89711709249897498</v>
      </c>
      <c r="U171" s="26">
        <v>0.84616229274184696</v>
      </c>
      <c r="V171" s="26">
        <v>0.86069570871261403</v>
      </c>
      <c r="W171" s="26">
        <v>0.86062556376313404</v>
      </c>
      <c r="X171" s="28">
        <v>0.92</v>
      </c>
      <c r="Y171" s="28">
        <v>0.93284290460370201</v>
      </c>
      <c r="Z171" s="28">
        <v>0.94402173913043497</v>
      </c>
      <c r="AA171" s="28">
        <v>0.92207327971402997</v>
      </c>
      <c r="AB171" s="28">
        <v>0.918869644484959</v>
      </c>
      <c r="AC171" s="28">
        <v>0.92</v>
      </c>
      <c r="AD171" s="26">
        <v>0.994622279129321</v>
      </c>
      <c r="AE171" s="26">
        <v>0.980984885421745</v>
      </c>
      <c r="AF171" s="26">
        <v>0.98782287822878201</v>
      </c>
      <c r="AG171" s="26">
        <v>0.98930390492359899</v>
      </c>
      <c r="AH171" s="28">
        <v>0.92</v>
      </c>
      <c r="AI171" s="26">
        <v>0.960027746466661</v>
      </c>
      <c r="AJ171" s="26">
        <v>0.966092425485371</v>
      </c>
      <c r="AK171" s="26">
        <v>0.94373031412275499</v>
      </c>
      <c r="AL171" s="26">
        <v>0.94806116134096097</v>
      </c>
      <c r="AM171" s="25">
        <v>0.99</v>
      </c>
      <c r="AN171" s="30">
        <v>1</v>
      </c>
      <c r="AO171" s="30">
        <v>1</v>
      </c>
      <c r="AP171" s="30">
        <v>1</v>
      </c>
      <c r="AQ171" s="30">
        <v>1</v>
      </c>
      <c r="AR171" s="32">
        <v>0.10526149898194399</v>
      </c>
      <c r="AS171" s="34">
        <v>9.7560975609756101E-2</v>
      </c>
      <c r="AT171" s="34">
        <v>1.58730158730159E-2</v>
      </c>
      <c r="AU171" s="34">
        <v>5.5555555555555601E-2</v>
      </c>
      <c r="AV171" s="34">
        <v>8.8435374149659907E-2</v>
      </c>
      <c r="AW171" s="10"/>
      <c r="AX171" s="8"/>
    </row>
    <row r="172" spans="1:50">
      <c r="A172" s="7"/>
      <c r="B172" s="10"/>
      <c r="C172" s="45" t="s">
        <v>127</v>
      </c>
      <c r="D172" s="23" t="s">
        <v>11</v>
      </c>
      <c r="E172" s="46" t="s">
        <v>220</v>
      </c>
      <c r="F172" s="46" t="s">
        <v>220</v>
      </c>
      <c r="G172" s="46" t="s">
        <v>220</v>
      </c>
      <c r="H172" s="46" t="s">
        <v>220</v>
      </c>
      <c r="I172" s="25">
        <v>0.9</v>
      </c>
      <c r="J172" s="26">
        <v>1</v>
      </c>
      <c r="K172" s="26">
        <v>0.98387096774193505</v>
      </c>
      <c r="L172" s="27">
        <v>0.94339622641509402</v>
      </c>
      <c r="M172" s="26">
        <v>0.96540880503144699</v>
      </c>
      <c r="N172" s="28">
        <v>0.9</v>
      </c>
      <c r="O172" s="26">
        <v>0.94942302970783199</v>
      </c>
      <c r="P172" s="26">
        <v>0.96201579541180904</v>
      </c>
      <c r="Q172" s="26">
        <v>0.95598388952819302</v>
      </c>
      <c r="R172" s="26">
        <v>0.95911399428108102</v>
      </c>
      <c r="S172" s="28">
        <v>0.9</v>
      </c>
      <c r="T172" s="26">
        <v>0.914804812177756</v>
      </c>
      <c r="U172" s="26">
        <v>0.92760436254230905</v>
      </c>
      <c r="V172" s="26">
        <v>0.91311852704257801</v>
      </c>
      <c r="W172" s="26">
        <v>0.91383210276983495</v>
      </c>
      <c r="X172" s="28">
        <v>0.92</v>
      </c>
      <c r="Y172" s="28">
        <v>0.94524236983842003</v>
      </c>
      <c r="Z172" s="28">
        <v>0.95965811965811998</v>
      </c>
      <c r="AA172" s="28">
        <v>0.96556473829201095</v>
      </c>
      <c r="AB172" s="28">
        <v>0.95518104209596699</v>
      </c>
      <c r="AC172" s="28">
        <v>0.92</v>
      </c>
      <c r="AD172" s="26">
        <v>0.99841678210963802</v>
      </c>
      <c r="AE172" s="26">
        <v>0.99069387755102001</v>
      </c>
      <c r="AF172" s="26">
        <v>0.99186401278512304</v>
      </c>
      <c r="AG172" s="26">
        <v>0.99323996394647396</v>
      </c>
      <c r="AH172" s="28">
        <v>0.92</v>
      </c>
      <c r="AI172" s="26">
        <v>0.96445008728773196</v>
      </c>
      <c r="AJ172" s="26">
        <v>0.97622224918112299</v>
      </c>
      <c r="AK172" s="26">
        <v>0.97743300423131196</v>
      </c>
      <c r="AL172" s="26">
        <v>0.97134136459402498</v>
      </c>
      <c r="AM172" s="25">
        <v>0.99</v>
      </c>
      <c r="AN172" s="30">
        <v>1</v>
      </c>
      <c r="AO172" s="30">
        <v>1</v>
      </c>
      <c r="AP172" s="30">
        <v>1</v>
      </c>
      <c r="AQ172" s="30">
        <v>1</v>
      </c>
      <c r="AR172" s="32">
        <v>0.10526149898194399</v>
      </c>
      <c r="AS172" s="34">
        <v>3.8461538461538498E-2</v>
      </c>
      <c r="AT172" s="34">
        <v>8.6956521739130405E-2</v>
      </c>
      <c r="AU172" s="34">
        <v>7.1428571428571397E-2</v>
      </c>
      <c r="AV172" s="34">
        <v>7.8947368421052599E-2</v>
      </c>
      <c r="AW172" s="10"/>
      <c r="AX172" s="8"/>
    </row>
    <row r="173" spans="1:50">
      <c r="A173" s="7"/>
      <c r="B173" s="10"/>
      <c r="C173" s="45" t="s">
        <v>127</v>
      </c>
      <c r="D173" s="23" t="s">
        <v>11</v>
      </c>
      <c r="E173" s="46" t="s">
        <v>221</v>
      </c>
      <c r="F173" s="46" t="s">
        <v>221</v>
      </c>
      <c r="G173" s="46" t="s">
        <v>221</v>
      </c>
      <c r="H173" s="46" t="s">
        <v>221</v>
      </c>
      <c r="I173" s="25">
        <v>0.9</v>
      </c>
      <c r="J173" s="26">
        <v>0.93243243243243201</v>
      </c>
      <c r="K173" s="26">
        <v>0.92857142857142905</v>
      </c>
      <c r="L173" s="27">
        <v>0.96250000000000002</v>
      </c>
      <c r="M173" s="26">
        <v>0.92424242424242398</v>
      </c>
      <c r="N173" s="28">
        <v>0.9</v>
      </c>
      <c r="O173" s="26">
        <v>0.966032608695652</v>
      </c>
      <c r="P173" s="26">
        <v>0.95836314208041196</v>
      </c>
      <c r="Q173" s="26">
        <v>0.97672468022646297</v>
      </c>
      <c r="R173" s="26">
        <v>0.96476160404167999</v>
      </c>
      <c r="S173" s="28">
        <v>0.9</v>
      </c>
      <c r="T173" s="26">
        <v>0.88800465838509302</v>
      </c>
      <c r="U173" s="26">
        <v>0.91114608670768304</v>
      </c>
      <c r="V173" s="26">
        <v>0.89914028098133802</v>
      </c>
      <c r="W173" s="26">
        <v>0.899273760656773</v>
      </c>
      <c r="X173" s="28">
        <v>0.92</v>
      </c>
      <c r="Y173" s="28">
        <v>0.90806006742261702</v>
      </c>
      <c r="Z173" s="28">
        <v>0.94234281241847095</v>
      </c>
      <c r="AA173" s="28">
        <v>0.94752116082224902</v>
      </c>
      <c r="AB173" s="28">
        <v>0.93169712793733706</v>
      </c>
      <c r="AC173" s="28">
        <v>0.92</v>
      </c>
      <c r="AD173" s="26">
        <v>0.99575302188827197</v>
      </c>
      <c r="AE173" s="26">
        <v>0.389542483660131</v>
      </c>
      <c r="AF173" s="26">
        <v>0.50912316269640101</v>
      </c>
      <c r="AG173" s="26">
        <v>0.64820194612889603</v>
      </c>
      <c r="AH173" s="28">
        <v>0.92</v>
      </c>
      <c r="AI173" s="26">
        <v>0.93823494476778702</v>
      </c>
      <c r="AJ173" s="26">
        <v>0.96831116038433096</v>
      </c>
      <c r="AK173" s="26">
        <v>0.96541268950028103</v>
      </c>
      <c r="AL173" s="26">
        <v>0.95811775814923394</v>
      </c>
      <c r="AM173" s="25">
        <v>0.99</v>
      </c>
      <c r="AN173" s="30">
        <v>1</v>
      </c>
      <c r="AO173" s="30">
        <v>1</v>
      </c>
      <c r="AP173" s="30">
        <v>1</v>
      </c>
      <c r="AQ173" s="30">
        <v>1</v>
      </c>
      <c r="AR173" s="32">
        <v>0.10526149898194399</v>
      </c>
      <c r="AS173" s="34">
        <v>9.0909090909090898E-2</v>
      </c>
      <c r="AT173" s="34">
        <v>8.3333333333333301E-2</v>
      </c>
      <c r="AU173" s="34">
        <v>7.4074074074074098E-2</v>
      </c>
      <c r="AV173" s="34">
        <v>0.10638297872340401</v>
      </c>
      <c r="AW173" s="10"/>
      <c r="AX173" s="8"/>
    </row>
    <row r="174" spans="1:50">
      <c r="A174" s="7"/>
      <c r="B174" s="10"/>
      <c r="C174" s="45" t="s">
        <v>127</v>
      </c>
      <c r="D174" s="23" t="s">
        <v>11</v>
      </c>
      <c r="E174" s="46" t="s">
        <v>222</v>
      </c>
      <c r="F174" s="46" t="s">
        <v>222</v>
      </c>
      <c r="G174" s="46" t="s">
        <v>222</v>
      </c>
      <c r="H174" s="46" t="s">
        <v>222</v>
      </c>
      <c r="I174" s="25">
        <v>0.9</v>
      </c>
      <c r="J174" s="26">
        <v>0.94444444444444398</v>
      </c>
      <c r="K174" s="26">
        <v>0.89473684210526305</v>
      </c>
      <c r="L174" s="27">
        <v>0.94366197183098599</v>
      </c>
      <c r="M174" s="26">
        <v>0.90952380952380996</v>
      </c>
      <c r="N174" s="28">
        <v>0.9</v>
      </c>
      <c r="O174" s="26">
        <v>0.83213952039863004</v>
      </c>
      <c r="P174" s="26">
        <v>0.94740226337448596</v>
      </c>
      <c r="Q174" s="26">
        <v>0.92503247355724605</v>
      </c>
      <c r="R174" s="26">
        <v>0.89991208308148796</v>
      </c>
      <c r="S174" s="28">
        <v>0.9</v>
      </c>
      <c r="T174" s="26">
        <v>0.84677670507629998</v>
      </c>
      <c r="U174" s="26">
        <v>0.88425925925925897</v>
      </c>
      <c r="V174" s="26">
        <v>0.88495082575617001</v>
      </c>
      <c r="W174" s="26">
        <v>0.86441562723226595</v>
      </c>
      <c r="X174" s="28">
        <v>0.92</v>
      </c>
      <c r="Y174" s="28">
        <v>0.90667048382479198</v>
      </c>
      <c r="Z174" s="28">
        <v>0.92851915101244198</v>
      </c>
      <c r="AA174" s="28">
        <v>0.92282809611829897</v>
      </c>
      <c r="AB174" s="28">
        <v>0.91031236208502897</v>
      </c>
      <c r="AC174" s="28">
        <v>0.92</v>
      </c>
      <c r="AD174" s="26">
        <v>0.99786736020806199</v>
      </c>
      <c r="AE174" s="26">
        <v>0.98840118262451704</v>
      </c>
      <c r="AF174" s="26">
        <v>0.96707484913717001</v>
      </c>
      <c r="AG174" s="26">
        <v>0.98146617794068602</v>
      </c>
      <c r="AH174" s="28">
        <v>0.92</v>
      </c>
      <c r="AI174" s="26">
        <v>0.93696419566313704</v>
      </c>
      <c r="AJ174" s="26">
        <v>0.95857190973391704</v>
      </c>
      <c r="AK174" s="26">
        <v>0.94885778966865597</v>
      </c>
      <c r="AL174" s="26">
        <v>0.94281186724183497</v>
      </c>
      <c r="AM174" s="25">
        <v>0.99</v>
      </c>
      <c r="AN174" s="30">
        <v>1</v>
      </c>
      <c r="AO174" s="30">
        <v>1</v>
      </c>
      <c r="AP174" s="30">
        <v>1</v>
      </c>
      <c r="AQ174" s="30">
        <v>1</v>
      </c>
      <c r="AR174" s="32">
        <v>0.10526149898194399</v>
      </c>
      <c r="AS174" s="34">
        <v>8.3333333333333301E-2</v>
      </c>
      <c r="AT174" s="34">
        <v>5.7142857142857099E-2</v>
      </c>
      <c r="AU174" s="34">
        <v>0</v>
      </c>
      <c r="AV174" s="34">
        <v>6.21468926553672E-2</v>
      </c>
      <c r="AW174" s="10"/>
      <c r="AX174" s="8"/>
    </row>
    <row r="175" spans="1:50">
      <c r="A175" s="7"/>
      <c r="B175" s="10"/>
      <c r="C175" s="45" t="s">
        <v>127</v>
      </c>
      <c r="D175" s="23" t="s">
        <v>11</v>
      </c>
      <c r="E175" s="46" t="s">
        <v>223</v>
      </c>
      <c r="F175" s="46" t="s">
        <v>223</v>
      </c>
      <c r="G175" s="46" t="s">
        <v>223</v>
      </c>
      <c r="H175" s="46" t="s">
        <v>223</v>
      </c>
      <c r="I175" s="25">
        <v>0.9</v>
      </c>
      <c r="J175" s="26">
        <v>0.90588235294117603</v>
      </c>
      <c r="K175" s="26">
        <v>0.90243902439024404</v>
      </c>
      <c r="L175" s="27">
        <v>0.93023255813953498</v>
      </c>
      <c r="M175" s="26">
        <v>0.92600000000000005</v>
      </c>
      <c r="N175" s="28">
        <v>0.9</v>
      </c>
      <c r="O175" s="26">
        <v>0.93765318627451</v>
      </c>
      <c r="P175" s="26">
        <v>0.92931418667987098</v>
      </c>
      <c r="Q175" s="26">
        <v>0.94946858101808695</v>
      </c>
      <c r="R175" s="26">
        <v>0.93078752499864903</v>
      </c>
      <c r="S175" s="28">
        <v>0.9</v>
      </c>
      <c r="T175" s="26">
        <v>0.89889705882352899</v>
      </c>
      <c r="U175" s="26">
        <v>0.84241148799207699</v>
      </c>
      <c r="V175" s="26">
        <v>0.92746597053887703</v>
      </c>
      <c r="W175" s="26">
        <v>0.89222204205178102</v>
      </c>
      <c r="X175" s="28">
        <v>0.92</v>
      </c>
      <c r="Y175" s="28">
        <v>0.94255952380952401</v>
      </c>
      <c r="Z175" s="28">
        <v>0.95352146075409105</v>
      </c>
      <c r="AA175" s="28">
        <v>0.967041015625</v>
      </c>
      <c r="AB175" s="28">
        <v>0.94928465712876198</v>
      </c>
      <c r="AC175" s="28">
        <v>0.92</v>
      </c>
      <c r="AD175" s="26">
        <v>0.99134310009220405</v>
      </c>
      <c r="AE175" s="26">
        <v>0.98117412468476894</v>
      </c>
      <c r="AF175" s="26">
        <v>0.98224530056007797</v>
      </c>
      <c r="AG175" s="26">
        <v>0.93520771748986897</v>
      </c>
      <c r="AH175" s="28">
        <v>0.92</v>
      </c>
      <c r="AI175" s="26">
        <v>0.96764081302457305</v>
      </c>
      <c r="AJ175" s="26">
        <v>0.96453843025620201</v>
      </c>
      <c r="AK175" s="26">
        <v>0.98108222363136799</v>
      </c>
      <c r="AL175" s="26">
        <v>0.970357697746277</v>
      </c>
      <c r="AM175" s="25">
        <v>0.99</v>
      </c>
      <c r="AN175" s="30">
        <v>1</v>
      </c>
      <c r="AO175" s="30">
        <v>1</v>
      </c>
      <c r="AP175" s="30">
        <v>1</v>
      </c>
      <c r="AQ175" s="30">
        <v>1</v>
      </c>
      <c r="AR175" s="32">
        <v>0.10526149898194399</v>
      </c>
      <c r="AS175" s="34">
        <v>7.1428571428571397E-2</v>
      </c>
      <c r="AT175" s="34">
        <v>9.375E-2</v>
      </c>
      <c r="AU175" s="34">
        <v>0.233333333333333</v>
      </c>
      <c r="AV175" s="34">
        <v>0.110497237569061</v>
      </c>
      <c r="AW175" s="10"/>
      <c r="AX175" s="8"/>
    </row>
    <row r="176" spans="1:50">
      <c r="A176" s="7"/>
      <c r="B176" s="10"/>
      <c r="C176" s="45" t="s">
        <v>127</v>
      </c>
      <c r="D176" s="23" t="s">
        <v>11</v>
      </c>
      <c r="E176" s="46" t="s">
        <v>224</v>
      </c>
      <c r="F176" s="46" t="s">
        <v>224</v>
      </c>
      <c r="G176" s="46" t="s">
        <v>224</v>
      </c>
      <c r="H176" s="46" t="s">
        <v>224</v>
      </c>
      <c r="I176" s="25">
        <v>0.9</v>
      </c>
      <c r="J176" s="26">
        <v>0.97916666666666696</v>
      </c>
      <c r="K176" s="26">
        <v>0.92452830188679203</v>
      </c>
      <c r="L176" s="27">
        <v>0.93617021276595702</v>
      </c>
      <c r="M176" s="26">
        <v>0.94160583941605802</v>
      </c>
      <c r="N176" s="28">
        <v>0.9</v>
      </c>
      <c r="O176" s="26">
        <v>0.95380434782608703</v>
      </c>
      <c r="P176" s="26">
        <v>0.94001919385796495</v>
      </c>
      <c r="Q176" s="26">
        <v>0.95298833819242001</v>
      </c>
      <c r="R176" s="26">
        <v>0.95214547774764702</v>
      </c>
      <c r="S176" s="28">
        <v>0.9</v>
      </c>
      <c r="T176" s="26">
        <v>0.91968599033816401</v>
      </c>
      <c r="U176" s="26">
        <v>0.94505758157389597</v>
      </c>
      <c r="V176" s="26">
        <v>0.884475218658892</v>
      </c>
      <c r="W176" s="26">
        <v>0.89461370766204096</v>
      </c>
      <c r="X176" s="28">
        <v>0.92</v>
      </c>
      <c r="Y176" s="28">
        <v>0.94570374275171298</v>
      </c>
      <c r="Z176" s="28">
        <v>0.96117274167987299</v>
      </c>
      <c r="AA176" s="28">
        <v>0.94183714400320895</v>
      </c>
      <c r="AB176" s="28">
        <v>0.95269918416941501</v>
      </c>
      <c r="AC176" s="28">
        <v>0.92</v>
      </c>
      <c r="AD176" s="26">
        <v>0.97836166924265799</v>
      </c>
      <c r="AE176" s="26">
        <v>0.97472194135490398</v>
      </c>
      <c r="AF176" s="26">
        <v>0.94149345650500404</v>
      </c>
      <c r="AG176" s="26">
        <v>0.96869806094182798</v>
      </c>
      <c r="AH176" s="28">
        <v>0.92</v>
      </c>
      <c r="AI176" s="26">
        <v>0.96064503743520802</v>
      </c>
      <c r="AJ176" s="26">
        <v>0.97937836222355001</v>
      </c>
      <c r="AK176" s="26">
        <v>0.96735395189003404</v>
      </c>
      <c r="AL176" s="26">
        <v>0.97131742054595804</v>
      </c>
      <c r="AM176" s="25">
        <v>0.99</v>
      </c>
      <c r="AN176" s="30">
        <v>1</v>
      </c>
      <c r="AO176" s="30">
        <v>1</v>
      </c>
      <c r="AP176" s="30">
        <v>1</v>
      </c>
      <c r="AQ176" s="30">
        <v>1</v>
      </c>
      <c r="AR176" s="32">
        <v>0.10526149898194399</v>
      </c>
      <c r="AS176" s="34">
        <v>0</v>
      </c>
      <c r="AT176" s="34">
        <v>0</v>
      </c>
      <c r="AU176" s="34">
        <v>0.11111111111111099</v>
      </c>
      <c r="AV176" s="34">
        <v>7.5471698113207503E-2</v>
      </c>
      <c r="AW176" s="10"/>
      <c r="AX176" s="8"/>
    </row>
    <row r="177" spans="1:50">
      <c r="A177" s="7"/>
      <c r="B177" s="10"/>
      <c r="C177" s="45" t="s">
        <v>127</v>
      </c>
      <c r="D177" s="23" t="s">
        <v>11</v>
      </c>
      <c r="E177" s="46" t="s">
        <v>225</v>
      </c>
      <c r="F177" s="46" t="s">
        <v>225</v>
      </c>
      <c r="G177" s="46" t="s">
        <v>225</v>
      </c>
      <c r="H177" s="46" t="s">
        <v>225</v>
      </c>
      <c r="I177" s="25">
        <v>0.9</v>
      </c>
      <c r="J177" s="26">
        <v>0.97402597402597402</v>
      </c>
      <c r="K177" s="26">
        <v>0.97674418604651203</v>
      </c>
      <c r="L177" s="27">
        <v>0.97590361445783103</v>
      </c>
      <c r="M177" s="26">
        <v>0.98017621145374401</v>
      </c>
      <c r="N177" s="28">
        <v>0.9</v>
      </c>
      <c r="O177" s="26">
        <v>0.87369337979094097</v>
      </c>
      <c r="P177" s="26">
        <v>0.90443518745405505</v>
      </c>
      <c r="Q177" s="26">
        <v>0.91075981642019399</v>
      </c>
      <c r="R177" s="26">
        <v>0.90797022173599795</v>
      </c>
      <c r="S177" s="28">
        <v>0.9</v>
      </c>
      <c r="T177" s="26">
        <v>0.90926248548199795</v>
      </c>
      <c r="U177" s="26">
        <v>0.908723352119579</v>
      </c>
      <c r="V177" s="26">
        <v>0.95308516063232995</v>
      </c>
      <c r="W177" s="26">
        <v>0.92360647864023304</v>
      </c>
      <c r="X177" s="28">
        <v>0.92</v>
      </c>
      <c r="Y177" s="28">
        <v>0.92437650844730501</v>
      </c>
      <c r="Z177" s="28">
        <v>0.98285714285714298</v>
      </c>
      <c r="AA177" s="28">
        <v>0.99213087595775495</v>
      </c>
      <c r="AB177" s="28">
        <v>0.97727980080921295</v>
      </c>
      <c r="AC177" s="28">
        <v>0.92</v>
      </c>
      <c r="AD177" s="26">
        <v>0.99495951738371202</v>
      </c>
      <c r="AE177" s="26">
        <v>0.94952664322423597</v>
      </c>
      <c r="AF177" s="26">
        <v>0.88689568400183005</v>
      </c>
      <c r="AG177" s="26">
        <v>0.93971961167457596</v>
      </c>
      <c r="AH177" s="28">
        <v>0.92</v>
      </c>
      <c r="AI177" s="26">
        <v>0.95563718564566302</v>
      </c>
      <c r="AJ177" s="26">
        <v>0.98996735408870096</v>
      </c>
      <c r="AK177" s="26">
        <v>0.99477270605806001</v>
      </c>
      <c r="AL177" s="26">
        <v>0.98616505258946896</v>
      </c>
      <c r="AM177" s="25">
        <v>0.99</v>
      </c>
      <c r="AN177" s="30">
        <v>1</v>
      </c>
      <c r="AO177" s="30">
        <v>1</v>
      </c>
      <c r="AP177" s="30">
        <v>1</v>
      </c>
      <c r="AQ177" s="30">
        <v>1</v>
      </c>
      <c r="AR177" s="32">
        <v>0.10526149898194399</v>
      </c>
      <c r="AS177" s="34">
        <v>3.125E-2</v>
      </c>
      <c r="AT177" s="34">
        <v>4.5454545454545497E-2</v>
      </c>
      <c r="AU177" s="34">
        <v>0.217391304347826</v>
      </c>
      <c r="AV177" s="34">
        <v>0.13661202185792401</v>
      </c>
      <c r="AW177" s="10"/>
      <c r="AX177" s="8"/>
    </row>
    <row r="178" spans="1:50">
      <c r="A178" s="7"/>
      <c r="B178" s="10"/>
      <c r="C178" s="45" t="s">
        <v>127</v>
      </c>
      <c r="D178" s="23" t="s">
        <v>11</v>
      </c>
      <c r="E178" s="46" t="s">
        <v>226</v>
      </c>
      <c r="F178" s="46" t="s">
        <v>226</v>
      </c>
      <c r="G178" s="46" t="s">
        <v>226</v>
      </c>
      <c r="H178" s="46" t="s">
        <v>226</v>
      </c>
      <c r="I178" s="25">
        <v>0.9</v>
      </c>
      <c r="J178" s="26">
        <v>0.96491228070175405</v>
      </c>
      <c r="K178" s="26">
        <v>0.94736842105263197</v>
      </c>
      <c r="L178" s="27">
        <v>0.94642857142857095</v>
      </c>
      <c r="M178" s="26">
        <v>0.958456973293769</v>
      </c>
      <c r="N178" s="28">
        <v>0.9</v>
      </c>
      <c r="O178" s="26">
        <v>0.93002915451894996</v>
      </c>
      <c r="P178" s="26">
        <v>0.89327606145712901</v>
      </c>
      <c r="Q178" s="26">
        <v>0.93977354854252004</v>
      </c>
      <c r="R178" s="26">
        <v>0.93082890389311901</v>
      </c>
      <c r="S178" s="28">
        <v>0.9</v>
      </c>
      <c r="T178" s="26">
        <v>0.90857975843398597</v>
      </c>
      <c r="U178" s="26">
        <v>0.89575417148521397</v>
      </c>
      <c r="V178" s="26">
        <v>0.94242351240664901</v>
      </c>
      <c r="W178" s="26">
        <v>0.92249676770578903</v>
      </c>
      <c r="X178" s="28">
        <v>0.92</v>
      </c>
      <c r="Y178" s="28">
        <v>0.93383518225039597</v>
      </c>
      <c r="Z178" s="28">
        <v>0.939064558629776</v>
      </c>
      <c r="AA178" s="28">
        <v>0.95839230116048701</v>
      </c>
      <c r="AB178" s="28">
        <v>0.95231204781377798</v>
      </c>
      <c r="AC178" s="28">
        <v>0.92</v>
      </c>
      <c r="AD178" s="26">
        <v>0.98788443616029797</v>
      </c>
      <c r="AE178" s="26">
        <v>0.97753767415410897</v>
      </c>
      <c r="AF178" s="26">
        <v>0.99559665345662696</v>
      </c>
      <c r="AG178" s="26">
        <v>0.96997951924113401</v>
      </c>
      <c r="AH178" s="28">
        <v>0.92</v>
      </c>
      <c r="AI178" s="26">
        <v>0.95195850962194595</v>
      </c>
      <c r="AJ178" s="26">
        <v>0.96501650165016495</v>
      </c>
      <c r="AK178" s="26">
        <v>0.97476586888657601</v>
      </c>
      <c r="AL178" s="26">
        <v>0.97083295236353695</v>
      </c>
      <c r="AM178" s="25">
        <v>0.99</v>
      </c>
      <c r="AN178" s="30">
        <v>1</v>
      </c>
      <c r="AO178" s="30">
        <v>1</v>
      </c>
      <c r="AP178" s="30">
        <v>1</v>
      </c>
      <c r="AQ178" s="30">
        <v>1</v>
      </c>
      <c r="AR178" s="32">
        <v>0.10526149898194399</v>
      </c>
      <c r="AS178" s="34">
        <v>6.25E-2</v>
      </c>
      <c r="AT178" s="34">
        <v>0</v>
      </c>
      <c r="AU178" s="34">
        <v>0.33333333333333298</v>
      </c>
      <c r="AV178" s="34">
        <v>8.7499999999999994E-2</v>
      </c>
      <c r="AW178" s="10"/>
      <c r="AX178" s="8"/>
    </row>
    <row r="179" spans="1:50">
      <c r="A179" s="7"/>
      <c r="B179" s="10"/>
      <c r="C179" s="45" t="s">
        <v>127</v>
      </c>
      <c r="D179" s="23" t="s">
        <v>11</v>
      </c>
      <c r="E179" s="46" t="s">
        <v>227</v>
      </c>
      <c r="F179" s="46" t="s">
        <v>227</v>
      </c>
      <c r="G179" s="46" t="s">
        <v>227</v>
      </c>
      <c r="H179" s="46" t="s">
        <v>227</v>
      </c>
      <c r="I179" s="25">
        <v>0.9</v>
      </c>
      <c r="J179" s="26">
        <v>0.93506493506493504</v>
      </c>
      <c r="K179" s="26">
        <v>0.92</v>
      </c>
      <c r="L179" s="27">
        <v>0.95522388059701502</v>
      </c>
      <c r="M179" s="26">
        <v>0.92677345537757405</v>
      </c>
      <c r="N179" s="28">
        <v>0.9</v>
      </c>
      <c r="O179" s="26">
        <v>0.90589493383237496</v>
      </c>
      <c r="P179" s="26">
        <v>0.81294883303411103</v>
      </c>
      <c r="Q179" s="26">
        <v>0.89660517749186197</v>
      </c>
      <c r="R179" s="26">
        <v>0.90516062884483905</v>
      </c>
      <c r="S179" s="28">
        <v>0.9</v>
      </c>
      <c r="T179" s="26">
        <v>0.88651249832909995</v>
      </c>
      <c r="U179" s="26">
        <v>0.86063734290843796</v>
      </c>
      <c r="V179" s="26">
        <v>0.88823438226631501</v>
      </c>
      <c r="W179" s="26">
        <v>0.89441949028415202</v>
      </c>
      <c r="X179" s="28">
        <v>0.92</v>
      </c>
      <c r="Y179" s="28">
        <v>0.895311667554608</v>
      </c>
      <c r="Z179" s="28">
        <v>0.92343485617597298</v>
      </c>
      <c r="AA179" s="28">
        <v>0.93315353496436104</v>
      </c>
      <c r="AB179" s="28">
        <v>0.91634964362237104</v>
      </c>
      <c r="AC179" s="28">
        <v>0.92</v>
      </c>
      <c r="AD179" s="26">
        <v>0.99789042251823301</v>
      </c>
      <c r="AE179" s="26">
        <v>0.98999579262306603</v>
      </c>
      <c r="AF179" s="26">
        <v>0.99734942706846597</v>
      </c>
      <c r="AG179" s="26">
        <v>0.98824357001538798</v>
      </c>
      <c r="AH179" s="28">
        <v>0.92</v>
      </c>
      <c r="AI179" s="26">
        <v>0.93361217406781205</v>
      </c>
      <c r="AJ179" s="26">
        <v>0.95836082398651101</v>
      </c>
      <c r="AK179" s="26">
        <v>0.95989006269861699</v>
      </c>
      <c r="AL179" s="26">
        <v>0.95282324379356298</v>
      </c>
      <c r="AM179" s="25">
        <v>0.99</v>
      </c>
      <c r="AN179" s="30">
        <v>1</v>
      </c>
      <c r="AO179" s="30">
        <v>1</v>
      </c>
      <c r="AP179" s="30">
        <v>1</v>
      </c>
      <c r="AQ179" s="30">
        <v>1</v>
      </c>
      <c r="AR179" s="32">
        <v>0.10526149898194399</v>
      </c>
      <c r="AS179" s="34">
        <v>0.24390243902438999</v>
      </c>
      <c r="AT179" s="34">
        <v>0.15625</v>
      </c>
      <c r="AU179" s="34">
        <v>0</v>
      </c>
      <c r="AV179" s="34">
        <v>0.16580310880829</v>
      </c>
      <c r="AW179" s="10"/>
      <c r="AX179" s="8"/>
    </row>
    <row r="180" spans="1:50">
      <c r="A180" s="7"/>
      <c r="B180" s="10"/>
      <c r="C180" s="45" t="s">
        <v>127</v>
      </c>
      <c r="D180" s="23" t="s">
        <v>11</v>
      </c>
      <c r="E180" s="46" t="s">
        <v>228</v>
      </c>
      <c r="F180" s="46" t="s">
        <v>228</v>
      </c>
      <c r="G180" s="46" t="s">
        <v>228</v>
      </c>
      <c r="H180" s="46" t="s">
        <v>228</v>
      </c>
      <c r="I180" s="25">
        <v>0.9</v>
      </c>
      <c r="J180" s="26">
        <v>0.93406593406593397</v>
      </c>
      <c r="K180" s="26">
        <v>0.86666666666666703</v>
      </c>
      <c r="L180" s="27">
        <v>0.86904761904761896</v>
      </c>
      <c r="M180" s="26">
        <v>0.83368869936034096</v>
      </c>
      <c r="N180" s="28">
        <v>0.9</v>
      </c>
      <c r="O180" s="26">
        <v>0.88923502942194499</v>
      </c>
      <c r="P180" s="26">
        <v>0.67905882352941205</v>
      </c>
      <c r="Q180" s="26">
        <v>0.92886093640810596</v>
      </c>
      <c r="R180" s="26">
        <v>0.83302876480541499</v>
      </c>
      <c r="S180" s="28">
        <v>0.9</v>
      </c>
      <c r="T180" s="26">
        <v>0.84954424829814201</v>
      </c>
      <c r="U180" s="26">
        <v>0.73101176470588203</v>
      </c>
      <c r="V180" s="26">
        <v>0.87714884696016804</v>
      </c>
      <c r="W180" s="26">
        <v>0.82224478285392</v>
      </c>
      <c r="X180" s="28">
        <v>0.92</v>
      </c>
      <c r="Y180" s="28">
        <v>0.91843088418430896</v>
      </c>
      <c r="Z180" s="28">
        <v>0.92697594501718195</v>
      </c>
      <c r="AA180" s="28">
        <v>0.94070038910505804</v>
      </c>
      <c r="AB180" s="28">
        <v>0.92555406812434904</v>
      </c>
      <c r="AC180" s="28">
        <v>0.92</v>
      </c>
      <c r="AD180" s="26">
        <v>0.96088435374149705</v>
      </c>
      <c r="AE180" s="26">
        <v>0.97975460122699398</v>
      </c>
      <c r="AF180" s="26">
        <v>0.91928934010152297</v>
      </c>
      <c r="AG180" s="26">
        <v>0.91623057249655704</v>
      </c>
      <c r="AH180" s="28">
        <v>0.92</v>
      </c>
      <c r="AI180" s="26">
        <v>0.94539575218637495</v>
      </c>
      <c r="AJ180" s="26">
        <v>0.95511146206645203</v>
      </c>
      <c r="AK180" s="26">
        <v>0.96090413782948003</v>
      </c>
      <c r="AL180" s="26">
        <v>0.95072021073870605</v>
      </c>
      <c r="AM180" s="25">
        <v>0.99</v>
      </c>
      <c r="AN180" s="30">
        <v>1</v>
      </c>
      <c r="AO180" s="30">
        <v>1</v>
      </c>
      <c r="AP180" s="30">
        <v>1</v>
      </c>
      <c r="AQ180" s="30">
        <v>1</v>
      </c>
      <c r="AR180" s="32">
        <v>0.10526149898194399</v>
      </c>
      <c r="AS180" s="34">
        <v>0.11764705882352899</v>
      </c>
      <c r="AT180" s="34">
        <v>4.6511627906976702E-2</v>
      </c>
      <c r="AU180" s="34">
        <v>6.9767441860465101E-2</v>
      </c>
      <c r="AV180" s="34">
        <v>9.375E-2</v>
      </c>
      <c r="AW180" s="10"/>
      <c r="AX180" s="8"/>
    </row>
    <row r="181" spans="1:50">
      <c r="A181" s="7"/>
      <c r="B181" s="10"/>
      <c r="C181" s="45" t="s">
        <v>127</v>
      </c>
      <c r="D181" s="23" t="s">
        <v>11</v>
      </c>
      <c r="E181" s="46" t="s">
        <v>229</v>
      </c>
      <c r="F181" s="46" t="s">
        <v>229</v>
      </c>
      <c r="G181" s="46" t="s">
        <v>229</v>
      </c>
      <c r="H181" s="46" t="s">
        <v>229</v>
      </c>
      <c r="I181" s="25">
        <v>0.9</v>
      </c>
      <c r="J181" s="26">
        <v>0.96666666666666701</v>
      </c>
      <c r="K181" s="26">
        <v>0.93650793650793696</v>
      </c>
      <c r="L181" s="27">
        <v>0.875</v>
      </c>
      <c r="M181" s="26">
        <v>0.92987804878048796</v>
      </c>
      <c r="N181" s="28">
        <v>0.9</v>
      </c>
      <c r="O181" s="26">
        <v>0.78433999025815904</v>
      </c>
      <c r="P181" s="26">
        <v>0.634589350180505</v>
      </c>
      <c r="Q181" s="26">
        <v>0.89520690681750503</v>
      </c>
      <c r="R181" s="26">
        <v>0.80289558767592195</v>
      </c>
      <c r="S181" s="28">
        <v>0.9</v>
      </c>
      <c r="T181" s="26">
        <v>0.892230881636629</v>
      </c>
      <c r="U181" s="26">
        <v>0.87861010830324904</v>
      </c>
      <c r="V181" s="26">
        <v>0.87793986305448002</v>
      </c>
      <c r="W181" s="26">
        <v>0.88536515785469805</v>
      </c>
      <c r="X181" s="28">
        <v>0.92</v>
      </c>
      <c r="Y181" s="28">
        <v>0.93477117306680702</v>
      </c>
      <c r="Z181" s="28">
        <v>0.95026498165511597</v>
      </c>
      <c r="AA181" s="28">
        <v>0.94696969696969702</v>
      </c>
      <c r="AB181" s="28">
        <v>0.94149144573592802</v>
      </c>
      <c r="AC181" s="28">
        <v>0.92</v>
      </c>
      <c r="AD181" s="26">
        <v>0.99765187548919299</v>
      </c>
      <c r="AE181" s="26">
        <v>0.995247949720242</v>
      </c>
      <c r="AF181" s="26">
        <v>0.95861296310534605</v>
      </c>
      <c r="AG181" s="26">
        <v>0.95068686514797196</v>
      </c>
      <c r="AH181" s="28">
        <v>0.92</v>
      </c>
      <c r="AI181" s="26">
        <v>0.95697403462050601</v>
      </c>
      <c r="AJ181" s="26">
        <v>0.96710717397618395</v>
      </c>
      <c r="AK181" s="26">
        <v>0.96672987415962797</v>
      </c>
      <c r="AL181" s="26">
        <v>0.96126890446329805</v>
      </c>
      <c r="AM181" s="25">
        <v>0.99</v>
      </c>
      <c r="AN181" s="30">
        <v>1</v>
      </c>
      <c r="AO181" s="30">
        <v>1</v>
      </c>
      <c r="AP181" s="30">
        <v>1</v>
      </c>
      <c r="AQ181" s="30">
        <v>1</v>
      </c>
      <c r="AR181" s="32">
        <v>0.10526149898194399</v>
      </c>
      <c r="AS181" s="34">
        <v>8.1081081081081099E-2</v>
      </c>
      <c r="AT181" s="34">
        <v>6.5217391304347797E-2</v>
      </c>
      <c r="AU181" s="34">
        <v>4.8780487804878099E-2</v>
      </c>
      <c r="AV181" s="34">
        <v>7.0484581497797405E-2</v>
      </c>
      <c r="AW181" s="10"/>
      <c r="AX181" s="8"/>
    </row>
    <row r="182" spans="1:50">
      <c r="A182" s="7"/>
      <c r="B182" s="10"/>
      <c r="C182" s="45" t="s">
        <v>127</v>
      </c>
      <c r="D182" s="23" t="s">
        <v>11</v>
      </c>
      <c r="E182" s="46" t="s">
        <v>230</v>
      </c>
      <c r="F182" s="46" t="s">
        <v>230</v>
      </c>
      <c r="G182" s="46" t="s">
        <v>230</v>
      </c>
      <c r="H182" s="46" t="s">
        <v>230</v>
      </c>
      <c r="I182" s="25">
        <v>0.9</v>
      </c>
      <c r="J182" s="26">
        <v>0.90566037735849103</v>
      </c>
      <c r="K182" s="26">
        <v>0.96226415094339601</v>
      </c>
      <c r="L182" s="27">
        <v>0.97959183673469397</v>
      </c>
      <c r="M182" s="26">
        <v>0.93265993265993297</v>
      </c>
      <c r="N182" s="28">
        <v>0.9</v>
      </c>
      <c r="O182" s="26">
        <v>0.90597106802092997</v>
      </c>
      <c r="P182" s="26">
        <v>0.94549826342506005</v>
      </c>
      <c r="Q182" s="26">
        <v>0.92311652651450105</v>
      </c>
      <c r="R182" s="26">
        <v>0.93200191543900202</v>
      </c>
      <c r="S182" s="28">
        <v>0.9</v>
      </c>
      <c r="T182" s="26">
        <v>0.90827947060633996</v>
      </c>
      <c r="U182" s="26">
        <v>0.89406892866684495</v>
      </c>
      <c r="V182" s="26">
        <v>0.90767118585893303</v>
      </c>
      <c r="W182" s="26">
        <v>0.91180530125911996</v>
      </c>
      <c r="X182" s="28">
        <v>0.92</v>
      </c>
      <c r="Y182" s="28">
        <v>0.94169872743415195</v>
      </c>
      <c r="Z182" s="28">
        <v>0.96070726915520599</v>
      </c>
      <c r="AA182" s="28">
        <v>0.96734693877551003</v>
      </c>
      <c r="AB182" s="28">
        <v>0.95158195148354097</v>
      </c>
      <c r="AC182" s="28">
        <v>0.92</v>
      </c>
      <c r="AD182" s="26">
        <v>0.98452294246176297</v>
      </c>
      <c r="AE182" s="26">
        <v>0.96837534220711796</v>
      </c>
      <c r="AF182" s="26">
        <v>0.98872201756871603</v>
      </c>
      <c r="AG182" s="26">
        <v>0.98526706322438196</v>
      </c>
      <c r="AH182" s="28">
        <v>0.92</v>
      </c>
      <c r="AI182" s="26">
        <v>0.95363433893500704</v>
      </c>
      <c r="AJ182" s="26">
        <v>0.97715867797196698</v>
      </c>
      <c r="AK182" s="26">
        <v>0.97529804482594196</v>
      </c>
      <c r="AL182" s="26">
        <v>0.96736638486889204</v>
      </c>
      <c r="AM182" s="25">
        <v>0.99</v>
      </c>
      <c r="AN182" s="30">
        <v>1</v>
      </c>
      <c r="AO182" s="30">
        <v>1</v>
      </c>
      <c r="AP182" s="30">
        <v>1</v>
      </c>
      <c r="AQ182" s="30">
        <v>1</v>
      </c>
      <c r="AR182" s="32">
        <v>0.10526149898194399</v>
      </c>
      <c r="AS182" s="34">
        <v>0</v>
      </c>
      <c r="AT182" s="34">
        <v>0</v>
      </c>
      <c r="AU182" s="34">
        <v>0.28571428571428598</v>
      </c>
      <c r="AV182" s="34">
        <v>5.1282051282051301E-2</v>
      </c>
      <c r="AW182" s="10"/>
      <c r="AX182" s="8"/>
    </row>
    <row r="183" spans="1:50">
      <c r="A183" s="7"/>
      <c r="B183" s="10"/>
      <c r="C183" s="45" t="s">
        <v>127</v>
      </c>
      <c r="D183" s="23" t="s">
        <v>11</v>
      </c>
      <c r="E183" s="46" t="s">
        <v>231</v>
      </c>
      <c r="F183" s="46" t="s">
        <v>231</v>
      </c>
      <c r="G183" s="46" t="s">
        <v>231</v>
      </c>
      <c r="H183" s="46" t="s">
        <v>231</v>
      </c>
      <c r="I183" s="25">
        <v>0.9</v>
      </c>
      <c r="J183" s="26">
        <v>0.97826086956521696</v>
      </c>
      <c r="K183" s="26">
        <v>1</v>
      </c>
      <c r="L183" s="27">
        <v>0.97499999999999998</v>
      </c>
      <c r="M183" s="26">
        <v>0.98425196850393704</v>
      </c>
      <c r="N183" s="28">
        <v>0.9</v>
      </c>
      <c r="O183" s="26">
        <v>0.89274502964771496</v>
      </c>
      <c r="P183" s="26">
        <v>0.87199060481503199</v>
      </c>
      <c r="Q183" s="26">
        <v>0.93918224779124704</v>
      </c>
      <c r="R183" s="26">
        <v>0.89880516170144997</v>
      </c>
      <c r="S183" s="28">
        <v>0.9</v>
      </c>
      <c r="T183" s="26">
        <v>0.88960585978374596</v>
      </c>
      <c r="U183" s="26">
        <v>0.91720493247210799</v>
      </c>
      <c r="V183" s="26">
        <v>0.931580028765153</v>
      </c>
      <c r="W183" s="26">
        <v>0.90654771387605504</v>
      </c>
      <c r="X183" s="28">
        <v>0.92</v>
      </c>
      <c r="Y183" s="28">
        <v>0.93672781729689303</v>
      </c>
      <c r="Z183" s="28">
        <v>0.94654459539279401</v>
      </c>
      <c r="AA183" s="28">
        <v>0.96754250386398799</v>
      </c>
      <c r="AB183" s="28">
        <v>0.95285563504163295</v>
      </c>
      <c r="AC183" s="28">
        <v>0.92</v>
      </c>
      <c r="AD183" s="26">
        <v>0.97180590592075999</v>
      </c>
      <c r="AE183" s="26">
        <v>0.97032878909382503</v>
      </c>
      <c r="AF183" s="26">
        <v>0.935819601040763</v>
      </c>
      <c r="AG183" s="26">
        <v>0.96553286954157103</v>
      </c>
      <c r="AH183" s="28">
        <v>0.92</v>
      </c>
      <c r="AI183" s="26">
        <v>0.951843043995244</v>
      </c>
      <c r="AJ183" s="26">
        <v>0.97087949798999895</v>
      </c>
      <c r="AK183" s="26">
        <v>0.97817392298023098</v>
      </c>
      <c r="AL183" s="26">
        <v>0.96761609907120705</v>
      </c>
      <c r="AM183" s="25">
        <v>0.99</v>
      </c>
      <c r="AN183" s="30">
        <v>1</v>
      </c>
      <c r="AO183" s="30">
        <v>1</v>
      </c>
      <c r="AP183" s="30">
        <v>1</v>
      </c>
      <c r="AQ183" s="30">
        <v>1</v>
      </c>
      <c r="AR183" s="32">
        <v>0.10526149898194399</v>
      </c>
      <c r="AS183" s="34">
        <v>5.8823529411764698E-2</v>
      </c>
      <c r="AT183" s="34">
        <v>0.13636363636363599</v>
      </c>
      <c r="AU183" s="34">
        <v>0</v>
      </c>
      <c r="AV183" s="34">
        <v>8.9285714285714302E-2</v>
      </c>
      <c r="AW183" s="10"/>
      <c r="AX183" s="8"/>
    </row>
    <row r="184" spans="1:50">
      <c r="A184" s="7"/>
      <c r="B184" s="10"/>
      <c r="C184" s="45" t="s">
        <v>127</v>
      </c>
      <c r="D184" s="23" t="s">
        <v>11</v>
      </c>
      <c r="E184" s="46" t="s">
        <v>232</v>
      </c>
      <c r="F184" s="46" t="s">
        <v>232</v>
      </c>
      <c r="G184" s="46" t="s">
        <v>232</v>
      </c>
      <c r="H184" s="46" t="s">
        <v>232</v>
      </c>
      <c r="I184" s="25">
        <v>0.9</v>
      </c>
      <c r="J184" s="26">
        <v>0.92</v>
      </c>
      <c r="K184" s="26">
        <v>0.949367088607595</v>
      </c>
      <c r="L184" s="27">
        <v>0.94666666666666699</v>
      </c>
      <c r="M184" s="26">
        <v>0.943310657596372</v>
      </c>
      <c r="N184" s="28">
        <v>0.9</v>
      </c>
      <c r="O184" s="26">
        <v>0.92158516020236103</v>
      </c>
      <c r="P184" s="26">
        <v>0.81271929824561395</v>
      </c>
      <c r="Q184" s="26">
        <v>0.92227671273591905</v>
      </c>
      <c r="R184" s="26">
        <v>0.87710032483466105</v>
      </c>
      <c r="S184" s="28">
        <v>0.9</v>
      </c>
      <c r="T184" s="26">
        <v>0.89839797639123098</v>
      </c>
      <c r="U184" s="26">
        <v>0.86392543859649096</v>
      </c>
      <c r="V184" s="26">
        <v>0.90934759994055603</v>
      </c>
      <c r="W184" s="26">
        <v>0.88214811525788095</v>
      </c>
      <c r="X184" s="28">
        <v>0.92</v>
      </c>
      <c r="Y184" s="28">
        <v>0.92653167185877505</v>
      </c>
      <c r="Z184" s="28">
        <v>0.93385534720791297</v>
      </c>
      <c r="AA184" s="28">
        <v>0.91772388059701504</v>
      </c>
      <c r="AB184" s="28">
        <v>0.92045501722921097</v>
      </c>
      <c r="AC184" s="28">
        <v>0.92</v>
      </c>
      <c r="AD184" s="26">
        <v>0.97310864108999595</v>
      </c>
      <c r="AE184" s="26">
        <v>0.89943431803896901</v>
      </c>
      <c r="AF184" s="26">
        <v>0.98426023084994796</v>
      </c>
      <c r="AG184" s="26">
        <v>0.96363121103343996</v>
      </c>
      <c r="AH184" s="28">
        <v>0.92</v>
      </c>
      <c r="AI184" s="26">
        <v>0.94621695533272598</v>
      </c>
      <c r="AJ184" s="26">
        <v>0.95326701495741795</v>
      </c>
      <c r="AK184" s="26">
        <v>0.94631483166514996</v>
      </c>
      <c r="AL184" s="26">
        <v>0.948073501487673</v>
      </c>
      <c r="AM184" s="25">
        <v>0.99</v>
      </c>
      <c r="AN184" s="30">
        <v>1</v>
      </c>
      <c r="AO184" s="30">
        <v>1</v>
      </c>
      <c r="AP184" s="30">
        <v>1</v>
      </c>
      <c r="AQ184" s="30">
        <v>1</v>
      </c>
      <c r="AR184" s="32">
        <v>0.10526149898194399</v>
      </c>
      <c r="AS184" s="34">
        <v>8.3333333333333301E-2</v>
      </c>
      <c r="AT184" s="34">
        <v>0.05</v>
      </c>
      <c r="AU184" s="34">
        <v>4.1666666666666699E-2</v>
      </c>
      <c r="AV184" s="34">
        <v>0.125</v>
      </c>
      <c r="AW184" s="10"/>
      <c r="AX184" s="8"/>
    </row>
    <row r="185" spans="1:50">
      <c r="A185" s="7"/>
      <c r="B185" s="10"/>
      <c r="C185" s="45" t="s">
        <v>127</v>
      </c>
      <c r="D185" s="23" t="s">
        <v>11</v>
      </c>
      <c r="E185" s="46" t="s">
        <v>233</v>
      </c>
      <c r="F185" s="46" t="s">
        <v>233</v>
      </c>
      <c r="G185" s="46" t="s">
        <v>233</v>
      </c>
      <c r="H185" s="46" t="s">
        <v>233</v>
      </c>
      <c r="I185" s="25">
        <v>0.9</v>
      </c>
      <c r="J185" s="26">
        <v>0.98019801980197996</v>
      </c>
      <c r="K185" s="26">
        <v>0.91071428571428603</v>
      </c>
      <c r="L185" s="27">
        <v>0.94174757281553401</v>
      </c>
      <c r="M185" s="26">
        <v>0.94876033057851195</v>
      </c>
      <c r="N185" s="28">
        <v>0.9</v>
      </c>
      <c r="O185" s="26">
        <v>0.90010502975843198</v>
      </c>
      <c r="P185" s="26">
        <v>0.93577047663118895</v>
      </c>
      <c r="Q185" s="26">
        <v>0.91922608578000298</v>
      </c>
      <c r="R185" s="26">
        <v>0.91621961190993795</v>
      </c>
      <c r="S185" s="28">
        <v>0.9</v>
      </c>
      <c r="T185" s="26">
        <v>0.88049947485120805</v>
      </c>
      <c r="U185" s="26">
        <v>0.90782045349375295</v>
      </c>
      <c r="V185" s="26">
        <v>0.923285076444324</v>
      </c>
      <c r="W185" s="26">
        <v>0.90044472807769804</v>
      </c>
      <c r="X185" s="28">
        <v>0.92</v>
      </c>
      <c r="Y185" s="28">
        <v>0.918282850294182</v>
      </c>
      <c r="Z185" s="28">
        <v>0.94242803504380501</v>
      </c>
      <c r="AA185" s="28">
        <v>0.95461060678452003</v>
      </c>
      <c r="AB185" s="28">
        <v>0.94106820391721102</v>
      </c>
      <c r="AC185" s="28">
        <v>0.92</v>
      </c>
      <c r="AD185" s="26">
        <v>0.99473222124670801</v>
      </c>
      <c r="AE185" s="26">
        <v>0.99137698733495005</v>
      </c>
      <c r="AF185" s="26">
        <v>0.99418894238751498</v>
      </c>
      <c r="AG185" s="26">
        <v>0.991657734072797</v>
      </c>
      <c r="AH185" s="28">
        <v>0.92</v>
      </c>
      <c r="AI185" s="26">
        <v>0.943469341235468</v>
      </c>
      <c r="AJ185" s="26">
        <v>0.96896152204402697</v>
      </c>
      <c r="AK185" s="26">
        <v>0.96956617162923397</v>
      </c>
      <c r="AL185" s="26">
        <v>0.96255763287227003</v>
      </c>
      <c r="AM185" s="25">
        <v>0.99</v>
      </c>
      <c r="AN185" s="30">
        <v>1</v>
      </c>
      <c r="AO185" s="30">
        <v>1</v>
      </c>
      <c r="AP185" s="30">
        <v>1</v>
      </c>
      <c r="AQ185" s="30">
        <v>1</v>
      </c>
      <c r="AR185" s="32">
        <v>0.10526149898194399</v>
      </c>
      <c r="AS185" s="34">
        <v>0.105263157894737</v>
      </c>
      <c r="AT185" s="34">
        <v>0.12</v>
      </c>
      <c r="AU185" s="34">
        <v>5.4054054054054099E-2</v>
      </c>
      <c r="AV185" s="34">
        <v>8.7209302325581398E-2</v>
      </c>
      <c r="AW185" s="10"/>
      <c r="AX185" s="8"/>
    </row>
    <row r="186" spans="1:50">
      <c r="A186" s="7"/>
      <c r="B186" s="10"/>
      <c r="C186" s="45" t="s">
        <v>127</v>
      </c>
      <c r="D186" s="23" t="s">
        <v>11</v>
      </c>
      <c r="E186" s="46" t="s">
        <v>234</v>
      </c>
      <c r="F186" s="46" t="s">
        <v>234</v>
      </c>
      <c r="G186" s="46" t="s">
        <v>234</v>
      </c>
      <c r="H186" s="46" t="s">
        <v>234</v>
      </c>
      <c r="I186" s="25">
        <v>0.9</v>
      </c>
      <c r="J186" s="26">
        <v>0</v>
      </c>
      <c r="K186" s="26">
        <v>0</v>
      </c>
      <c r="L186" s="27">
        <v>0</v>
      </c>
      <c r="M186" s="26">
        <v>0.86274509803921595</v>
      </c>
      <c r="N186" s="28">
        <v>0.9</v>
      </c>
      <c r="O186" s="26">
        <v>0.63636363636363602</v>
      </c>
      <c r="P186" s="26">
        <v>0.58333333333333304</v>
      </c>
      <c r="Q186" s="26">
        <v>0.92248062015503896</v>
      </c>
      <c r="R186" s="26">
        <v>0.66992715920915702</v>
      </c>
      <c r="S186" s="28">
        <v>0.9</v>
      </c>
      <c r="T186" s="26">
        <v>0.70909090909090899</v>
      </c>
      <c r="U186" s="26">
        <v>0.41666666666666702</v>
      </c>
      <c r="V186" s="26">
        <v>0.51162790697674398</v>
      </c>
      <c r="W186" s="26">
        <v>0.84703433922996896</v>
      </c>
      <c r="X186" s="28">
        <v>0.92</v>
      </c>
      <c r="Y186" s="28">
        <v>0.89473684210526305</v>
      </c>
      <c r="Z186" s="28">
        <v>0.66666666666666696</v>
      </c>
      <c r="AA186" s="28">
        <v>0.837209302325581</v>
      </c>
      <c r="AB186" s="28">
        <v>0.96915167095115695</v>
      </c>
      <c r="AC186" s="28">
        <v>0.92</v>
      </c>
      <c r="AD186" s="26">
        <v>0.97837837837837804</v>
      </c>
      <c r="AE186" s="26">
        <v>0.97515527950310599</v>
      </c>
      <c r="AF186" s="26">
        <v>1</v>
      </c>
      <c r="AG186" s="26">
        <v>0.95809115937595601</v>
      </c>
      <c r="AH186" s="28">
        <v>0.92</v>
      </c>
      <c r="AI186" s="26">
        <v>0.75675675675675702</v>
      </c>
      <c r="AJ186" s="26">
        <v>0.88275862068965505</v>
      </c>
      <c r="AK186" s="26">
        <v>0.90173410404624299</v>
      </c>
      <c r="AL186" s="26">
        <v>0.97871781397793001</v>
      </c>
      <c r="AM186" s="25">
        <v>0.99</v>
      </c>
      <c r="AN186" s="30">
        <v>0</v>
      </c>
      <c r="AO186" s="30">
        <v>1</v>
      </c>
      <c r="AP186" s="30">
        <v>0</v>
      </c>
      <c r="AQ186" s="30">
        <v>1</v>
      </c>
      <c r="AR186" s="32">
        <v>0.10526149898194399</v>
      </c>
      <c r="AS186" s="34">
        <v>0</v>
      </c>
      <c r="AT186" s="34">
        <v>0</v>
      </c>
      <c r="AU186" s="34">
        <v>0</v>
      </c>
      <c r="AV186" s="34">
        <v>0.39130434782608697</v>
      </c>
      <c r="AW186" s="10"/>
      <c r="AX186" s="8"/>
    </row>
    <row r="187" spans="1:50">
      <c r="A187" s="7"/>
      <c r="B187" s="10"/>
      <c r="C187" s="45" t="s">
        <v>127</v>
      </c>
      <c r="D187" s="23" t="s">
        <v>11</v>
      </c>
      <c r="E187" s="46" t="s">
        <v>235</v>
      </c>
      <c r="F187" s="46" t="s">
        <v>235</v>
      </c>
      <c r="G187" s="46" t="s">
        <v>235</v>
      </c>
      <c r="H187" s="46" t="s">
        <v>235</v>
      </c>
      <c r="I187" s="25">
        <v>0.9</v>
      </c>
      <c r="J187" s="26">
        <v>0</v>
      </c>
      <c r="K187" s="26">
        <v>0</v>
      </c>
      <c r="L187" s="27">
        <v>0</v>
      </c>
      <c r="M187" s="26">
        <v>0</v>
      </c>
      <c r="N187" s="28">
        <v>0.9</v>
      </c>
      <c r="O187" s="26">
        <v>0</v>
      </c>
      <c r="P187" s="26">
        <v>0</v>
      </c>
      <c r="Q187" s="26">
        <v>0</v>
      </c>
      <c r="R187" s="26">
        <v>0</v>
      </c>
      <c r="S187" s="28">
        <v>0.9</v>
      </c>
      <c r="T187" s="26">
        <v>0</v>
      </c>
      <c r="U187" s="26">
        <v>0</v>
      </c>
      <c r="V187" s="26">
        <v>0</v>
      </c>
      <c r="W187" s="26">
        <v>0</v>
      </c>
      <c r="X187" s="28">
        <v>0.92</v>
      </c>
      <c r="Y187" s="28">
        <v>0</v>
      </c>
      <c r="Z187" s="28">
        <v>0</v>
      </c>
      <c r="AA187" s="28">
        <v>0</v>
      </c>
      <c r="AB187" s="28">
        <v>0</v>
      </c>
      <c r="AC187" s="28">
        <v>0.92</v>
      </c>
      <c r="AD187" s="26">
        <v>0</v>
      </c>
      <c r="AE187" s="26">
        <v>0</v>
      </c>
      <c r="AF187" s="26">
        <v>0</v>
      </c>
      <c r="AG187" s="26">
        <v>0</v>
      </c>
      <c r="AH187" s="28">
        <v>0.92</v>
      </c>
      <c r="AI187" s="26">
        <v>0</v>
      </c>
      <c r="AJ187" s="26">
        <v>0</v>
      </c>
      <c r="AK187" s="26">
        <v>0</v>
      </c>
      <c r="AL187" s="26">
        <v>0</v>
      </c>
      <c r="AM187" s="25">
        <v>0.99</v>
      </c>
      <c r="AN187" s="30">
        <v>0</v>
      </c>
      <c r="AO187" s="30">
        <v>0</v>
      </c>
      <c r="AP187" s="30">
        <v>0</v>
      </c>
      <c r="AQ187" s="30">
        <v>0</v>
      </c>
      <c r="AR187" s="32">
        <v>0.10526149898194399</v>
      </c>
      <c r="AS187" s="34">
        <v>0</v>
      </c>
      <c r="AT187" s="34">
        <v>0</v>
      </c>
      <c r="AU187" s="34">
        <v>0</v>
      </c>
      <c r="AV187" s="34">
        <v>0</v>
      </c>
      <c r="AW187" s="10"/>
      <c r="AX187" s="8"/>
    </row>
    <row r="188" spans="1:50">
      <c r="A188" s="7"/>
      <c r="B188" s="10"/>
      <c r="C188" s="47"/>
      <c r="D188" s="48"/>
      <c r="E188" s="48"/>
      <c r="F188" s="48"/>
      <c r="G188" s="48"/>
      <c r="H188" s="48"/>
      <c r="I188" s="39"/>
      <c r="J188" s="40"/>
      <c r="K188" s="40"/>
      <c r="L188" s="27"/>
      <c r="M188" s="40"/>
      <c r="N188" s="43"/>
      <c r="O188" s="40"/>
      <c r="P188" s="40"/>
      <c r="Q188" s="26"/>
      <c r="R188" s="40"/>
      <c r="S188" s="43"/>
      <c r="T188" s="40"/>
      <c r="U188" s="40"/>
      <c r="V188" s="26"/>
      <c r="W188" s="40"/>
      <c r="X188" s="43"/>
      <c r="Y188" s="43"/>
      <c r="Z188" s="43"/>
      <c r="AA188" s="28"/>
      <c r="AB188" s="43"/>
      <c r="AC188" s="43"/>
      <c r="AD188" s="40"/>
      <c r="AE188" s="40"/>
      <c r="AF188" s="26"/>
      <c r="AG188" s="40"/>
      <c r="AH188" s="43"/>
      <c r="AI188" s="40"/>
      <c r="AJ188" s="40"/>
      <c r="AK188" s="26"/>
      <c r="AL188" s="40"/>
      <c r="AM188" s="39"/>
      <c r="AN188" s="39"/>
      <c r="AO188" s="39"/>
      <c r="AP188" s="30"/>
      <c r="AQ188" s="39"/>
      <c r="AR188" s="40"/>
      <c r="AS188" s="39"/>
      <c r="AT188" s="39"/>
      <c r="AU188" s="34"/>
      <c r="AV188" s="39"/>
      <c r="AW188" s="10"/>
      <c r="AX188" s="8"/>
    </row>
    <row r="189" spans="1:50">
      <c r="A189" s="7"/>
      <c r="B189" s="10"/>
      <c r="C189" s="45" t="s">
        <v>236</v>
      </c>
      <c r="D189" s="23" t="s">
        <v>13</v>
      </c>
      <c r="E189" s="49" t="s">
        <v>12</v>
      </c>
      <c r="F189" s="49" t="s">
        <v>12</v>
      </c>
      <c r="G189" s="49" t="s">
        <v>12</v>
      </c>
      <c r="H189" s="49" t="s">
        <v>12</v>
      </c>
      <c r="I189" s="25">
        <v>0.9</v>
      </c>
      <c r="J189" s="26">
        <v>0</v>
      </c>
      <c r="K189" s="26">
        <v>0</v>
      </c>
      <c r="L189" s="27">
        <v>0</v>
      </c>
      <c r="M189" s="26">
        <v>0</v>
      </c>
      <c r="N189" s="28">
        <v>0.9</v>
      </c>
      <c r="O189" s="26">
        <v>0</v>
      </c>
      <c r="P189" s="26">
        <v>0</v>
      </c>
      <c r="Q189" s="26">
        <v>0</v>
      </c>
      <c r="R189" s="26">
        <v>0</v>
      </c>
      <c r="S189" s="28">
        <v>0.9</v>
      </c>
      <c r="T189" s="26">
        <v>0</v>
      </c>
      <c r="U189" s="26">
        <v>0</v>
      </c>
      <c r="V189" s="26">
        <v>0</v>
      </c>
      <c r="W189" s="26">
        <v>0</v>
      </c>
      <c r="X189" s="28">
        <v>0.92</v>
      </c>
      <c r="Y189" s="28">
        <v>1</v>
      </c>
      <c r="Z189" s="28">
        <v>0</v>
      </c>
      <c r="AA189" s="28">
        <v>0</v>
      </c>
      <c r="AB189" s="28">
        <v>1</v>
      </c>
      <c r="AC189" s="28">
        <v>0.92</v>
      </c>
      <c r="AD189" s="26">
        <v>0.99336870026525204</v>
      </c>
      <c r="AE189" s="26">
        <v>1</v>
      </c>
      <c r="AF189" s="26">
        <v>0.99917423616845602</v>
      </c>
      <c r="AG189" s="26">
        <v>0.99291115311909295</v>
      </c>
      <c r="AH189" s="28">
        <v>0.92</v>
      </c>
      <c r="AI189" s="26">
        <v>1</v>
      </c>
      <c r="AJ189" s="26">
        <v>0</v>
      </c>
      <c r="AK189" s="26">
        <v>0</v>
      </c>
      <c r="AL189" s="26">
        <v>1</v>
      </c>
      <c r="AM189" s="25">
        <v>0.99</v>
      </c>
      <c r="AN189" s="30">
        <v>1</v>
      </c>
      <c r="AO189" s="30">
        <v>1</v>
      </c>
      <c r="AP189" s="30">
        <v>1</v>
      </c>
      <c r="AQ189" s="30">
        <v>1</v>
      </c>
      <c r="AR189" s="50">
        <v>7.19793575775068E-2</v>
      </c>
      <c r="AS189" s="34">
        <v>0</v>
      </c>
      <c r="AT189" s="34">
        <v>0</v>
      </c>
      <c r="AU189" s="34">
        <v>0</v>
      </c>
      <c r="AV189" s="34">
        <v>0</v>
      </c>
      <c r="AW189" s="10"/>
      <c r="AX189" s="8"/>
    </row>
    <row r="190" spans="1:50">
      <c r="A190" s="7"/>
      <c r="B190" s="10"/>
      <c r="C190" s="45" t="s">
        <v>236</v>
      </c>
      <c r="D190" s="23" t="s">
        <v>13</v>
      </c>
      <c r="E190" s="49" t="s">
        <v>237</v>
      </c>
      <c r="F190" s="49" t="s">
        <v>237</v>
      </c>
      <c r="G190" s="49" t="s">
        <v>237</v>
      </c>
      <c r="H190" s="49" t="s">
        <v>237</v>
      </c>
      <c r="I190" s="25">
        <v>0.9</v>
      </c>
      <c r="J190" s="26">
        <v>0.94029850746268695</v>
      </c>
      <c r="K190" s="26">
        <v>0.939393939393939</v>
      </c>
      <c r="L190" s="27">
        <v>1</v>
      </c>
      <c r="M190" s="26">
        <v>0.97802197802197799</v>
      </c>
      <c r="N190" s="28">
        <v>0.9</v>
      </c>
      <c r="O190" s="26">
        <v>0.96230062832286101</v>
      </c>
      <c r="P190" s="26">
        <v>0.93248242693303696</v>
      </c>
      <c r="Q190" s="26">
        <v>0.96100443131462299</v>
      </c>
      <c r="R190" s="26">
        <v>0.95292662819455898</v>
      </c>
      <c r="S190" s="28">
        <v>0.9</v>
      </c>
      <c r="T190" s="26">
        <v>0.92484291928467899</v>
      </c>
      <c r="U190" s="26">
        <v>0.90862005179430305</v>
      </c>
      <c r="V190" s="26">
        <v>0.93500738552437201</v>
      </c>
      <c r="W190" s="26">
        <v>0.90201978565539997</v>
      </c>
      <c r="X190" s="28">
        <v>0.92</v>
      </c>
      <c r="Y190" s="28">
        <v>0.95335276967930005</v>
      </c>
      <c r="Z190" s="28">
        <v>0.95647193585337897</v>
      </c>
      <c r="AA190" s="28">
        <v>0.96350364963503699</v>
      </c>
      <c r="AB190" s="28">
        <v>0.94467391304347803</v>
      </c>
      <c r="AC190" s="28">
        <v>0.92</v>
      </c>
      <c r="AD190" s="26">
        <v>0.997047036490192</v>
      </c>
      <c r="AE190" s="26">
        <v>0.997624269005848</v>
      </c>
      <c r="AF190" s="26">
        <v>0.99386800064547398</v>
      </c>
      <c r="AG190" s="26">
        <v>0.99714949324324298</v>
      </c>
      <c r="AH190" s="28">
        <v>0.92</v>
      </c>
      <c r="AI190" s="26">
        <v>0.96802768166090003</v>
      </c>
      <c r="AJ190" s="26">
        <v>0.96830748482805096</v>
      </c>
      <c r="AK190" s="26">
        <v>0.97405660377358505</v>
      </c>
      <c r="AL190" s="26">
        <v>0.96191078920844797</v>
      </c>
      <c r="AM190" s="25">
        <v>0.99</v>
      </c>
      <c r="AN190" s="30">
        <v>1</v>
      </c>
      <c r="AO190" s="30">
        <v>1</v>
      </c>
      <c r="AP190" s="30">
        <v>1</v>
      </c>
      <c r="AQ190" s="30">
        <v>1</v>
      </c>
      <c r="AR190" s="50">
        <v>7.19793575775068E-2</v>
      </c>
      <c r="AS190" s="34">
        <v>4.4444444444444398E-2</v>
      </c>
      <c r="AT190" s="34">
        <v>0.15384615384615399</v>
      </c>
      <c r="AU190" s="34">
        <v>0.107142857142857</v>
      </c>
      <c r="AV190" s="34">
        <v>0.10902255639097699</v>
      </c>
      <c r="AW190" s="10"/>
      <c r="AX190" s="8"/>
    </row>
    <row r="191" spans="1:50">
      <c r="A191" s="7"/>
      <c r="B191" s="10"/>
      <c r="C191" s="45" t="s">
        <v>236</v>
      </c>
      <c r="D191" s="23" t="s">
        <v>13</v>
      </c>
      <c r="E191" s="49" t="s">
        <v>238</v>
      </c>
      <c r="F191" s="49" t="s">
        <v>238</v>
      </c>
      <c r="G191" s="49" t="s">
        <v>238</v>
      </c>
      <c r="H191" s="49" t="s">
        <v>238</v>
      </c>
      <c r="I191" s="25">
        <v>0.9</v>
      </c>
      <c r="J191" s="26">
        <v>0.97333333333333305</v>
      </c>
      <c r="K191" s="26">
        <v>1</v>
      </c>
      <c r="L191" s="27">
        <v>0.97297297297297303</v>
      </c>
      <c r="M191" s="26">
        <v>0.98842592592592604</v>
      </c>
      <c r="N191" s="28">
        <v>0.9</v>
      </c>
      <c r="O191" s="26">
        <v>0.94211287988422598</v>
      </c>
      <c r="P191" s="26">
        <v>0.95903257650542895</v>
      </c>
      <c r="Q191" s="26">
        <v>0.96059113300492605</v>
      </c>
      <c r="R191" s="26">
        <v>0.95556528401006902</v>
      </c>
      <c r="S191" s="28">
        <v>0.9</v>
      </c>
      <c r="T191" s="26">
        <v>0.919164771552615</v>
      </c>
      <c r="U191" s="26">
        <v>0.93682132280355401</v>
      </c>
      <c r="V191" s="26">
        <v>0.93158182813355195</v>
      </c>
      <c r="W191" s="26">
        <v>0.92871474955309896</v>
      </c>
      <c r="X191" s="28">
        <v>0.92</v>
      </c>
      <c r="Y191" s="28">
        <v>0.93678665496049196</v>
      </c>
      <c r="Z191" s="28">
        <v>0.97080291970802901</v>
      </c>
      <c r="AA191" s="28">
        <v>0.96271116604861995</v>
      </c>
      <c r="AB191" s="28">
        <v>0.95610162840886803</v>
      </c>
      <c r="AC191" s="28">
        <v>0.92</v>
      </c>
      <c r="AD191" s="26">
        <v>0.99801093983093003</v>
      </c>
      <c r="AE191" s="26">
        <v>0.99850820487319703</v>
      </c>
      <c r="AF191" s="26">
        <v>0.99849113542059598</v>
      </c>
      <c r="AG191" s="26">
        <v>0.99898614396755703</v>
      </c>
      <c r="AH191" s="28">
        <v>0.92</v>
      </c>
      <c r="AI191" s="26">
        <v>0.95723803755299797</v>
      </c>
      <c r="AJ191" s="26">
        <v>0.98107804029865997</v>
      </c>
      <c r="AK191" s="26">
        <v>0.97414806110458296</v>
      </c>
      <c r="AL191" s="26">
        <v>0.97205371710663901</v>
      </c>
      <c r="AM191" s="25">
        <v>0.99</v>
      </c>
      <c r="AN191" s="30">
        <v>1</v>
      </c>
      <c r="AO191" s="30">
        <v>1</v>
      </c>
      <c r="AP191" s="30">
        <v>1</v>
      </c>
      <c r="AQ191" s="30">
        <v>1</v>
      </c>
      <c r="AR191" s="50">
        <v>7.19793575775068E-2</v>
      </c>
      <c r="AS191" s="34">
        <v>1.5625E-2</v>
      </c>
      <c r="AT191" s="34">
        <v>3.0769230769230799E-2</v>
      </c>
      <c r="AU191" s="34">
        <v>6.25E-2</v>
      </c>
      <c r="AV191" s="34">
        <v>4.9868766404199502E-2</v>
      </c>
      <c r="AW191" s="10"/>
      <c r="AX191" s="8"/>
    </row>
    <row r="192" spans="1:50">
      <c r="A192" s="7"/>
      <c r="B192" s="10"/>
      <c r="C192" s="45" t="s">
        <v>236</v>
      </c>
      <c r="D192" s="23" t="s">
        <v>13</v>
      </c>
      <c r="E192" s="49" t="s">
        <v>239</v>
      </c>
      <c r="F192" s="49" t="s">
        <v>239</v>
      </c>
      <c r="G192" s="49" t="s">
        <v>239</v>
      </c>
      <c r="H192" s="49" t="s">
        <v>239</v>
      </c>
      <c r="I192" s="25">
        <v>0.9</v>
      </c>
      <c r="J192" s="26">
        <v>0</v>
      </c>
      <c r="K192" s="26">
        <v>0</v>
      </c>
      <c r="L192" s="27">
        <v>0</v>
      </c>
      <c r="M192" s="26">
        <v>0</v>
      </c>
      <c r="N192" s="28">
        <v>0.9</v>
      </c>
      <c r="O192" s="26">
        <v>0</v>
      </c>
      <c r="P192" s="26">
        <v>0</v>
      </c>
      <c r="Q192" s="26">
        <v>0</v>
      </c>
      <c r="R192" s="26">
        <v>0</v>
      </c>
      <c r="S192" s="28">
        <v>0.9</v>
      </c>
      <c r="T192" s="26">
        <v>0.875</v>
      </c>
      <c r="U192" s="26">
        <v>0.70967741935483897</v>
      </c>
      <c r="V192" s="26">
        <v>0.66666666666666696</v>
      </c>
      <c r="W192" s="26">
        <v>0.75342465753424703</v>
      </c>
      <c r="X192" s="28">
        <v>0.92</v>
      </c>
      <c r="Y192" s="28">
        <v>0.5</v>
      </c>
      <c r="Z192" s="28">
        <v>0.5</v>
      </c>
      <c r="AA192" s="28">
        <v>1</v>
      </c>
      <c r="AB192" s="28">
        <v>0.63157894736842102</v>
      </c>
      <c r="AC192" s="28">
        <v>0.92</v>
      </c>
      <c r="AD192" s="26">
        <v>0.99857637682296596</v>
      </c>
      <c r="AE192" s="26">
        <v>0.99477618943351398</v>
      </c>
      <c r="AF192" s="26">
        <v>0.99705268553436099</v>
      </c>
      <c r="AG192" s="26">
        <v>0.99283907842052699</v>
      </c>
      <c r="AH192" s="28">
        <v>0.92</v>
      </c>
      <c r="AI192" s="26">
        <v>0.86666666666666703</v>
      </c>
      <c r="AJ192" s="26">
        <v>0.83333333333333304</v>
      </c>
      <c r="AK192" s="26">
        <v>0.85714285714285698</v>
      </c>
      <c r="AL192" s="26">
        <v>0.83018867924528295</v>
      </c>
      <c r="AM192" s="25">
        <v>0.99</v>
      </c>
      <c r="AN192" s="30">
        <v>1</v>
      </c>
      <c r="AO192" s="30">
        <v>1</v>
      </c>
      <c r="AP192" s="30">
        <v>1</v>
      </c>
      <c r="AQ192" s="30">
        <v>1</v>
      </c>
      <c r="AR192" s="50">
        <v>7.19793575775068E-2</v>
      </c>
      <c r="AS192" s="34">
        <v>0</v>
      </c>
      <c r="AT192" s="34">
        <v>0</v>
      </c>
      <c r="AU192" s="34">
        <v>0</v>
      </c>
      <c r="AV192" s="34">
        <v>0</v>
      </c>
      <c r="AW192" s="10"/>
      <c r="AX192" s="8"/>
    </row>
    <row r="193" spans="1:50" s="1" customFormat="1">
      <c r="A193" s="7"/>
      <c r="C193" s="45" t="s">
        <v>236</v>
      </c>
      <c r="D193" s="23" t="s">
        <v>13</v>
      </c>
      <c r="E193" s="49" t="s">
        <v>240</v>
      </c>
      <c r="F193" s="49" t="s">
        <v>240</v>
      </c>
      <c r="G193" s="49" t="s">
        <v>240</v>
      </c>
      <c r="H193" s="49" t="s">
        <v>240</v>
      </c>
      <c r="I193" s="25">
        <v>0.9</v>
      </c>
      <c r="J193" s="26">
        <v>0.91269841269841301</v>
      </c>
      <c r="K193" s="26">
        <v>0.94656488549618301</v>
      </c>
      <c r="L193" s="27">
        <v>0.96581196581196604</v>
      </c>
      <c r="M193" s="26">
        <v>0.93786127167630096</v>
      </c>
      <c r="N193" s="28">
        <v>0.9</v>
      </c>
      <c r="O193" s="26">
        <v>0.99327546154786694</v>
      </c>
      <c r="P193" s="26">
        <v>0.98778871639530497</v>
      </c>
      <c r="Q193" s="26">
        <v>0.99249227145591001</v>
      </c>
      <c r="R193" s="26">
        <v>0.98916306500031903</v>
      </c>
      <c r="S193" s="28">
        <v>0.9</v>
      </c>
      <c r="T193" s="26">
        <v>0.94204670497615794</v>
      </c>
      <c r="U193" s="26">
        <v>0.92446043165467595</v>
      </c>
      <c r="V193" s="26">
        <v>0.94155748564699004</v>
      </c>
      <c r="W193" s="26">
        <v>0.92633439076837898</v>
      </c>
      <c r="X193" s="28">
        <v>0.92</v>
      </c>
      <c r="Y193" s="28">
        <v>0.95864156018829905</v>
      </c>
      <c r="Z193" s="28">
        <v>0.97099347353154497</v>
      </c>
      <c r="AA193" s="28">
        <v>0.963401149933658</v>
      </c>
      <c r="AB193" s="28">
        <v>0.96316608005238602</v>
      </c>
      <c r="AC193" s="28">
        <v>0.92</v>
      </c>
      <c r="AD193" s="26">
        <v>0.97480314960629899</v>
      </c>
      <c r="AE193" s="26">
        <v>0.80165097081734704</v>
      </c>
      <c r="AF193" s="26">
        <v>0.99470624870251201</v>
      </c>
      <c r="AG193" s="26">
        <v>0.959089985781028</v>
      </c>
      <c r="AH193" s="28">
        <v>0.92</v>
      </c>
      <c r="AI193" s="26">
        <v>0.97522474693848704</v>
      </c>
      <c r="AJ193" s="26">
        <v>0.98138602520045803</v>
      </c>
      <c r="AK193" s="26">
        <v>0.97556355370335301</v>
      </c>
      <c r="AL193" s="26">
        <v>0.97696971146372702</v>
      </c>
      <c r="AM193" s="25">
        <v>0.99</v>
      </c>
      <c r="AN193" s="30">
        <v>1</v>
      </c>
      <c r="AO193" s="30">
        <v>1</v>
      </c>
      <c r="AP193" s="30">
        <v>1</v>
      </c>
      <c r="AQ193" s="30">
        <v>1</v>
      </c>
      <c r="AR193" s="50">
        <v>7.19793575775068E-2</v>
      </c>
      <c r="AS193" s="34">
        <v>0.02</v>
      </c>
      <c r="AT193" s="34">
        <v>5.5555555555555601E-2</v>
      </c>
      <c r="AU193" s="34">
        <v>7.8947368421052599E-2</v>
      </c>
      <c r="AV193" s="34">
        <v>5.0724637681159403E-2</v>
      </c>
      <c r="AW193" s="4"/>
      <c r="AX193" s="8"/>
    </row>
    <row r="194" spans="1:50">
      <c r="A194" s="7"/>
      <c r="B194" s="10"/>
      <c r="C194" s="45" t="s">
        <v>236</v>
      </c>
      <c r="D194" s="23" t="s">
        <v>13</v>
      </c>
      <c r="E194" s="49" t="s">
        <v>241</v>
      </c>
      <c r="F194" s="49" t="s">
        <v>241</v>
      </c>
      <c r="G194" s="49" t="s">
        <v>241</v>
      </c>
      <c r="H194" s="49" t="s">
        <v>241</v>
      </c>
      <c r="I194" s="25">
        <v>0.9</v>
      </c>
      <c r="J194" s="26">
        <v>0.90476190476190499</v>
      </c>
      <c r="K194" s="26">
        <v>0.92682926829268297</v>
      </c>
      <c r="L194" s="27">
        <v>0.88311688311688297</v>
      </c>
      <c r="M194" s="26">
        <v>0.89508928571428603</v>
      </c>
      <c r="N194" s="28">
        <v>0.9</v>
      </c>
      <c r="O194" s="26">
        <v>0.95591296121097402</v>
      </c>
      <c r="P194" s="26">
        <v>0.90422215925191296</v>
      </c>
      <c r="Q194" s="26">
        <v>0.98230088495575196</v>
      </c>
      <c r="R194" s="26">
        <v>0.942456670168067</v>
      </c>
      <c r="S194" s="28">
        <v>0.9</v>
      </c>
      <c r="T194" s="26">
        <v>0.93699148533585597</v>
      </c>
      <c r="U194" s="26">
        <v>0.91173136865967697</v>
      </c>
      <c r="V194" s="26">
        <v>0.94642430040660097</v>
      </c>
      <c r="W194" s="26">
        <v>0.90408350840336105</v>
      </c>
      <c r="X194" s="28">
        <v>0.92</v>
      </c>
      <c r="Y194" s="28">
        <v>0.93148769574944101</v>
      </c>
      <c r="Z194" s="28">
        <v>0.94324899503428705</v>
      </c>
      <c r="AA194" s="28">
        <v>0.941567065073041</v>
      </c>
      <c r="AB194" s="28">
        <v>0.92374173868835796</v>
      </c>
      <c r="AC194" s="28">
        <v>0.92</v>
      </c>
      <c r="AD194" s="26">
        <v>0.98780487804878003</v>
      </c>
      <c r="AE194" s="26">
        <v>0.95798319327731096</v>
      </c>
      <c r="AF194" s="26">
        <v>0.98845598845598803</v>
      </c>
      <c r="AG194" s="26">
        <v>0.97829198473282397</v>
      </c>
      <c r="AH194" s="28">
        <v>0.92</v>
      </c>
      <c r="AI194" s="26">
        <v>0.95587405484708299</v>
      </c>
      <c r="AJ194" s="26">
        <v>0.96651311126860395</v>
      </c>
      <c r="AK194" s="26">
        <v>0.959796868387643</v>
      </c>
      <c r="AL194" s="26">
        <v>0.950119950100758</v>
      </c>
      <c r="AM194" s="25">
        <v>0.99</v>
      </c>
      <c r="AN194" s="30">
        <v>1</v>
      </c>
      <c r="AO194" s="30">
        <v>1</v>
      </c>
      <c r="AP194" s="30">
        <v>1</v>
      </c>
      <c r="AQ194" s="30">
        <v>1</v>
      </c>
      <c r="AR194" s="50">
        <v>7.19793575775068E-2</v>
      </c>
      <c r="AS194" s="34">
        <v>0.15</v>
      </c>
      <c r="AT194" s="34">
        <v>0</v>
      </c>
      <c r="AU194" s="34">
        <v>2.7027027027027001E-2</v>
      </c>
      <c r="AV194" s="34">
        <v>8.0838323353293398E-2</v>
      </c>
      <c r="AW194" s="10"/>
      <c r="AX194" s="8"/>
    </row>
    <row r="195" spans="1:50">
      <c r="A195" s="7"/>
      <c r="B195" s="10"/>
      <c r="C195" s="45" t="s">
        <v>236</v>
      </c>
      <c r="D195" s="23" t="s">
        <v>13</v>
      </c>
      <c r="E195" s="49" t="s">
        <v>242</v>
      </c>
      <c r="F195" s="49" t="s">
        <v>242</v>
      </c>
      <c r="G195" s="49" t="s">
        <v>242</v>
      </c>
      <c r="H195" s="49" t="s">
        <v>242</v>
      </c>
      <c r="I195" s="25">
        <v>0.9</v>
      </c>
      <c r="J195" s="26">
        <v>0.95121951219512202</v>
      </c>
      <c r="K195" s="26">
        <v>0.97727272727272696</v>
      </c>
      <c r="L195" s="27">
        <v>1</v>
      </c>
      <c r="M195" s="26">
        <v>0.92477876106194701</v>
      </c>
      <c r="N195" s="28">
        <v>0.9</v>
      </c>
      <c r="O195" s="26">
        <v>0.94757408010420097</v>
      </c>
      <c r="P195" s="26">
        <v>0.93427803567065704</v>
      </c>
      <c r="Q195" s="26">
        <v>0.96238852268321096</v>
      </c>
      <c r="R195" s="26">
        <v>0.94380118610562003</v>
      </c>
      <c r="S195" s="28">
        <v>0.9</v>
      </c>
      <c r="T195" s="26">
        <v>0.92478020188863597</v>
      </c>
      <c r="U195" s="26">
        <v>0.92939164427070597</v>
      </c>
      <c r="V195" s="26">
        <v>0.94649088794106195</v>
      </c>
      <c r="W195" s="26">
        <v>0.91550409488844997</v>
      </c>
      <c r="X195" s="28">
        <v>0.92</v>
      </c>
      <c r="Y195" s="28">
        <v>0.92842842842842799</v>
      </c>
      <c r="Z195" s="28">
        <v>0.94057193923145699</v>
      </c>
      <c r="AA195" s="28">
        <v>0.92950932964754696</v>
      </c>
      <c r="AB195" s="28">
        <v>0.93546760776405302</v>
      </c>
      <c r="AC195" s="28">
        <v>0.92</v>
      </c>
      <c r="AD195" s="26">
        <v>0.952380952380952</v>
      </c>
      <c r="AE195" s="26">
        <v>0.84909670563230599</v>
      </c>
      <c r="AF195" s="26">
        <v>0.88568588469184895</v>
      </c>
      <c r="AG195" s="26">
        <v>0.89308300395256901</v>
      </c>
      <c r="AH195" s="28">
        <v>0.92</v>
      </c>
      <c r="AI195" s="26">
        <v>0.94831327678042998</v>
      </c>
      <c r="AJ195" s="26">
        <v>0.97125710675931798</v>
      </c>
      <c r="AK195" s="26">
        <v>0.95468664352274801</v>
      </c>
      <c r="AL195" s="26">
        <v>0.96011213185625499</v>
      </c>
      <c r="AM195" s="25">
        <v>0.99</v>
      </c>
      <c r="AN195" s="30">
        <v>1</v>
      </c>
      <c r="AO195" s="30">
        <v>1</v>
      </c>
      <c r="AP195" s="30">
        <v>1</v>
      </c>
      <c r="AQ195" s="30">
        <v>1</v>
      </c>
      <c r="AR195" s="50">
        <v>7.19793575775068E-2</v>
      </c>
      <c r="AS195" s="34">
        <v>4.7619047619047603E-2</v>
      </c>
      <c r="AT195" s="34">
        <v>8.5714285714285701E-2</v>
      </c>
      <c r="AU195" s="34">
        <v>8.6956521739130405E-2</v>
      </c>
      <c r="AV195" s="34">
        <v>5.4054054054054099E-2</v>
      </c>
      <c r="AW195" s="10"/>
      <c r="AX195" s="8"/>
    </row>
    <row r="196" spans="1:50">
      <c r="A196" s="7"/>
      <c r="B196" s="10"/>
      <c r="C196" s="45" t="s">
        <v>236</v>
      </c>
      <c r="D196" s="23" t="s">
        <v>13</v>
      </c>
      <c r="E196" s="49" t="s">
        <v>243</v>
      </c>
      <c r="F196" s="49" t="s">
        <v>243</v>
      </c>
      <c r="G196" s="49" t="s">
        <v>243</v>
      </c>
      <c r="H196" s="49" t="s">
        <v>243</v>
      </c>
      <c r="I196" s="25">
        <v>0.9</v>
      </c>
      <c r="J196" s="26">
        <v>0</v>
      </c>
      <c r="K196" s="26">
        <v>0</v>
      </c>
      <c r="L196" s="27">
        <v>0</v>
      </c>
      <c r="M196" s="26">
        <v>0</v>
      </c>
      <c r="N196" s="28">
        <v>0.9</v>
      </c>
      <c r="O196" s="26">
        <v>0</v>
      </c>
      <c r="P196" s="26">
        <v>0</v>
      </c>
      <c r="Q196" s="26">
        <v>0</v>
      </c>
      <c r="R196" s="26">
        <v>0</v>
      </c>
      <c r="S196" s="28">
        <v>0.9</v>
      </c>
      <c r="T196" s="26">
        <v>0.94444444444444398</v>
      </c>
      <c r="U196" s="26">
        <v>1</v>
      </c>
      <c r="V196" s="26">
        <v>1</v>
      </c>
      <c r="W196" s="26">
        <v>0.98809523809523803</v>
      </c>
      <c r="X196" s="28">
        <v>0.92</v>
      </c>
      <c r="Y196" s="28">
        <v>1</v>
      </c>
      <c r="Z196" s="28">
        <v>1</v>
      </c>
      <c r="AA196" s="28">
        <v>1</v>
      </c>
      <c r="AB196" s="28">
        <v>1</v>
      </c>
      <c r="AC196" s="28">
        <v>0.92</v>
      </c>
      <c r="AD196" s="26">
        <v>0.99943590784990599</v>
      </c>
      <c r="AE196" s="26">
        <v>0.99823317652775001</v>
      </c>
      <c r="AF196" s="26">
        <v>0.99752817585263198</v>
      </c>
      <c r="AG196" s="26">
        <v>0.95394282213309201</v>
      </c>
      <c r="AH196" s="28">
        <v>0.92</v>
      </c>
      <c r="AI196" s="26">
        <v>0.81481481481481499</v>
      </c>
      <c r="AJ196" s="26">
        <v>1</v>
      </c>
      <c r="AK196" s="26">
        <v>1</v>
      </c>
      <c r="AL196" s="26">
        <v>0.965034965034965</v>
      </c>
      <c r="AM196" s="25">
        <v>0.99</v>
      </c>
      <c r="AN196" s="30">
        <v>1</v>
      </c>
      <c r="AO196" s="30">
        <v>1</v>
      </c>
      <c r="AP196" s="30">
        <v>1</v>
      </c>
      <c r="AQ196" s="30">
        <v>1</v>
      </c>
      <c r="AR196" s="50">
        <v>7.19793575775068E-2</v>
      </c>
      <c r="AS196" s="34">
        <v>0</v>
      </c>
      <c r="AT196" s="34">
        <v>0</v>
      </c>
      <c r="AU196" s="34">
        <v>0</v>
      </c>
      <c r="AV196" s="34">
        <v>0</v>
      </c>
      <c r="AW196" s="10"/>
      <c r="AX196" s="8"/>
    </row>
    <row r="197" spans="1:50">
      <c r="A197" s="7"/>
      <c r="B197" s="10"/>
      <c r="C197" s="45" t="s">
        <v>236</v>
      </c>
      <c r="D197" s="23" t="s">
        <v>13</v>
      </c>
      <c r="E197" s="49" t="s">
        <v>244</v>
      </c>
      <c r="F197" s="49" t="s">
        <v>244</v>
      </c>
      <c r="G197" s="49" t="s">
        <v>244</v>
      </c>
      <c r="H197" s="49" t="s">
        <v>244</v>
      </c>
      <c r="I197" s="25">
        <v>0.9</v>
      </c>
      <c r="J197" s="26">
        <v>0.91666666666666696</v>
      </c>
      <c r="K197" s="26">
        <v>0.95</v>
      </c>
      <c r="L197" s="27">
        <v>0.96052631578947401</v>
      </c>
      <c r="M197" s="26">
        <v>0.92938496583143504</v>
      </c>
      <c r="N197" s="28">
        <v>0.9</v>
      </c>
      <c r="O197" s="26">
        <v>0.96232876712328796</v>
      </c>
      <c r="P197" s="26">
        <v>0.85277330601492796</v>
      </c>
      <c r="Q197" s="26">
        <v>0.95464209780297704</v>
      </c>
      <c r="R197" s="26">
        <v>0.92013798489976595</v>
      </c>
      <c r="S197" s="28">
        <v>0.9</v>
      </c>
      <c r="T197" s="26">
        <v>0.91552511415525095</v>
      </c>
      <c r="U197" s="26">
        <v>0.90809307771110803</v>
      </c>
      <c r="V197" s="26">
        <v>0.92629340892983703</v>
      </c>
      <c r="W197" s="26">
        <v>0.89644623795886502</v>
      </c>
      <c r="X197" s="28">
        <v>0.92</v>
      </c>
      <c r="Y197" s="28">
        <v>0.93198338525441304</v>
      </c>
      <c r="Z197" s="28">
        <v>0.94266211604095596</v>
      </c>
      <c r="AA197" s="28">
        <v>0.93459646565859</v>
      </c>
      <c r="AB197" s="28">
        <v>0.92758102597123804</v>
      </c>
      <c r="AC197" s="28">
        <v>0.92</v>
      </c>
      <c r="AD197" s="26">
        <v>0.99555367351259805</v>
      </c>
      <c r="AE197" s="26">
        <v>0.97683982683982695</v>
      </c>
      <c r="AF197" s="26">
        <v>0.981242966112292</v>
      </c>
      <c r="AG197" s="26">
        <v>0.986784140969163</v>
      </c>
      <c r="AH197" s="28">
        <v>0.92</v>
      </c>
      <c r="AI197" s="26">
        <v>0.95455044461521599</v>
      </c>
      <c r="AJ197" s="26">
        <v>0.96090828138913598</v>
      </c>
      <c r="AK197" s="26">
        <v>0.949598847973668</v>
      </c>
      <c r="AL197" s="26">
        <v>0.95017675038403904</v>
      </c>
      <c r="AM197" s="25">
        <v>0.99</v>
      </c>
      <c r="AN197" s="30">
        <v>1</v>
      </c>
      <c r="AO197" s="30">
        <v>1</v>
      </c>
      <c r="AP197" s="30">
        <v>1</v>
      </c>
      <c r="AQ197" s="30">
        <v>1</v>
      </c>
      <c r="AR197" s="50">
        <v>7.19793575775068E-2</v>
      </c>
      <c r="AS197" s="34">
        <v>8.3333333333333301E-2</v>
      </c>
      <c r="AT197" s="34">
        <v>2.5641025641025599E-2</v>
      </c>
      <c r="AU197" s="34">
        <v>2.5641025641025599E-2</v>
      </c>
      <c r="AV197" s="34">
        <v>4.08163265306122E-2</v>
      </c>
      <c r="AW197" s="10"/>
      <c r="AX197" s="8"/>
    </row>
    <row r="198" spans="1:50" s="2" customFormat="1">
      <c r="A198" s="7"/>
      <c r="C198" s="45" t="s">
        <v>236</v>
      </c>
      <c r="D198" s="23" t="s">
        <v>13</v>
      </c>
      <c r="E198" s="49" t="s">
        <v>245</v>
      </c>
      <c r="F198" s="49" t="s">
        <v>245</v>
      </c>
      <c r="G198" s="49" t="s">
        <v>245</v>
      </c>
      <c r="H198" s="49" t="s">
        <v>245</v>
      </c>
      <c r="I198" s="25">
        <v>0.9</v>
      </c>
      <c r="J198" s="26">
        <v>0.93333333333333302</v>
      </c>
      <c r="K198" s="26">
        <v>0.952380952380952</v>
      </c>
      <c r="L198" s="27">
        <v>0.92682926829268297</v>
      </c>
      <c r="M198" s="26">
        <v>0.96120689655172398</v>
      </c>
      <c r="N198" s="28">
        <v>0.9</v>
      </c>
      <c r="O198" s="26">
        <v>0.97036181678213995</v>
      </c>
      <c r="P198" s="26">
        <v>0.95807365439093495</v>
      </c>
      <c r="Q198" s="26">
        <v>0.98809523809523803</v>
      </c>
      <c r="R198" s="26">
        <v>0.97164716471647194</v>
      </c>
      <c r="S198" s="28">
        <v>0.9</v>
      </c>
      <c r="T198" s="26">
        <v>0.91839876828329503</v>
      </c>
      <c r="U198" s="26">
        <v>0.893767705382436</v>
      </c>
      <c r="V198" s="26">
        <v>0.93904761904761902</v>
      </c>
      <c r="W198" s="26">
        <v>0.91005529124341</v>
      </c>
      <c r="X198" s="28">
        <v>0.92</v>
      </c>
      <c r="Y198" s="28">
        <v>0.90852713178294597</v>
      </c>
      <c r="Z198" s="28">
        <v>0.93262574988463298</v>
      </c>
      <c r="AA198" s="28">
        <v>0.94501718213058405</v>
      </c>
      <c r="AB198" s="28">
        <v>0.92364927707787303</v>
      </c>
      <c r="AC198" s="28">
        <v>0.92</v>
      </c>
      <c r="AD198" s="26">
        <v>0.95652173913043503</v>
      </c>
      <c r="AE198" s="26">
        <v>0.98039215686274495</v>
      </c>
      <c r="AF198" s="26">
        <v>0.79411764705882304</v>
      </c>
      <c r="AG198" s="26">
        <v>0.79464285714285698</v>
      </c>
      <c r="AH198" s="28">
        <v>0.92</v>
      </c>
      <c r="AI198" s="26">
        <v>0.93867196117361595</v>
      </c>
      <c r="AJ198" s="26">
        <v>0.95664384763910804</v>
      </c>
      <c r="AK198" s="26">
        <v>0.95828343313373299</v>
      </c>
      <c r="AL198" s="26">
        <v>0.94923487089587699</v>
      </c>
      <c r="AM198" s="25">
        <v>0.99</v>
      </c>
      <c r="AN198" s="30">
        <v>1</v>
      </c>
      <c r="AO198" s="30">
        <v>1</v>
      </c>
      <c r="AP198" s="30">
        <v>1</v>
      </c>
      <c r="AQ198" s="30">
        <v>1</v>
      </c>
      <c r="AR198" s="50">
        <v>7.19793575775068E-2</v>
      </c>
      <c r="AS198" s="34">
        <v>6.4516129032258104E-2</v>
      </c>
      <c r="AT198" s="34">
        <v>4.1666666666666699E-2</v>
      </c>
      <c r="AU198" s="34">
        <v>3.8461538461538498E-2</v>
      </c>
      <c r="AV198" s="34">
        <v>6.4864864864864896E-2</v>
      </c>
      <c r="AW198" s="4"/>
      <c r="AX198" s="8"/>
    </row>
    <row r="199" spans="1:50">
      <c r="A199" s="7"/>
      <c r="B199" s="10"/>
      <c r="C199" s="45" t="s">
        <v>236</v>
      </c>
      <c r="D199" s="23" t="s">
        <v>13</v>
      </c>
      <c r="E199" s="49" t="s">
        <v>246</v>
      </c>
      <c r="F199" s="49" t="s">
        <v>246</v>
      </c>
      <c r="G199" s="49" t="s">
        <v>246</v>
      </c>
      <c r="H199" s="49" t="s">
        <v>246</v>
      </c>
      <c r="I199" s="25">
        <v>0.9</v>
      </c>
      <c r="J199" s="26">
        <v>0.93902439024390205</v>
      </c>
      <c r="K199" s="26">
        <v>0.95061728395061695</v>
      </c>
      <c r="L199" s="27">
        <v>1</v>
      </c>
      <c r="M199" s="26">
        <v>0.96162528216704302</v>
      </c>
      <c r="N199" s="28">
        <v>0.9</v>
      </c>
      <c r="O199" s="26">
        <v>0.96845170684355297</v>
      </c>
      <c r="P199" s="26">
        <v>0.96199756394640701</v>
      </c>
      <c r="Q199" s="26">
        <v>0.96954833435520105</v>
      </c>
      <c r="R199" s="26">
        <v>0.95782088320264103</v>
      </c>
      <c r="S199" s="28">
        <v>0.9</v>
      </c>
      <c r="T199" s="26">
        <v>0.94046270829962797</v>
      </c>
      <c r="U199" s="26">
        <v>0.91961023142509102</v>
      </c>
      <c r="V199" s="26">
        <v>0.93950541590026604</v>
      </c>
      <c r="W199" s="26">
        <v>0.90972623469528102</v>
      </c>
      <c r="X199" s="28">
        <v>0.92</v>
      </c>
      <c r="Y199" s="28">
        <v>0.95153985507246397</v>
      </c>
      <c r="Z199" s="28">
        <v>0.96478312773577402</v>
      </c>
      <c r="AA199" s="28">
        <v>0.95226324733508405</v>
      </c>
      <c r="AB199" s="28">
        <v>0.94730247641509402</v>
      </c>
      <c r="AC199" s="28">
        <v>0.92</v>
      </c>
      <c r="AD199" s="26">
        <v>0.99379567075692798</v>
      </c>
      <c r="AE199" s="26">
        <v>0.99739623219482298</v>
      </c>
      <c r="AF199" s="26">
        <v>0.98723157283807295</v>
      </c>
      <c r="AG199" s="26">
        <v>0.98672260612043405</v>
      </c>
      <c r="AH199" s="28">
        <v>0.92</v>
      </c>
      <c r="AI199" s="26">
        <v>0.97103227023966798</v>
      </c>
      <c r="AJ199" s="26">
        <v>0.97937599153886801</v>
      </c>
      <c r="AK199" s="26">
        <v>0.96516231195566105</v>
      </c>
      <c r="AL199" s="26">
        <v>0.96605818147454003</v>
      </c>
      <c r="AM199" s="25">
        <v>0.99</v>
      </c>
      <c r="AN199" s="30">
        <v>1</v>
      </c>
      <c r="AO199" s="30">
        <v>1</v>
      </c>
      <c r="AP199" s="30">
        <v>1</v>
      </c>
      <c r="AQ199" s="30">
        <v>1</v>
      </c>
      <c r="AR199" s="50">
        <v>7.19793575775068E-2</v>
      </c>
      <c r="AS199" s="34">
        <v>6.25E-2</v>
      </c>
      <c r="AT199" s="34">
        <v>3.8461538461538498E-2</v>
      </c>
      <c r="AU199" s="34">
        <v>7.4074074074074098E-2</v>
      </c>
      <c r="AV199" s="34">
        <v>4.40251572327044E-2</v>
      </c>
      <c r="AW199" s="10"/>
      <c r="AX199" s="8"/>
    </row>
    <row r="200" spans="1:50">
      <c r="A200" s="7"/>
      <c r="B200" s="10"/>
      <c r="C200" s="45" t="s">
        <v>236</v>
      </c>
      <c r="D200" s="23" t="s">
        <v>13</v>
      </c>
      <c r="E200" s="49" t="s">
        <v>247</v>
      </c>
      <c r="F200" s="49" t="s">
        <v>247</v>
      </c>
      <c r="G200" s="49" t="s">
        <v>247</v>
      </c>
      <c r="H200" s="49" t="s">
        <v>247</v>
      </c>
      <c r="I200" s="25">
        <v>0.9</v>
      </c>
      <c r="J200" s="26">
        <v>0.96039603960396003</v>
      </c>
      <c r="K200" s="26">
        <v>0.96703296703296704</v>
      </c>
      <c r="L200" s="27">
        <v>0.96470588235294097</v>
      </c>
      <c r="M200" s="26">
        <v>0.966480446927374</v>
      </c>
      <c r="N200" s="28">
        <v>0.9</v>
      </c>
      <c r="O200" s="26">
        <v>0.97551859465520496</v>
      </c>
      <c r="P200" s="26">
        <v>0.98452862926547102</v>
      </c>
      <c r="Q200" s="26">
        <v>0.98559479553903395</v>
      </c>
      <c r="R200" s="26">
        <v>0.98325820991629098</v>
      </c>
      <c r="S200" s="28">
        <v>0.9</v>
      </c>
      <c r="T200" s="26">
        <v>0.95271911792188402</v>
      </c>
      <c r="U200" s="26">
        <v>0.96023713128976296</v>
      </c>
      <c r="V200" s="26">
        <v>0.96514869888475796</v>
      </c>
      <c r="W200" s="26">
        <v>0.96435930457179697</v>
      </c>
      <c r="X200" s="28">
        <v>0.92</v>
      </c>
      <c r="Y200" s="28">
        <v>0.96355466799800304</v>
      </c>
      <c r="Z200" s="28">
        <v>0.97023295944779997</v>
      </c>
      <c r="AA200" s="28">
        <v>0.97590978985135801</v>
      </c>
      <c r="AB200" s="28">
        <v>0.96959338606462897</v>
      </c>
      <c r="AC200" s="28">
        <v>0.92</v>
      </c>
      <c r="AD200" s="26">
        <v>0.996194597821221</v>
      </c>
      <c r="AE200" s="26">
        <v>0.98723213619054695</v>
      </c>
      <c r="AF200" s="26">
        <v>0.99508241015941601</v>
      </c>
      <c r="AG200" s="26">
        <v>0.99374068885775901</v>
      </c>
      <c r="AH200" s="28">
        <v>0.92</v>
      </c>
      <c r="AI200" s="26">
        <v>0.972002564650566</v>
      </c>
      <c r="AJ200" s="26">
        <v>0.98156801661474602</v>
      </c>
      <c r="AK200" s="26">
        <v>0.98326442213034104</v>
      </c>
      <c r="AL200" s="26">
        <v>0.98061395084124803</v>
      </c>
      <c r="AM200" s="25">
        <v>0.99</v>
      </c>
      <c r="AN200" s="30">
        <v>1</v>
      </c>
      <c r="AO200" s="30">
        <v>1</v>
      </c>
      <c r="AP200" s="30">
        <v>1</v>
      </c>
      <c r="AQ200" s="30">
        <v>1</v>
      </c>
      <c r="AR200" s="50">
        <v>7.19793575775068E-2</v>
      </c>
      <c r="AS200" s="34">
        <v>5.1282051282051301E-2</v>
      </c>
      <c r="AT200" s="34">
        <v>4.6875E-2</v>
      </c>
      <c r="AU200" s="34">
        <v>2.1276595744680899E-2</v>
      </c>
      <c r="AV200" s="34">
        <v>5.3003533568904602E-2</v>
      </c>
      <c r="AW200" s="10"/>
      <c r="AX200" s="8"/>
    </row>
    <row r="201" spans="1:50">
      <c r="A201" s="7"/>
      <c r="B201" s="10"/>
      <c r="C201" s="45" t="s">
        <v>236</v>
      </c>
      <c r="D201" s="23" t="s">
        <v>13</v>
      </c>
      <c r="E201" s="49" t="s">
        <v>248</v>
      </c>
      <c r="F201" s="49" t="s">
        <v>248</v>
      </c>
      <c r="G201" s="49" t="s">
        <v>248</v>
      </c>
      <c r="H201" s="49" t="s">
        <v>248</v>
      </c>
      <c r="I201" s="25">
        <v>0.9</v>
      </c>
      <c r="J201" s="26">
        <v>0</v>
      </c>
      <c r="K201" s="26">
        <v>0</v>
      </c>
      <c r="L201" s="27">
        <v>0</v>
      </c>
      <c r="M201" s="26">
        <v>0</v>
      </c>
      <c r="N201" s="28">
        <v>0.9</v>
      </c>
      <c r="O201" s="26">
        <v>0</v>
      </c>
      <c r="P201" s="26">
        <v>0</v>
      </c>
      <c r="Q201" s="26">
        <v>0</v>
      </c>
      <c r="R201" s="26">
        <v>0</v>
      </c>
      <c r="S201" s="28">
        <v>0.9</v>
      </c>
      <c r="T201" s="26">
        <v>0</v>
      </c>
      <c r="U201" s="26">
        <v>0</v>
      </c>
      <c r="V201" s="26">
        <v>0</v>
      </c>
      <c r="W201" s="26">
        <v>0</v>
      </c>
      <c r="X201" s="28">
        <v>0.92</v>
      </c>
      <c r="Y201" s="28">
        <v>0</v>
      </c>
      <c r="Z201" s="28">
        <v>0</v>
      </c>
      <c r="AA201" s="28">
        <v>0</v>
      </c>
      <c r="AB201" s="28">
        <v>0</v>
      </c>
      <c r="AC201" s="28">
        <v>0.92</v>
      </c>
      <c r="AD201" s="26">
        <v>1</v>
      </c>
      <c r="AE201" s="26">
        <v>1</v>
      </c>
      <c r="AF201" s="26">
        <v>0.99527186761229303</v>
      </c>
      <c r="AG201" s="26">
        <v>0.99883313885647595</v>
      </c>
      <c r="AH201" s="28">
        <v>0.92</v>
      </c>
      <c r="AI201" s="26">
        <v>0</v>
      </c>
      <c r="AJ201" s="26">
        <v>0</v>
      </c>
      <c r="AK201" s="26">
        <v>0</v>
      </c>
      <c r="AL201" s="26">
        <v>0</v>
      </c>
      <c r="AM201" s="25">
        <v>0.99</v>
      </c>
      <c r="AN201" s="30">
        <v>1</v>
      </c>
      <c r="AO201" s="30">
        <v>1</v>
      </c>
      <c r="AP201" s="30">
        <v>1</v>
      </c>
      <c r="AQ201" s="30">
        <v>1</v>
      </c>
      <c r="AR201" s="50">
        <v>7.19793575775068E-2</v>
      </c>
      <c r="AS201" s="34">
        <v>0</v>
      </c>
      <c r="AT201" s="34">
        <v>0</v>
      </c>
      <c r="AU201" s="34">
        <v>0</v>
      </c>
      <c r="AV201" s="34">
        <v>0</v>
      </c>
      <c r="AW201" s="10"/>
      <c r="AX201" s="8"/>
    </row>
    <row r="202" spans="1:50">
      <c r="A202" s="7"/>
      <c r="B202" s="10"/>
      <c r="C202" s="45" t="s">
        <v>236</v>
      </c>
      <c r="D202" s="23" t="s">
        <v>13</v>
      </c>
      <c r="E202" s="49" t="s">
        <v>249</v>
      </c>
      <c r="F202" s="49" t="s">
        <v>249</v>
      </c>
      <c r="G202" s="49" t="s">
        <v>249</v>
      </c>
      <c r="H202" s="49" t="s">
        <v>249</v>
      </c>
      <c r="I202" s="25">
        <v>0.9</v>
      </c>
      <c r="J202" s="26">
        <v>0.97037037037036999</v>
      </c>
      <c r="K202" s="26">
        <v>0.99280575539568305</v>
      </c>
      <c r="L202" s="27">
        <v>0.98496240601503804</v>
      </c>
      <c r="M202" s="26">
        <v>0.98282694848084495</v>
      </c>
      <c r="N202" s="28">
        <v>0.9</v>
      </c>
      <c r="O202" s="26">
        <v>0.95441256090958304</v>
      </c>
      <c r="P202" s="26">
        <v>0.93701713134027498</v>
      </c>
      <c r="Q202" s="26">
        <v>0.97049833887043202</v>
      </c>
      <c r="R202" s="26">
        <v>0.95098293768546005</v>
      </c>
      <c r="S202" s="28">
        <v>0.9</v>
      </c>
      <c r="T202" s="26">
        <v>0.84991878722252301</v>
      </c>
      <c r="U202" s="26">
        <v>0.83212966073228101</v>
      </c>
      <c r="V202" s="26">
        <v>0.86564784053156096</v>
      </c>
      <c r="W202" s="26">
        <v>0.84375</v>
      </c>
      <c r="X202" s="28">
        <v>0.92</v>
      </c>
      <c r="Y202" s="28">
        <v>0.92976104272266502</v>
      </c>
      <c r="Z202" s="28">
        <v>0.93644786637087296</v>
      </c>
      <c r="AA202" s="28">
        <v>0.92819043856183303</v>
      </c>
      <c r="AB202" s="28">
        <v>0.92729245794899595</v>
      </c>
      <c r="AC202" s="28">
        <v>0.92</v>
      </c>
      <c r="AD202" s="26">
        <v>0.99524225652975995</v>
      </c>
      <c r="AE202" s="26">
        <v>0.99347546406910503</v>
      </c>
      <c r="AF202" s="26">
        <v>0.99274036115178099</v>
      </c>
      <c r="AG202" s="26">
        <v>0.99159117506826799</v>
      </c>
      <c r="AH202" s="28">
        <v>0.92</v>
      </c>
      <c r="AI202" s="26">
        <v>0.94728691774033702</v>
      </c>
      <c r="AJ202" s="26">
        <v>0.95621743128640002</v>
      </c>
      <c r="AK202" s="26">
        <v>0.94691518894113602</v>
      </c>
      <c r="AL202" s="26">
        <v>0.94861627255174696</v>
      </c>
      <c r="AM202" s="25">
        <v>0.99</v>
      </c>
      <c r="AN202" s="30">
        <v>1</v>
      </c>
      <c r="AO202" s="30">
        <v>1</v>
      </c>
      <c r="AP202" s="30">
        <v>1</v>
      </c>
      <c r="AQ202" s="30">
        <v>1</v>
      </c>
      <c r="AR202" s="50">
        <v>7.19793575775068E-2</v>
      </c>
      <c r="AS202" s="34">
        <v>0</v>
      </c>
      <c r="AT202" s="34">
        <v>9.4339622641509399E-2</v>
      </c>
      <c r="AU202" s="34">
        <v>-1.5625E-2</v>
      </c>
      <c r="AV202" s="34">
        <v>3.1746031746031703E-2</v>
      </c>
      <c r="AW202" s="10"/>
      <c r="AX202" s="8"/>
    </row>
    <row r="203" spans="1:50">
      <c r="A203" s="7"/>
      <c r="B203" s="10"/>
      <c r="C203" s="45" t="s">
        <v>236</v>
      </c>
      <c r="D203" s="23" t="s">
        <v>13</v>
      </c>
      <c r="E203" s="49" t="s">
        <v>250</v>
      </c>
      <c r="F203" s="49" t="s">
        <v>250</v>
      </c>
      <c r="G203" s="49" t="s">
        <v>250</v>
      </c>
      <c r="H203" s="49" t="s">
        <v>250</v>
      </c>
      <c r="I203" s="25">
        <v>0.9</v>
      </c>
      <c r="J203" s="26">
        <v>0</v>
      </c>
      <c r="K203" s="26">
        <v>0</v>
      </c>
      <c r="L203" s="27">
        <v>0</v>
      </c>
      <c r="M203" s="26">
        <v>0</v>
      </c>
      <c r="N203" s="28">
        <v>0.9</v>
      </c>
      <c r="O203" s="26">
        <v>0</v>
      </c>
      <c r="P203" s="26">
        <v>0</v>
      </c>
      <c r="Q203" s="26">
        <v>0</v>
      </c>
      <c r="R203" s="26">
        <v>0</v>
      </c>
      <c r="S203" s="28">
        <v>0.9</v>
      </c>
      <c r="T203" s="26">
        <v>0.875</v>
      </c>
      <c r="U203" s="26">
        <v>0</v>
      </c>
      <c r="V203" s="26">
        <v>0</v>
      </c>
      <c r="W203" s="26">
        <v>0.7</v>
      </c>
      <c r="X203" s="28">
        <v>0.92</v>
      </c>
      <c r="Y203" s="28">
        <v>0</v>
      </c>
      <c r="Z203" s="28">
        <v>0</v>
      </c>
      <c r="AA203" s="28">
        <v>0</v>
      </c>
      <c r="AB203" s="28">
        <v>0</v>
      </c>
      <c r="AC203" s="28">
        <v>0.92</v>
      </c>
      <c r="AD203" s="26">
        <v>0.99981122102242703</v>
      </c>
      <c r="AE203" s="26">
        <v>0.99949640287769803</v>
      </c>
      <c r="AF203" s="26">
        <v>0.99980419032700196</v>
      </c>
      <c r="AG203" s="26">
        <v>0.99960768249975496</v>
      </c>
      <c r="AH203" s="28">
        <v>0.92</v>
      </c>
      <c r="AI203" s="26">
        <v>0.8</v>
      </c>
      <c r="AJ203" s="26">
        <v>0</v>
      </c>
      <c r="AK203" s="26">
        <v>0</v>
      </c>
      <c r="AL203" s="26">
        <v>0.61538461538461497</v>
      </c>
      <c r="AM203" s="25">
        <v>0.99</v>
      </c>
      <c r="AN203" s="30">
        <v>1</v>
      </c>
      <c r="AO203" s="30">
        <v>1</v>
      </c>
      <c r="AP203" s="30">
        <v>1</v>
      </c>
      <c r="AQ203" s="30">
        <v>1</v>
      </c>
      <c r="AR203" s="50">
        <v>7.19793575775068E-2</v>
      </c>
      <c r="AS203" s="34">
        <v>0</v>
      </c>
      <c r="AT203" s="34">
        <v>0</v>
      </c>
      <c r="AU203" s="34">
        <v>0</v>
      </c>
      <c r="AV203" s="34">
        <v>0</v>
      </c>
      <c r="AW203" s="10"/>
      <c r="AX203" s="8"/>
    </row>
    <row r="204" spans="1:50">
      <c r="A204" s="7"/>
      <c r="B204" s="10"/>
      <c r="C204" s="45" t="s">
        <v>236</v>
      </c>
      <c r="D204" s="23" t="s">
        <v>13</v>
      </c>
      <c r="E204" s="49" t="s">
        <v>251</v>
      </c>
      <c r="F204" s="49" t="s">
        <v>251</v>
      </c>
      <c r="G204" s="49" t="s">
        <v>251</v>
      </c>
      <c r="H204" s="49" t="s">
        <v>251</v>
      </c>
      <c r="I204" s="25">
        <v>0.9</v>
      </c>
      <c r="J204" s="26">
        <v>0.924050632911392</v>
      </c>
      <c r="K204" s="26">
        <v>0.92771084337349397</v>
      </c>
      <c r="L204" s="27">
        <v>0.93333333333333302</v>
      </c>
      <c r="M204" s="26">
        <v>0.92677345537757405</v>
      </c>
      <c r="N204" s="28">
        <v>0.9</v>
      </c>
      <c r="O204" s="26">
        <v>0.94367650092840905</v>
      </c>
      <c r="P204" s="26">
        <v>0.946186912911957</v>
      </c>
      <c r="Q204" s="26">
        <v>0.95323830957739397</v>
      </c>
      <c r="R204" s="26">
        <v>0.94882108183079095</v>
      </c>
      <c r="S204" s="28">
        <v>0.9</v>
      </c>
      <c r="T204" s="26">
        <v>0.91458634206725797</v>
      </c>
      <c r="U204" s="26">
        <v>0.89730934564559806</v>
      </c>
      <c r="V204" s="26">
        <v>0.92373093273318296</v>
      </c>
      <c r="W204" s="26">
        <v>0.91116504854368896</v>
      </c>
      <c r="X204" s="28">
        <v>0.92</v>
      </c>
      <c r="Y204" s="28">
        <v>0.94846461949265704</v>
      </c>
      <c r="Z204" s="28">
        <v>0.95744169271459501</v>
      </c>
      <c r="AA204" s="28">
        <v>0.95287958115183202</v>
      </c>
      <c r="AB204" s="28">
        <v>0.94825469215927005</v>
      </c>
      <c r="AC204" s="28">
        <v>0.92</v>
      </c>
      <c r="AD204" s="26">
        <v>0.99765130984643202</v>
      </c>
      <c r="AE204" s="26">
        <v>0.99168231821840602</v>
      </c>
      <c r="AF204" s="26">
        <v>0.99833472106577803</v>
      </c>
      <c r="AG204" s="26">
        <v>0.99689384722905305</v>
      </c>
      <c r="AH204" s="28">
        <v>0.92</v>
      </c>
      <c r="AI204" s="26">
        <v>0.96637579988365296</v>
      </c>
      <c r="AJ204" s="26">
        <v>0.97280214518291497</v>
      </c>
      <c r="AK204" s="26">
        <v>0.96587140258906601</v>
      </c>
      <c r="AL204" s="26">
        <v>0.967358475954464</v>
      </c>
      <c r="AM204" s="25">
        <v>0.99</v>
      </c>
      <c r="AN204" s="30">
        <v>1</v>
      </c>
      <c r="AO204" s="30">
        <v>1</v>
      </c>
      <c r="AP204" s="30">
        <v>1</v>
      </c>
      <c r="AQ204" s="30">
        <v>1</v>
      </c>
      <c r="AR204" s="50">
        <v>7.19793575775068E-2</v>
      </c>
      <c r="AS204" s="34">
        <v>0.125</v>
      </c>
      <c r="AT204" s="34">
        <v>8.3333333333333301E-2</v>
      </c>
      <c r="AU204" s="34">
        <v>0.14285714285714299</v>
      </c>
      <c r="AV204" s="34">
        <v>8.2706766917293201E-2</v>
      </c>
      <c r="AW204" s="10"/>
      <c r="AX204" s="8"/>
    </row>
    <row r="205" spans="1:50">
      <c r="A205" s="7"/>
      <c r="B205" s="10"/>
      <c r="C205" s="45" t="s">
        <v>236</v>
      </c>
      <c r="D205" s="23" t="s">
        <v>13</v>
      </c>
      <c r="E205" s="49" t="s">
        <v>252</v>
      </c>
      <c r="F205" s="49" t="s">
        <v>252</v>
      </c>
      <c r="G205" s="49" t="s">
        <v>252</v>
      </c>
      <c r="H205" s="49" t="s">
        <v>252</v>
      </c>
      <c r="I205" s="25">
        <v>0.9</v>
      </c>
      <c r="J205" s="26">
        <v>0</v>
      </c>
      <c r="K205" s="26">
        <v>0</v>
      </c>
      <c r="L205" s="27">
        <v>0</v>
      </c>
      <c r="M205" s="26">
        <v>0</v>
      </c>
      <c r="N205" s="28">
        <v>0.9</v>
      </c>
      <c r="O205" s="26">
        <v>0</v>
      </c>
      <c r="P205" s="26">
        <v>0</v>
      </c>
      <c r="Q205" s="26">
        <v>0</v>
      </c>
      <c r="R205" s="26">
        <v>0</v>
      </c>
      <c r="S205" s="28">
        <v>0.9</v>
      </c>
      <c r="T205" s="26">
        <v>0.66666666666666696</v>
      </c>
      <c r="U205" s="26">
        <v>0.66666666666666696</v>
      </c>
      <c r="V205" s="26">
        <v>1</v>
      </c>
      <c r="W205" s="26">
        <v>0.94736842105263197</v>
      </c>
      <c r="X205" s="28">
        <v>0.92</v>
      </c>
      <c r="Y205" s="28">
        <v>1</v>
      </c>
      <c r="Z205" s="28">
        <v>0</v>
      </c>
      <c r="AA205" s="28">
        <v>0</v>
      </c>
      <c r="AB205" s="28">
        <v>0.55555555555555602</v>
      </c>
      <c r="AC205" s="28">
        <v>0.92</v>
      </c>
      <c r="AD205" s="26">
        <v>0.99143795992039596</v>
      </c>
      <c r="AE205" s="26">
        <v>0.98998019340556898</v>
      </c>
      <c r="AF205" s="26">
        <v>0.99442537242921503</v>
      </c>
      <c r="AG205" s="26">
        <v>0.978399173397971</v>
      </c>
      <c r="AH205" s="28">
        <v>0.92</v>
      </c>
      <c r="AI205" s="26">
        <v>0.8</v>
      </c>
      <c r="AJ205" s="26">
        <v>0.5</v>
      </c>
      <c r="AK205" s="26">
        <v>1</v>
      </c>
      <c r="AL205" s="26">
        <v>0.92207792207792205</v>
      </c>
      <c r="AM205" s="25">
        <v>0.99</v>
      </c>
      <c r="AN205" s="30">
        <v>1</v>
      </c>
      <c r="AO205" s="30">
        <v>1</v>
      </c>
      <c r="AP205" s="30">
        <v>1</v>
      </c>
      <c r="AQ205" s="30">
        <v>1</v>
      </c>
      <c r="AR205" s="50">
        <v>7.19793575775068E-2</v>
      </c>
      <c r="AS205" s="34">
        <v>0</v>
      </c>
      <c r="AT205" s="34">
        <v>0</v>
      </c>
      <c r="AU205" s="34">
        <v>0</v>
      </c>
      <c r="AV205" s="34">
        <v>0</v>
      </c>
      <c r="AW205" s="10"/>
      <c r="AX205" s="8"/>
    </row>
    <row r="206" spans="1:50">
      <c r="A206" s="7"/>
      <c r="B206" s="10"/>
      <c r="C206" s="45" t="s">
        <v>236</v>
      </c>
      <c r="D206" s="23" t="s">
        <v>13</v>
      </c>
      <c r="E206" s="49" t="s">
        <v>253</v>
      </c>
      <c r="F206" s="49" t="s">
        <v>253</v>
      </c>
      <c r="G206" s="49" t="s">
        <v>253</v>
      </c>
      <c r="H206" s="49" t="s">
        <v>253</v>
      </c>
      <c r="I206" s="25">
        <v>0.9</v>
      </c>
      <c r="J206" s="26">
        <v>0.94545454545454499</v>
      </c>
      <c r="K206" s="26">
        <v>0.931034482758621</v>
      </c>
      <c r="L206" s="27">
        <v>0.87037037037037002</v>
      </c>
      <c r="M206" s="26">
        <v>0.91874999999999996</v>
      </c>
      <c r="N206" s="28">
        <v>0.9</v>
      </c>
      <c r="O206" s="26">
        <v>0.992657057383737</v>
      </c>
      <c r="P206" s="26">
        <v>0.98755186721991695</v>
      </c>
      <c r="Q206" s="26">
        <v>0.98723697826836798</v>
      </c>
      <c r="R206" s="26">
        <v>0.99021177331564703</v>
      </c>
      <c r="S206" s="28">
        <v>0.9</v>
      </c>
      <c r="T206" s="26">
        <v>0.90807723687788999</v>
      </c>
      <c r="U206" s="26">
        <v>0.88796680497925295</v>
      </c>
      <c r="V206" s="26">
        <v>0.91548809934460196</v>
      </c>
      <c r="W206" s="26">
        <v>0.91021360289072895</v>
      </c>
      <c r="X206" s="28">
        <v>0.92</v>
      </c>
      <c r="Y206" s="28">
        <v>0.94062823610631696</v>
      </c>
      <c r="Z206" s="28">
        <v>0.95321272613848995</v>
      </c>
      <c r="AA206" s="28">
        <v>0.95124823363165301</v>
      </c>
      <c r="AB206" s="28">
        <v>0.94901408450704205</v>
      </c>
      <c r="AC206" s="28">
        <v>0.92</v>
      </c>
      <c r="AD206" s="26">
        <v>0.99863481228668904</v>
      </c>
      <c r="AE206" s="26">
        <v>0.99827705031013103</v>
      </c>
      <c r="AF206" s="26">
        <v>0.99940244995518401</v>
      </c>
      <c r="AG206" s="26">
        <v>0.99871532846715305</v>
      </c>
      <c r="AH206" s="28">
        <v>0.92</v>
      </c>
      <c r="AI206" s="26">
        <v>0.96060237298448403</v>
      </c>
      <c r="AJ206" s="26">
        <v>0.968975828557189</v>
      </c>
      <c r="AK206" s="26">
        <v>0.96431070678796404</v>
      </c>
      <c r="AL206" s="26">
        <v>0.96682907126448403</v>
      </c>
      <c r="AM206" s="25">
        <v>0.99</v>
      </c>
      <c r="AN206" s="30">
        <v>1</v>
      </c>
      <c r="AO206" s="30">
        <v>1</v>
      </c>
      <c r="AP206" s="30">
        <v>1</v>
      </c>
      <c r="AQ206" s="30">
        <v>1</v>
      </c>
      <c r="AR206" s="50">
        <v>7.19793575775068E-2</v>
      </c>
      <c r="AS206" s="34">
        <v>6.6666666666666693E-2</v>
      </c>
      <c r="AT206" s="34">
        <v>8.6956521739130405E-2</v>
      </c>
      <c r="AU206" s="34">
        <v>0</v>
      </c>
      <c r="AV206" s="34">
        <v>0.100719424460432</v>
      </c>
      <c r="AW206" s="10"/>
      <c r="AX206" s="8"/>
    </row>
    <row r="207" spans="1:50">
      <c r="A207" s="7"/>
      <c r="B207" s="10"/>
      <c r="C207" s="45" t="s">
        <v>236</v>
      </c>
      <c r="D207" s="23" t="s">
        <v>13</v>
      </c>
      <c r="E207" s="49" t="s">
        <v>254</v>
      </c>
      <c r="F207" s="49" t="s">
        <v>254</v>
      </c>
      <c r="G207" s="49" t="s">
        <v>254</v>
      </c>
      <c r="H207" s="49" t="s">
        <v>254</v>
      </c>
      <c r="I207" s="25">
        <v>0.9</v>
      </c>
      <c r="J207" s="26">
        <v>0.90566037735849103</v>
      </c>
      <c r="K207" s="26">
        <v>0.92105263157894701</v>
      </c>
      <c r="L207" s="27">
        <v>0.91346153846153799</v>
      </c>
      <c r="M207" s="26">
        <v>0.92962356792143996</v>
      </c>
      <c r="N207" s="28">
        <v>0.9</v>
      </c>
      <c r="O207" s="26">
        <v>0.96305768684285298</v>
      </c>
      <c r="P207" s="26">
        <v>0.961400065423618</v>
      </c>
      <c r="Q207" s="26">
        <v>0.96439006574141695</v>
      </c>
      <c r="R207" s="26">
        <v>0.95636010205321298</v>
      </c>
      <c r="S207" s="28">
        <v>0.9</v>
      </c>
      <c r="T207" s="26">
        <v>0.90309747087240699</v>
      </c>
      <c r="U207" s="26">
        <v>0.89008832188419995</v>
      </c>
      <c r="V207" s="26">
        <v>0.91691015339663995</v>
      </c>
      <c r="W207" s="26">
        <v>0.89930749605151294</v>
      </c>
      <c r="X207" s="28">
        <v>0.92</v>
      </c>
      <c r="Y207" s="28">
        <v>0.91780821917808197</v>
      </c>
      <c r="Z207" s="28">
        <v>0.93860984271943204</v>
      </c>
      <c r="AA207" s="28">
        <v>0.91161178509532104</v>
      </c>
      <c r="AB207" s="28">
        <v>0.91865401423398696</v>
      </c>
      <c r="AC207" s="28">
        <v>0.92</v>
      </c>
      <c r="AD207" s="26">
        <v>0.99495331819328803</v>
      </c>
      <c r="AE207" s="26">
        <v>0.98818051575931198</v>
      </c>
      <c r="AF207" s="26">
        <v>0.89554401039064802</v>
      </c>
      <c r="AG207" s="26">
        <v>0.93604506565857504</v>
      </c>
      <c r="AH207" s="28">
        <v>0.92</v>
      </c>
      <c r="AI207" s="26">
        <v>0.94585309995092404</v>
      </c>
      <c r="AJ207" s="26">
        <v>0.95989393437189297</v>
      </c>
      <c r="AK207" s="26">
        <v>0.93852553732378097</v>
      </c>
      <c r="AL207" s="26">
        <v>0.94753162309100303</v>
      </c>
      <c r="AM207" s="25">
        <v>0.99</v>
      </c>
      <c r="AN207" s="30">
        <v>1</v>
      </c>
      <c r="AO207" s="30">
        <v>1</v>
      </c>
      <c r="AP207" s="30">
        <v>1</v>
      </c>
      <c r="AQ207" s="30">
        <v>1</v>
      </c>
      <c r="AR207" s="50">
        <v>7.19793575775068E-2</v>
      </c>
      <c r="AS207" s="34">
        <v>8.6956521739130405E-2</v>
      </c>
      <c r="AT207" s="34">
        <v>0</v>
      </c>
      <c r="AU207" s="34">
        <v>2.27272727272727E-2</v>
      </c>
      <c r="AV207" s="34">
        <v>4.9242424242424199E-2</v>
      </c>
      <c r="AW207" s="10"/>
      <c r="AX207" s="8"/>
    </row>
    <row r="208" spans="1:50">
      <c r="A208" s="7"/>
      <c r="B208" s="10"/>
      <c r="C208" s="45" t="s">
        <v>236</v>
      </c>
      <c r="D208" s="23" t="s">
        <v>13</v>
      </c>
      <c r="E208" s="49" t="s">
        <v>255</v>
      </c>
      <c r="F208" s="49" t="s">
        <v>255</v>
      </c>
      <c r="G208" s="49" t="s">
        <v>255</v>
      </c>
      <c r="H208" s="49" t="s">
        <v>255</v>
      </c>
      <c r="I208" s="25">
        <v>0.9</v>
      </c>
      <c r="J208" s="26">
        <v>0</v>
      </c>
      <c r="K208" s="26">
        <v>0</v>
      </c>
      <c r="L208" s="27">
        <v>0</v>
      </c>
      <c r="M208" s="26">
        <v>0</v>
      </c>
      <c r="N208" s="28">
        <v>0.9</v>
      </c>
      <c r="O208" s="26">
        <v>0</v>
      </c>
      <c r="P208" s="26">
        <v>0</v>
      </c>
      <c r="Q208" s="26">
        <v>0</v>
      </c>
      <c r="R208" s="26">
        <v>0</v>
      </c>
      <c r="S208" s="28">
        <v>0.9</v>
      </c>
      <c r="T208" s="26">
        <v>0.77777777777777801</v>
      </c>
      <c r="U208" s="26">
        <v>0.81818181818181801</v>
      </c>
      <c r="V208" s="26">
        <v>0.6</v>
      </c>
      <c r="W208" s="26">
        <v>0.83333333333333304</v>
      </c>
      <c r="X208" s="28">
        <v>0.92</v>
      </c>
      <c r="Y208" s="28">
        <v>0.44444444444444398</v>
      </c>
      <c r="Z208" s="28">
        <v>1</v>
      </c>
      <c r="AA208" s="28">
        <v>0.2</v>
      </c>
      <c r="AB208" s="28">
        <v>0.44444444444444398</v>
      </c>
      <c r="AC208" s="28">
        <v>0.92</v>
      </c>
      <c r="AD208" s="26">
        <v>0.99820927306165896</v>
      </c>
      <c r="AE208" s="26">
        <v>0.98271642242030499</v>
      </c>
      <c r="AF208" s="26">
        <v>0.58234243740107905</v>
      </c>
      <c r="AG208" s="26">
        <v>0.85117234539916398</v>
      </c>
      <c r="AH208" s="28">
        <v>0.92</v>
      </c>
      <c r="AI208" s="26">
        <v>0.7</v>
      </c>
      <c r="AJ208" s="26">
        <v>0.92307692307692302</v>
      </c>
      <c r="AK208" s="26">
        <v>0.45454545454545497</v>
      </c>
      <c r="AL208" s="26">
        <v>0.79439252336448596</v>
      </c>
      <c r="AM208" s="25">
        <v>0.99</v>
      </c>
      <c r="AN208" s="30">
        <v>1</v>
      </c>
      <c r="AO208" s="30">
        <v>1</v>
      </c>
      <c r="AP208" s="30">
        <v>1</v>
      </c>
      <c r="AQ208" s="30">
        <v>1</v>
      </c>
      <c r="AR208" s="50">
        <v>7.19793575775068E-2</v>
      </c>
      <c r="AS208" s="34">
        <v>0</v>
      </c>
      <c r="AT208" s="34">
        <v>0</v>
      </c>
      <c r="AU208" s="34">
        <v>0</v>
      </c>
      <c r="AV208" s="34">
        <v>0</v>
      </c>
      <c r="AW208" s="10"/>
      <c r="AX208" s="8"/>
    </row>
    <row r="209" spans="1:50">
      <c r="A209" s="7"/>
      <c r="C209" s="45" t="s">
        <v>236</v>
      </c>
      <c r="D209" s="23" t="s">
        <v>13</v>
      </c>
      <c r="E209" s="49" t="s">
        <v>256</v>
      </c>
      <c r="F209" s="49" t="s">
        <v>256</v>
      </c>
      <c r="G209" s="49" t="s">
        <v>256</v>
      </c>
      <c r="H209" s="49" t="s">
        <v>256</v>
      </c>
      <c r="I209" s="25">
        <v>0.9</v>
      </c>
      <c r="J209" s="26">
        <v>0.97916666666666696</v>
      </c>
      <c r="K209" s="26">
        <v>0.92146596858638696</v>
      </c>
      <c r="L209" s="27">
        <v>0.96045197740112997</v>
      </c>
      <c r="M209" s="26">
        <v>0.93254329990884199</v>
      </c>
      <c r="N209" s="28">
        <v>0.9</v>
      </c>
      <c r="O209" s="26">
        <v>0.94988412514484399</v>
      </c>
      <c r="P209" s="26">
        <v>0.94204952267303099</v>
      </c>
      <c r="Q209" s="26">
        <v>0.96363206990199501</v>
      </c>
      <c r="R209" s="26">
        <v>0.95004460303300597</v>
      </c>
      <c r="S209" s="28">
        <v>0.9</v>
      </c>
      <c r="T209" s="26">
        <v>0.91676322904596397</v>
      </c>
      <c r="U209" s="26">
        <v>0.91311157517899799</v>
      </c>
      <c r="V209" s="26">
        <v>0.92986184909670599</v>
      </c>
      <c r="W209" s="26">
        <v>0.92045792447219699</v>
      </c>
      <c r="X209" s="28">
        <v>0.92</v>
      </c>
      <c r="Y209" s="28">
        <v>0.93318318318318305</v>
      </c>
      <c r="Z209" s="28">
        <v>0.94402007856831105</v>
      </c>
      <c r="AA209" s="28">
        <v>0.93565525383707204</v>
      </c>
      <c r="AB209" s="28">
        <v>0.93786243556700999</v>
      </c>
      <c r="AC209" s="28">
        <v>0.92</v>
      </c>
      <c r="AD209" s="26">
        <v>0.99428897772701297</v>
      </c>
      <c r="AE209" s="26">
        <v>0.99452429842573598</v>
      </c>
      <c r="AF209" s="26">
        <v>0.99754980291893003</v>
      </c>
      <c r="AG209" s="26">
        <v>0.99570217558835705</v>
      </c>
      <c r="AH209" s="28">
        <v>0.92</v>
      </c>
      <c r="AI209" s="26">
        <v>0.95286360416326099</v>
      </c>
      <c r="AJ209" s="26">
        <v>0.96393921942143301</v>
      </c>
      <c r="AK209" s="26">
        <v>0.95454321837949496</v>
      </c>
      <c r="AL209" s="26">
        <v>0.95910608645156603</v>
      </c>
      <c r="AM209" s="25">
        <v>0.99</v>
      </c>
      <c r="AN209" s="30">
        <v>1</v>
      </c>
      <c r="AO209" s="30">
        <v>1</v>
      </c>
      <c r="AP209" s="30">
        <v>1</v>
      </c>
      <c r="AQ209" s="30">
        <v>1</v>
      </c>
      <c r="AR209" s="50">
        <v>7.19793575775068E-2</v>
      </c>
      <c r="AS209" s="34">
        <v>7.7669902912621394E-2</v>
      </c>
      <c r="AT209" s="34">
        <v>1.8018018018018001E-2</v>
      </c>
      <c r="AU209" s="34">
        <v>2.2222222222222199E-2</v>
      </c>
      <c r="AV209" s="34">
        <v>5.4098360655737698E-2</v>
      </c>
      <c r="AW209" s="10"/>
      <c r="AX209" s="8"/>
    </row>
    <row r="210" spans="1:50">
      <c r="A210" s="7"/>
      <c r="C210" s="45" t="s">
        <v>236</v>
      </c>
      <c r="D210" s="23" t="s">
        <v>13</v>
      </c>
      <c r="E210" s="49" t="s">
        <v>257</v>
      </c>
      <c r="F210" s="49" t="s">
        <v>257</v>
      </c>
      <c r="G210" s="49" t="s">
        <v>257</v>
      </c>
      <c r="H210" s="49" t="s">
        <v>257</v>
      </c>
      <c r="I210" s="25">
        <v>0.9</v>
      </c>
      <c r="J210" s="26">
        <v>0.94964028776978404</v>
      </c>
      <c r="K210" s="26">
        <v>0.96527777777777801</v>
      </c>
      <c r="L210" s="27">
        <v>0.93798449612403101</v>
      </c>
      <c r="M210" s="26">
        <v>0.94110115236875802</v>
      </c>
      <c r="N210" s="28">
        <v>0.9</v>
      </c>
      <c r="O210" s="26">
        <v>0.955495853288167</v>
      </c>
      <c r="P210" s="26">
        <v>0.94244099324383601</v>
      </c>
      <c r="Q210" s="26">
        <v>0.96263057231131399</v>
      </c>
      <c r="R210" s="26">
        <v>0.95388515552694098</v>
      </c>
      <c r="S210" s="28">
        <v>0.9</v>
      </c>
      <c r="T210" s="26">
        <v>0.90141338628664902</v>
      </c>
      <c r="U210" s="26">
        <v>0.89813108712819201</v>
      </c>
      <c r="V210" s="26">
        <v>0.91260850375165503</v>
      </c>
      <c r="W210" s="26">
        <v>0.89934006679811695</v>
      </c>
      <c r="X210" s="28">
        <v>0.92</v>
      </c>
      <c r="Y210" s="28">
        <v>0.93429374560787104</v>
      </c>
      <c r="Z210" s="28">
        <v>0.94527896995708105</v>
      </c>
      <c r="AA210" s="28">
        <v>0.94648226097414301</v>
      </c>
      <c r="AB210" s="28">
        <v>0.93389191212461498</v>
      </c>
      <c r="AC210" s="28">
        <v>0.92</v>
      </c>
      <c r="AD210" s="26">
        <v>0.99592894152479605</v>
      </c>
      <c r="AE210" s="26">
        <v>0.98477026329375295</v>
      </c>
      <c r="AF210" s="26">
        <v>0.99380721593968802</v>
      </c>
      <c r="AG210" s="26">
        <v>0.99073704184560096</v>
      </c>
      <c r="AH210" s="28">
        <v>0.92</v>
      </c>
      <c r="AI210" s="26">
        <v>0.95369720780131895</v>
      </c>
      <c r="AJ210" s="26">
        <v>0.96473411081970895</v>
      </c>
      <c r="AK210" s="26">
        <v>0.96136032817255501</v>
      </c>
      <c r="AL210" s="26">
        <v>0.95666642980648497</v>
      </c>
      <c r="AM210" s="25">
        <v>0.99</v>
      </c>
      <c r="AN210" s="30">
        <v>1</v>
      </c>
      <c r="AO210" s="30">
        <v>1</v>
      </c>
      <c r="AP210" s="30">
        <v>1</v>
      </c>
      <c r="AQ210" s="30">
        <v>1</v>
      </c>
      <c r="AR210" s="50">
        <v>7.19793575775068E-2</v>
      </c>
      <c r="AS210" s="34">
        <v>3.3898305084745797E-2</v>
      </c>
      <c r="AT210" s="34">
        <v>1.88679245283019E-2</v>
      </c>
      <c r="AU210" s="34">
        <v>3.2608695652173898E-2</v>
      </c>
      <c r="AV210" s="34">
        <v>4.1459369817578799E-2</v>
      </c>
      <c r="AW210" s="10"/>
      <c r="AX210" s="8"/>
    </row>
    <row r="211" spans="1:50">
      <c r="A211" s="7"/>
      <c r="C211" s="45" t="s">
        <v>236</v>
      </c>
      <c r="D211" s="23" t="s">
        <v>13</v>
      </c>
      <c r="E211" s="49" t="s">
        <v>258</v>
      </c>
      <c r="F211" s="49" t="s">
        <v>258</v>
      </c>
      <c r="G211" s="49" t="s">
        <v>258</v>
      </c>
      <c r="H211" s="49" t="s">
        <v>258</v>
      </c>
      <c r="I211" s="25">
        <v>0.9</v>
      </c>
      <c r="J211" s="26">
        <v>0.95364238410596003</v>
      </c>
      <c r="K211" s="26">
        <v>0.92763157894736803</v>
      </c>
      <c r="L211" s="27">
        <v>0.939393939393939</v>
      </c>
      <c r="M211" s="26">
        <v>0.92069392812887196</v>
      </c>
      <c r="N211" s="28">
        <v>0.9</v>
      </c>
      <c r="O211" s="26">
        <v>0.93621988750928598</v>
      </c>
      <c r="P211" s="26">
        <v>0.92960644774071899</v>
      </c>
      <c r="Q211" s="26">
        <v>0.93741365017960798</v>
      </c>
      <c r="R211" s="26">
        <v>0.93825654320517005</v>
      </c>
      <c r="S211" s="28">
        <v>0.9</v>
      </c>
      <c r="T211" s="26">
        <v>0.92539530934946401</v>
      </c>
      <c r="U211" s="26">
        <v>0.926862728286033</v>
      </c>
      <c r="V211" s="26">
        <v>0.917933130699088</v>
      </c>
      <c r="W211" s="26">
        <v>0.918984349682609</v>
      </c>
      <c r="X211" s="28">
        <v>0.92</v>
      </c>
      <c r="Y211" s="28">
        <v>0.951990800632457</v>
      </c>
      <c r="Z211" s="28">
        <v>0.96037296037296005</v>
      </c>
      <c r="AA211" s="28">
        <v>0.95670193041771201</v>
      </c>
      <c r="AB211" s="28">
        <v>0.94833873581847605</v>
      </c>
      <c r="AC211" s="28">
        <v>0.92</v>
      </c>
      <c r="AD211" s="26">
        <v>0.99729956234286199</v>
      </c>
      <c r="AE211" s="26">
        <v>0.99405267629566696</v>
      </c>
      <c r="AF211" s="26">
        <v>0.98992805755395696</v>
      </c>
      <c r="AG211" s="26">
        <v>0.99133876668711496</v>
      </c>
      <c r="AH211" s="28">
        <v>0.92</v>
      </c>
      <c r="AI211" s="26">
        <v>0.96656701848575399</v>
      </c>
      <c r="AJ211" s="26">
        <v>0.97552484439286802</v>
      </c>
      <c r="AK211" s="26">
        <v>0.96824526116901299</v>
      </c>
      <c r="AL211" s="26">
        <v>0.96607515657620002</v>
      </c>
      <c r="AM211" s="25">
        <v>0.99</v>
      </c>
      <c r="AN211" s="30">
        <v>1</v>
      </c>
      <c r="AO211" s="30">
        <v>1</v>
      </c>
      <c r="AP211" s="30">
        <v>1</v>
      </c>
      <c r="AQ211" s="30">
        <v>1</v>
      </c>
      <c r="AR211" s="50">
        <v>7.19793575775068E-2</v>
      </c>
      <c r="AS211" s="34">
        <v>0</v>
      </c>
      <c r="AT211" s="34">
        <v>4.6153846153846198E-2</v>
      </c>
      <c r="AU211" s="34">
        <v>0.08</v>
      </c>
      <c r="AV211" s="34">
        <v>5.24861878453039E-2</v>
      </c>
      <c r="AW211" s="10"/>
      <c r="AX211" s="8"/>
    </row>
    <row r="212" spans="1:50">
      <c r="A212" s="7"/>
      <c r="C212" s="45" t="s">
        <v>236</v>
      </c>
      <c r="D212" s="23" t="s">
        <v>13</v>
      </c>
      <c r="E212" s="49" t="s">
        <v>259</v>
      </c>
      <c r="F212" s="49" t="s">
        <v>259</v>
      </c>
      <c r="G212" s="49" t="s">
        <v>259</v>
      </c>
      <c r="H212" s="49" t="s">
        <v>259</v>
      </c>
      <c r="I212" s="25">
        <v>0.9</v>
      </c>
      <c r="J212" s="26">
        <v>0.911392405063291</v>
      </c>
      <c r="K212" s="26">
        <v>1</v>
      </c>
      <c r="L212" s="27">
        <v>0.95652173913043503</v>
      </c>
      <c r="M212" s="26">
        <v>0.936739659367397</v>
      </c>
      <c r="N212" s="28">
        <v>0.9</v>
      </c>
      <c r="O212" s="26">
        <v>0.97116674117121105</v>
      </c>
      <c r="P212" s="26">
        <v>0.97591801878736095</v>
      </c>
      <c r="Q212" s="26">
        <v>0.97305471542480104</v>
      </c>
      <c r="R212" s="26">
        <v>0.96801755898722297</v>
      </c>
      <c r="S212" s="28">
        <v>0.9</v>
      </c>
      <c r="T212" s="26">
        <v>0.93428699150648198</v>
      </c>
      <c r="U212" s="26">
        <v>0.92877882152006797</v>
      </c>
      <c r="V212" s="26">
        <v>0.94390981578223798</v>
      </c>
      <c r="W212" s="26">
        <v>0.92690287685192396</v>
      </c>
      <c r="X212" s="28">
        <v>0.92</v>
      </c>
      <c r="Y212" s="28">
        <v>0.96117143797301696</v>
      </c>
      <c r="Z212" s="28">
        <v>0.96233576642335805</v>
      </c>
      <c r="AA212" s="28">
        <v>0.96653497559842005</v>
      </c>
      <c r="AB212" s="28">
        <v>0.96015737559570002</v>
      </c>
      <c r="AC212" s="28">
        <v>0.92</v>
      </c>
      <c r="AD212" s="26">
        <v>0.99866915091828601</v>
      </c>
      <c r="AE212" s="26">
        <v>0.99311701081612602</v>
      </c>
      <c r="AF212" s="26">
        <v>0.98340383989586699</v>
      </c>
      <c r="AG212" s="26">
        <v>0.99172846548773497</v>
      </c>
      <c r="AH212" s="28">
        <v>0.92</v>
      </c>
      <c r="AI212" s="26">
        <v>0.97178224411020897</v>
      </c>
      <c r="AJ212" s="26">
        <v>0.97952806809611004</v>
      </c>
      <c r="AK212" s="26">
        <v>0.97670025188916898</v>
      </c>
      <c r="AL212" s="26">
        <v>0.97484103482313</v>
      </c>
      <c r="AM212" s="25">
        <v>0.99</v>
      </c>
      <c r="AN212" s="30">
        <v>1</v>
      </c>
      <c r="AO212" s="30">
        <v>1</v>
      </c>
      <c r="AP212" s="30">
        <v>1</v>
      </c>
      <c r="AQ212" s="30">
        <v>1</v>
      </c>
      <c r="AR212" s="50">
        <v>7.19793575775068E-2</v>
      </c>
      <c r="AS212" s="34">
        <v>6.9767441860465101E-2</v>
      </c>
      <c r="AT212" s="34">
        <v>6.9767441860465101E-2</v>
      </c>
      <c r="AU212" s="34">
        <v>6.0606060606060601E-2</v>
      </c>
      <c r="AV212" s="34">
        <v>4.33070866141732E-2</v>
      </c>
      <c r="AW212" s="10"/>
      <c r="AX212" s="8"/>
    </row>
    <row r="213" spans="1:50">
      <c r="A213" s="7"/>
      <c r="C213" s="45" t="s">
        <v>236</v>
      </c>
      <c r="D213" s="23" t="s">
        <v>13</v>
      </c>
      <c r="E213" s="49" t="s">
        <v>260</v>
      </c>
      <c r="F213" s="49" t="s">
        <v>260</v>
      </c>
      <c r="G213" s="49" t="s">
        <v>260</v>
      </c>
      <c r="H213" s="49" t="s">
        <v>260</v>
      </c>
      <c r="I213" s="25">
        <v>0.9</v>
      </c>
      <c r="J213" s="26">
        <v>0.96581196581196604</v>
      </c>
      <c r="K213" s="26">
        <v>0.96721311475409799</v>
      </c>
      <c r="L213" s="27">
        <v>0.97142857142857097</v>
      </c>
      <c r="M213" s="26">
        <v>0.963133640552995</v>
      </c>
      <c r="N213" s="28">
        <v>0.9</v>
      </c>
      <c r="O213" s="26">
        <v>0.97600462561433898</v>
      </c>
      <c r="P213" s="26">
        <v>0.97268884794624499</v>
      </c>
      <c r="Q213" s="26">
        <v>0.96703296703296704</v>
      </c>
      <c r="R213" s="26">
        <v>0.96898272175387701</v>
      </c>
      <c r="S213" s="28">
        <v>0.9</v>
      </c>
      <c r="T213" s="26">
        <v>0.92425556519225205</v>
      </c>
      <c r="U213" s="26">
        <v>0.91589899208843595</v>
      </c>
      <c r="V213" s="26">
        <v>0.92704017294181196</v>
      </c>
      <c r="W213" s="26">
        <v>0.92019563988497599</v>
      </c>
      <c r="X213" s="28">
        <v>0.92</v>
      </c>
      <c r="Y213" s="28">
        <v>0.94606505771248695</v>
      </c>
      <c r="Z213" s="28">
        <v>0.95888030888030895</v>
      </c>
      <c r="AA213" s="28">
        <v>0.95600600600600605</v>
      </c>
      <c r="AB213" s="28">
        <v>0.95025051160821405</v>
      </c>
      <c r="AC213" s="28">
        <v>0.92</v>
      </c>
      <c r="AD213" s="26">
        <v>0.99155145929339505</v>
      </c>
      <c r="AE213" s="26">
        <v>0.99751655629139102</v>
      </c>
      <c r="AF213" s="26">
        <v>0.99276822762299899</v>
      </c>
      <c r="AG213" s="26">
        <v>0.99401875202069201</v>
      </c>
      <c r="AH213" s="28">
        <v>0.92</v>
      </c>
      <c r="AI213" s="26">
        <v>0.96602191030468998</v>
      </c>
      <c r="AJ213" s="26">
        <v>0.97591448601374298</v>
      </c>
      <c r="AK213" s="26">
        <v>0.96576856932274202</v>
      </c>
      <c r="AL213" s="26">
        <v>0.96827558233862598</v>
      </c>
      <c r="AM213" s="25">
        <v>0.99</v>
      </c>
      <c r="AN213" s="30">
        <v>1</v>
      </c>
      <c r="AO213" s="30">
        <v>1</v>
      </c>
      <c r="AP213" s="30">
        <v>1</v>
      </c>
      <c r="AQ213" s="30">
        <v>1</v>
      </c>
      <c r="AR213" s="50">
        <v>7.19793575775068E-2</v>
      </c>
      <c r="AS213" s="34">
        <v>0.134328358208955</v>
      </c>
      <c r="AT213" s="34">
        <v>0.109375</v>
      </c>
      <c r="AU213" s="34">
        <v>1.63934426229508E-2</v>
      </c>
      <c r="AV213" s="34">
        <v>9.2696629213483206E-2</v>
      </c>
      <c r="AW213" s="10"/>
      <c r="AX213" s="8"/>
    </row>
    <row r="214" spans="1:50">
      <c r="A214" s="7"/>
      <c r="C214" s="45" t="s">
        <v>236</v>
      </c>
      <c r="D214" s="23" t="s">
        <v>13</v>
      </c>
      <c r="E214" s="49" t="s">
        <v>261</v>
      </c>
      <c r="F214" s="49" t="s">
        <v>261</v>
      </c>
      <c r="G214" s="49" t="s">
        <v>261</v>
      </c>
      <c r="H214" s="49" t="s">
        <v>261</v>
      </c>
      <c r="I214" s="25">
        <v>0.9</v>
      </c>
      <c r="J214" s="26">
        <v>0.97674418604651203</v>
      </c>
      <c r="K214" s="26">
        <v>0.967741935483871</v>
      </c>
      <c r="L214" s="27">
        <v>0.96250000000000002</v>
      </c>
      <c r="M214" s="26">
        <v>0.95780590717299596</v>
      </c>
      <c r="N214" s="28">
        <v>0.9</v>
      </c>
      <c r="O214" s="26">
        <v>0.93632890667636903</v>
      </c>
      <c r="P214" s="26">
        <v>0.88755666033045799</v>
      </c>
      <c r="Q214" s="26">
        <v>0.96014492753623204</v>
      </c>
      <c r="R214" s="26">
        <v>0.85997748834217702</v>
      </c>
      <c r="S214" s="28">
        <v>0.9</v>
      </c>
      <c r="T214" s="26">
        <v>0.90794979079497895</v>
      </c>
      <c r="U214" s="26">
        <v>0.933469805527124</v>
      </c>
      <c r="V214" s="26">
        <v>0.95199275362318803</v>
      </c>
      <c r="W214" s="26">
        <v>0.92136999517607299</v>
      </c>
      <c r="X214" s="28">
        <v>0.92</v>
      </c>
      <c r="Y214" s="28">
        <v>0.94144981412639395</v>
      </c>
      <c r="Z214" s="28">
        <v>0.96526508226690999</v>
      </c>
      <c r="AA214" s="28">
        <v>0.97487888031580805</v>
      </c>
      <c r="AB214" s="28">
        <v>0.95769392033542999</v>
      </c>
      <c r="AC214" s="28">
        <v>0.92</v>
      </c>
      <c r="AD214" s="26">
        <v>0.99729656663963195</v>
      </c>
      <c r="AE214" s="26">
        <v>0.99524076147816398</v>
      </c>
      <c r="AF214" s="26">
        <v>0.99712289354706096</v>
      </c>
      <c r="AG214" s="26">
        <v>0.99680997251668602</v>
      </c>
      <c r="AH214" s="28">
        <v>0.92</v>
      </c>
      <c r="AI214" s="26">
        <v>0.949908182003673</v>
      </c>
      <c r="AJ214" s="26">
        <v>0.97726056714820797</v>
      </c>
      <c r="AK214" s="26">
        <v>0.98118306475828199</v>
      </c>
      <c r="AL214" s="26">
        <v>0.96950176511263997</v>
      </c>
      <c r="AM214" s="25">
        <v>0.99</v>
      </c>
      <c r="AN214" s="30">
        <v>1</v>
      </c>
      <c r="AO214" s="30">
        <v>1</v>
      </c>
      <c r="AP214" s="30">
        <v>1</v>
      </c>
      <c r="AQ214" s="30">
        <v>1</v>
      </c>
      <c r="AR214" s="50">
        <v>7.19793575775068E-2</v>
      </c>
      <c r="AS214" s="34">
        <v>6.8965517241379296E-2</v>
      </c>
      <c r="AT214" s="34">
        <v>0.06</v>
      </c>
      <c r="AU214" s="34">
        <v>1.9607843137254902E-2</v>
      </c>
      <c r="AV214" s="34">
        <v>4.71698113207547E-2</v>
      </c>
      <c r="AW214" s="10"/>
      <c r="AX214" s="8"/>
    </row>
    <row r="215" spans="1:50" s="2" customFormat="1">
      <c r="A215" s="7"/>
      <c r="B215" s="4"/>
      <c r="C215" s="45" t="s">
        <v>236</v>
      </c>
      <c r="D215" s="23" t="s">
        <v>13</v>
      </c>
      <c r="E215" s="49" t="s">
        <v>262</v>
      </c>
      <c r="F215" s="49" t="s">
        <v>262</v>
      </c>
      <c r="G215" s="49" t="s">
        <v>262</v>
      </c>
      <c r="H215" s="49" t="s">
        <v>262</v>
      </c>
      <c r="I215" s="25">
        <v>0.9</v>
      </c>
      <c r="J215" s="26">
        <v>0.96261682242990698</v>
      </c>
      <c r="K215" s="26">
        <v>0.94059405940594099</v>
      </c>
      <c r="L215" s="27">
        <v>0.98989898989898994</v>
      </c>
      <c r="M215" s="26">
        <v>0.95608108108108103</v>
      </c>
      <c r="N215" s="28">
        <v>0.9</v>
      </c>
      <c r="O215" s="26">
        <v>0.94483734087694504</v>
      </c>
      <c r="P215" s="26">
        <v>0.84095153838592396</v>
      </c>
      <c r="Q215" s="26">
        <v>0.93559928443649398</v>
      </c>
      <c r="R215" s="26">
        <v>0.92060645952018905</v>
      </c>
      <c r="S215" s="28">
        <v>0.9</v>
      </c>
      <c r="T215" s="26">
        <v>0.89661823325189705</v>
      </c>
      <c r="U215" s="26">
        <v>0.821586552639339</v>
      </c>
      <c r="V215" s="26">
        <v>0.92941941779151105</v>
      </c>
      <c r="W215" s="26">
        <v>0.88138632288522201</v>
      </c>
      <c r="X215" s="28">
        <v>0.92</v>
      </c>
      <c r="Y215" s="28">
        <v>0.94184698608964501</v>
      </c>
      <c r="Z215" s="28">
        <v>0.94022374352980498</v>
      </c>
      <c r="AA215" s="28">
        <v>0.94967177242888401</v>
      </c>
      <c r="AB215" s="28">
        <v>0.94031279923396105</v>
      </c>
      <c r="AC215" s="28">
        <v>0.92</v>
      </c>
      <c r="AD215" s="26">
        <v>0.99055804382036095</v>
      </c>
      <c r="AE215" s="26">
        <v>0.98650520806608899</v>
      </c>
      <c r="AF215" s="26">
        <v>0.99272790993122195</v>
      </c>
      <c r="AG215" s="26">
        <v>0.96594856183897304</v>
      </c>
      <c r="AH215" s="28">
        <v>0.92</v>
      </c>
      <c r="AI215" s="26">
        <v>0.95838801821971698</v>
      </c>
      <c r="AJ215" s="26">
        <v>0.95347398379013804</v>
      </c>
      <c r="AK215" s="26">
        <v>0.96397533982024797</v>
      </c>
      <c r="AL215" s="26">
        <v>0.95680314062520699</v>
      </c>
      <c r="AM215" s="25">
        <v>0.99</v>
      </c>
      <c r="AN215" s="30">
        <v>1</v>
      </c>
      <c r="AO215" s="30">
        <v>1</v>
      </c>
      <c r="AP215" s="30">
        <v>1</v>
      </c>
      <c r="AQ215" s="30">
        <v>1</v>
      </c>
      <c r="AR215" s="50">
        <v>7.19793575775068E-2</v>
      </c>
      <c r="AS215" s="34">
        <v>3.8461538461538498E-2</v>
      </c>
      <c r="AT215" s="34">
        <v>6.4516129032258104E-2</v>
      </c>
      <c r="AU215" s="34">
        <v>5.8139534883720902E-2</v>
      </c>
      <c r="AV215" s="34">
        <v>4.8872180451127803E-2</v>
      </c>
      <c r="AW215" s="4"/>
      <c r="AX215" s="8"/>
    </row>
    <row r="216" spans="1:50" s="2" customFormat="1">
      <c r="A216" s="7"/>
      <c r="B216" s="4"/>
      <c r="C216" s="45" t="s">
        <v>236</v>
      </c>
      <c r="D216" s="23" t="s">
        <v>13</v>
      </c>
      <c r="E216" s="49" t="s">
        <v>263</v>
      </c>
      <c r="F216" s="49" t="s">
        <v>263</v>
      </c>
      <c r="G216" s="49" t="s">
        <v>263</v>
      </c>
      <c r="H216" s="49" t="s">
        <v>263</v>
      </c>
      <c r="I216" s="25">
        <v>0.9</v>
      </c>
      <c r="J216" s="26">
        <v>0.91666666666666696</v>
      </c>
      <c r="K216" s="26">
        <v>0.98648648648648696</v>
      </c>
      <c r="L216" s="27">
        <v>0.971830985915493</v>
      </c>
      <c r="M216" s="26">
        <v>0.95843520782396097</v>
      </c>
      <c r="N216" s="28">
        <v>0.9</v>
      </c>
      <c r="O216" s="26">
        <v>0.94577634754625906</v>
      </c>
      <c r="P216" s="26">
        <v>0.92313218390804597</v>
      </c>
      <c r="Q216" s="26">
        <v>0.94934673366834199</v>
      </c>
      <c r="R216" s="26">
        <v>0.93651558984249395</v>
      </c>
      <c r="S216" s="28">
        <v>0.9</v>
      </c>
      <c r="T216" s="26">
        <v>0.90185036202735303</v>
      </c>
      <c r="U216" s="26">
        <v>0.88972701149425304</v>
      </c>
      <c r="V216" s="26">
        <v>0.92060301507537701</v>
      </c>
      <c r="W216" s="26">
        <v>0.89719275688417399</v>
      </c>
      <c r="X216" s="28">
        <v>0.92</v>
      </c>
      <c r="Y216" s="28">
        <v>0.93341630367143702</v>
      </c>
      <c r="Z216" s="28">
        <v>0.94357026587086301</v>
      </c>
      <c r="AA216" s="28">
        <v>0.95180897250361796</v>
      </c>
      <c r="AB216" s="28">
        <v>0.94161494873178597</v>
      </c>
      <c r="AC216" s="28">
        <v>0.92</v>
      </c>
      <c r="AD216" s="26">
        <v>0.99877330716388601</v>
      </c>
      <c r="AE216" s="26">
        <v>0.99491998983997998</v>
      </c>
      <c r="AF216" s="26">
        <v>0.99547511312217196</v>
      </c>
      <c r="AG216" s="26">
        <v>0.99635677289087898</v>
      </c>
      <c r="AH216" s="28">
        <v>0.92</v>
      </c>
      <c r="AI216" s="26">
        <v>0.95523740485683195</v>
      </c>
      <c r="AJ216" s="26">
        <v>0.95923071382266101</v>
      </c>
      <c r="AK216" s="26">
        <v>0.96314992428066604</v>
      </c>
      <c r="AL216" s="26">
        <v>0.95944170771756998</v>
      </c>
      <c r="AM216" s="25">
        <v>0.99</v>
      </c>
      <c r="AN216" s="30">
        <v>1</v>
      </c>
      <c r="AO216" s="30">
        <v>1</v>
      </c>
      <c r="AP216" s="30">
        <v>1</v>
      </c>
      <c r="AQ216" s="30">
        <v>1</v>
      </c>
      <c r="AR216" s="50">
        <v>7.19793575775068E-2</v>
      </c>
      <c r="AS216" s="34">
        <v>4.3478260869565202E-2</v>
      </c>
      <c r="AT216" s="34">
        <v>1.9607843137254902E-2</v>
      </c>
      <c r="AU216" s="34">
        <v>9.5238095238095205E-2</v>
      </c>
      <c r="AV216" s="34">
        <v>3.7037037037037E-2</v>
      </c>
      <c r="AW216" s="4"/>
      <c r="AX216" s="8"/>
    </row>
    <row r="217" spans="1:50" s="2" customFormat="1">
      <c r="A217" s="7"/>
      <c r="B217" s="4"/>
      <c r="C217" s="45" t="s">
        <v>236</v>
      </c>
      <c r="D217" s="23" t="s">
        <v>13</v>
      </c>
      <c r="E217" s="49" t="s">
        <v>264</v>
      </c>
      <c r="F217" s="49" t="s">
        <v>264</v>
      </c>
      <c r="G217" s="49" t="s">
        <v>264</v>
      </c>
      <c r="H217" s="49" t="s">
        <v>264</v>
      </c>
      <c r="I217" s="25">
        <v>0.9</v>
      </c>
      <c r="J217" s="26">
        <v>0.95762711864406802</v>
      </c>
      <c r="K217" s="26">
        <v>0.977099236641221</v>
      </c>
      <c r="L217" s="27">
        <v>0.95967741935483897</v>
      </c>
      <c r="M217" s="26">
        <v>0.92682926829268297</v>
      </c>
      <c r="N217" s="28">
        <v>0.9</v>
      </c>
      <c r="O217" s="26">
        <v>0.91887163787448101</v>
      </c>
      <c r="P217" s="26">
        <v>0.91837431693989102</v>
      </c>
      <c r="Q217" s="26">
        <v>0.94284121009340605</v>
      </c>
      <c r="R217" s="26">
        <v>0.920594551825478</v>
      </c>
      <c r="S217" s="28">
        <v>0.9</v>
      </c>
      <c r="T217" s="26">
        <v>0.86824841460747904</v>
      </c>
      <c r="U217" s="26">
        <v>0.875</v>
      </c>
      <c r="V217" s="26">
        <v>0.90366652725498398</v>
      </c>
      <c r="W217" s="26">
        <v>0.86583022493500605</v>
      </c>
      <c r="X217" s="28">
        <v>0.92</v>
      </c>
      <c r="Y217" s="28">
        <v>0.91930190930787603</v>
      </c>
      <c r="Z217" s="28">
        <v>0.93112547829529002</v>
      </c>
      <c r="AA217" s="28">
        <v>0.92671323008401696</v>
      </c>
      <c r="AB217" s="28">
        <v>0.91062924553388003</v>
      </c>
      <c r="AC217" s="28">
        <v>0.92</v>
      </c>
      <c r="AD217" s="26">
        <v>0.99716482460355604</v>
      </c>
      <c r="AE217" s="26">
        <v>0.99637646149386405</v>
      </c>
      <c r="AF217" s="26">
        <v>0.99285184172493302</v>
      </c>
      <c r="AG217" s="26">
        <v>0.99238520396447005</v>
      </c>
      <c r="AH217" s="28">
        <v>0.92</v>
      </c>
      <c r="AI217" s="26">
        <v>0.94056782334384903</v>
      </c>
      <c r="AJ217" s="26">
        <v>0.95838084378563304</v>
      </c>
      <c r="AK217" s="26">
        <v>0.94793315743183804</v>
      </c>
      <c r="AL217" s="26">
        <v>0.93965088337726399</v>
      </c>
      <c r="AM217" s="25">
        <v>0.99</v>
      </c>
      <c r="AN217" s="30">
        <v>1</v>
      </c>
      <c r="AO217" s="30">
        <v>1</v>
      </c>
      <c r="AP217" s="30">
        <v>1</v>
      </c>
      <c r="AQ217" s="30">
        <v>1</v>
      </c>
      <c r="AR217" s="50">
        <v>7.19793575775068E-2</v>
      </c>
      <c r="AS217" s="34">
        <v>5.1948051948052E-2</v>
      </c>
      <c r="AT217" s="34">
        <v>0.102564102564103</v>
      </c>
      <c r="AU217" s="34">
        <v>1.63934426229508E-2</v>
      </c>
      <c r="AV217" s="34">
        <v>4.8346055979643802E-2</v>
      </c>
      <c r="AW217" s="4"/>
      <c r="AX217" s="8"/>
    </row>
    <row r="218" spans="1:50" s="2" customFormat="1">
      <c r="A218" s="7"/>
      <c r="B218" s="4"/>
      <c r="C218" s="45" t="s">
        <v>236</v>
      </c>
      <c r="D218" s="23" t="s">
        <v>13</v>
      </c>
      <c r="E218" s="49" t="s">
        <v>265</v>
      </c>
      <c r="F218" s="49" t="s">
        <v>265</v>
      </c>
      <c r="G218" s="49" t="s">
        <v>265</v>
      </c>
      <c r="H218" s="49" t="s">
        <v>265</v>
      </c>
      <c r="I218" s="25">
        <v>0.9</v>
      </c>
      <c r="J218" s="26">
        <v>0.95283018867924496</v>
      </c>
      <c r="K218" s="26">
        <v>0.96190476190476204</v>
      </c>
      <c r="L218" s="27">
        <v>0.94949494949494995</v>
      </c>
      <c r="M218" s="26">
        <v>0.95279720279720304</v>
      </c>
      <c r="N218" s="28">
        <v>0.9</v>
      </c>
      <c r="O218" s="26">
        <v>0.95890947038872898</v>
      </c>
      <c r="P218" s="26">
        <v>0.95391330829357401</v>
      </c>
      <c r="Q218" s="26">
        <v>0.95809647555627697</v>
      </c>
      <c r="R218" s="26">
        <v>0.957185728576192</v>
      </c>
      <c r="S218" s="28">
        <v>0.9</v>
      </c>
      <c r="T218" s="26">
        <v>0.93282024523871598</v>
      </c>
      <c r="U218" s="26">
        <v>0.92559131052684995</v>
      </c>
      <c r="V218" s="26">
        <v>0.92252720480753603</v>
      </c>
      <c r="W218" s="26">
        <v>0.92026230965877498</v>
      </c>
      <c r="X218" s="28">
        <v>0.92</v>
      </c>
      <c r="Y218" s="28">
        <v>0.94277590190154603</v>
      </c>
      <c r="Z218" s="28">
        <v>0.956387256418187</v>
      </c>
      <c r="AA218" s="28">
        <v>0.95368699627090103</v>
      </c>
      <c r="AB218" s="28">
        <v>0.94917240787856305</v>
      </c>
      <c r="AC218" s="28">
        <v>0.92</v>
      </c>
      <c r="AD218" s="26">
        <v>0.99460000000000004</v>
      </c>
      <c r="AE218" s="26">
        <v>0.98677487225728899</v>
      </c>
      <c r="AF218" s="26">
        <v>0.99086405455832205</v>
      </c>
      <c r="AG218" s="26">
        <v>0.99181261473729299</v>
      </c>
      <c r="AH218" s="28">
        <v>0.92</v>
      </c>
      <c r="AI218" s="26">
        <v>0.96314403911244795</v>
      </c>
      <c r="AJ218" s="26">
        <v>0.97205882352941197</v>
      </c>
      <c r="AK218" s="26">
        <v>0.96461889295833003</v>
      </c>
      <c r="AL218" s="26">
        <v>0.96617735320596199</v>
      </c>
      <c r="AM218" s="25">
        <v>0.99</v>
      </c>
      <c r="AN218" s="30">
        <v>1</v>
      </c>
      <c r="AO218" s="30">
        <v>1</v>
      </c>
      <c r="AP218" s="30">
        <v>1</v>
      </c>
      <c r="AQ218" s="30">
        <v>1</v>
      </c>
      <c r="AR218" s="50">
        <v>7.19793575775068E-2</v>
      </c>
      <c r="AS218" s="34">
        <v>0.06</v>
      </c>
      <c r="AT218" s="34">
        <v>3.9215686274509803E-2</v>
      </c>
      <c r="AU218" s="34">
        <v>7.1428571428571397E-2</v>
      </c>
      <c r="AV218" s="34">
        <v>5.6390977443608999E-2</v>
      </c>
      <c r="AW218" s="4"/>
      <c r="AX218" s="8"/>
    </row>
    <row r="219" spans="1:50" s="2" customFormat="1">
      <c r="A219" s="7"/>
      <c r="B219" s="4"/>
      <c r="C219" s="45" t="s">
        <v>236</v>
      </c>
      <c r="D219" s="23" t="s">
        <v>13</v>
      </c>
      <c r="E219" s="49" t="s">
        <v>266</v>
      </c>
      <c r="F219" s="49" t="s">
        <v>266</v>
      </c>
      <c r="G219" s="49" t="s">
        <v>266</v>
      </c>
      <c r="H219" s="49" t="s">
        <v>266</v>
      </c>
      <c r="I219" s="25">
        <v>0.9</v>
      </c>
      <c r="J219" s="26">
        <v>0.94117647058823495</v>
      </c>
      <c r="K219" s="26">
        <v>0.92215568862275499</v>
      </c>
      <c r="L219" s="27">
        <v>0.93209876543209902</v>
      </c>
      <c r="M219" s="26">
        <v>0.93096008629989202</v>
      </c>
      <c r="N219" s="28">
        <v>0.9</v>
      </c>
      <c r="O219" s="26">
        <v>0.94124506637962002</v>
      </c>
      <c r="P219" s="26">
        <v>0.85597325509995204</v>
      </c>
      <c r="Q219" s="26">
        <v>0.96629089301503102</v>
      </c>
      <c r="R219" s="26">
        <v>0.89930555555555602</v>
      </c>
      <c r="S219" s="28">
        <v>0.9</v>
      </c>
      <c r="T219" s="26">
        <v>0.91002870470039499</v>
      </c>
      <c r="U219" s="26">
        <v>0.85542744081326305</v>
      </c>
      <c r="V219" s="26">
        <v>0.91611405835543802</v>
      </c>
      <c r="W219" s="26">
        <v>0.87871272246272203</v>
      </c>
      <c r="X219" s="28">
        <v>0.92</v>
      </c>
      <c r="Y219" s="28">
        <v>0.934369396294082</v>
      </c>
      <c r="Z219" s="28">
        <v>0.93970009571413404</v>
      </c>
      <c r="AA219" s="28">
        <v>0.93203961671632196</v>
      </c>
      <c r="AB219" s="28">
        <v>0.92152917505030196</v>
      </c>
      <c r="AC219" s="28">
        <v>0.92</v>
      </c>
      <c r="AD219" s="26">
        <v>0.98945956305097704</v>
      </c>
      <c r="AE219" s="26">
        <v>0.99550898203592797</v>
      </c>
      <c r="AF219" s="26">
        <v>0.92499337397296599</v>
      </c>
      <c r="AG219" s="26">
        <v>0.93688210670071004</v>
      </c>
      <c r="AH219" s="28">
        <v>0.92</v>
      </c>
      <c r="AI219" s="26">
        <v>0.96064162353302895</v>
      </c>
      <c r="AJ219" s="26">
        <v>0.96305070656691605</v>
      </c>
      <c r="AK219" s="26">
        <v>0.95244527247321797</v>
      </c>
      <c r="AL219" s="26">
        <v>0.95055926150528902</v>
      </c>
      <c r="AM219" s="25">
        <v>0.99</v>
      </c>
      <c r="AN219" s="30">
        <v>1</v>
      </c>
      <c r="AO219" s="30">
        <v>1</v>
      </c>
      <c r="AP219" s="30">
        <v>1</v>
      </c>
      <c r="AQ219" s="30">
        <v>1</v>
      </c>
      <c r="AR219" s="50">
        <v>7.19793575775068E-2</v>
      </c>
      <c r="AS219" s="34">
        <v>4.5454545454545497E-2</v>
      </c>
      <c r="AT219" s="34">
        <v>7.3170731707317097E-2</v>
      </c>
      <c r="AU219" s="34">
        <v>0</v>
      </c>
      <c r="AV219" s="34">
        <v>4.9586776859504099E-2</v>
      </c>
      <c r="AW219" s="4"/>
      <c r="AX219" s="8"/>
    </row>
    <row r="220" spans="1:50" s="2" customFormat="1">
      <c r="A220" s="7"/>
      <c r="B220" s="4"/>
      <c r="C220" s="45" t="s">
        <v>236</v>
      </c>
      <c r="D220" s="23" t="s">
        <v>13</v>
      </c>
      <c r="E220" s="49" t="s">
        <v>267</v>
      </c>
      <c r="F220" s="49" t="s">
        <v>267</v>
      </c>
      <c r="G220" s="49" t="s">
        <v>267</v>
      </c>
      <c r="H220" s="49" t="s">
        <v>267</v>
      </c>
      <c r="I220" s="25">
        <v>0.9</v>
      </c>
      <c r="J220" s="26">
        <v>0.91228070175438603</v>
      </c>
      <c r="K220" s="26">
        <v>0.91666666666666696</v>
      </c>
      <c r="L220" s="27">
        <v>0.95535714285714302</v>
      </c>
      <c r="M220" s="26">
        <v>0.94216133942161295</v>
      </c>
      <c r="N220" s="28">
        <v>0.9</v>
      </c>
      <c r="O220" s="26">
        <v>0.96095349517402795</v>
      </c>
      <c r="P220" s="26">
        <v>0.95681350795540598</v>
      </c>
      <c r="Q220" s="26">
        <v>0.962514908843074</v>
      </c>
      <c r="R220" s="26">
        <v>0.94832580518460297</v>
      </c>
      <c r="S220" s="28">
        <v>0.9</v>
      </c>
      <c r="T220" s="26">
        <v>0.91854343375255898</v>
      </c>
      <c r="U220" s="26">
        <v>0.90280333369412302</v>
      </c>
      <c r="V220" s="26">
        <v>0.92451865735218997</v>
      </c>
      <c r="W220" s="26">
        <v>0.90153672427336995</v>
      </c>
      <c r="X220" s="28">
        <v>0.92</v>
      </c>
      <c r="Y220" s="28">
        <v>0.94545062526951296</v>
      </c>
      <c r="Z220" s="28">
        <v>0.94844059852172302</v>
      </c>
      <c r="AA220" s="28">
        <v>0.94799088059276104</v>
      </c>
      <c r="AB220" s="28">
        <v>0.93777400169923497</v>
      </c>
      <c r="AC220" s="28">
        <v>0.92</v>
      </c>
      <c r="AD220" s="26">
        <v>0.99299754299754295</v>
      </c>
      <c r="AE220" s="26">
        <v>0.99537993920972601</v>
      </c>
      <c r="AF220" s="26">
        <v>0.97361563517915295</v>
      </c>
      <c r="AG220" s="26">
        <v>0.94779795148692403</v>
      </c>
      <c r="AH220" s="28">
        <v>0.92</v>
      </c>
      <c r="AI220" s="26">
        <v>0.96122342279539896</v>
      </c>
      <c r="AJ220" s="26">
        <v>0.96516975517381298</v>
      </c>
      <c r="AK220" s="26">
        <v>0.96144597005662902</v>
      </c>
      <c r="AL220" s="26">
        <v>0.95540575207365397</v>
      </c>
      <c r="AM220" s="25">
        <v>0.99</v>
      </c>
      <c r="AN220" s="30">
        <v>1</v>
      </c>
      <c r="AO220" s="30">
        <v>1</v>
      </c>
      <c r="AP220" s="30">
        <v>1</v>
      </c>
      <c r="AQ220" s="30">
        <v>1</v>
      </c>
      <c r="AR220" s="50">
        <v>7.19793575775068E-2</v>
      </c>
      <c r="AS220" s="34">
        <v>2.8571428571428598E-2</v>
      </c>
      <c r="AT220" s="34">
        <v>3.8961038961039002E-2</v>
      </c>
      <c r="AU220" s="34">
        <v>6.0606060606060601E-2</v>
      </c>
      <c r="AV220" s="34">
        <v>4.5092838196286497E-2</v>
      </c>
      <c r="AW220" s="4"/>
      <c r="AX220" s="8"/>
    </row>
    <row r="221" spans="1:50" s="2" customFormat="1">
      <c r="A221" s="7"/>
      <c r="B221" s="4"/>
      <c r="C221" s="45" t="s">
        <v>236</v>
      </c>
      <c r="D221" s="23" t="s">
        <v>13</v>
      </c>
      <c r="E221" s="49" t="s">
        <v>268</v>
      </c>
      <c r="F221" s="49" t="s">
        <v>268</v>
      </c>
      <c r="G221" s="49" t="s">
        <v>268</v>
      </c>
      <c r="H221" s="49" t="s">
        <v>268</v>
      </c>
      <c r="I221" s="25">
        <v>0.9</v>
      </c>
      <c r="J221" s="26">
        <v>1</v>
      </c>
      <c r="K221" s="26">
        <v>0.987341772151899</v>
      </c>
      <c r="L221" s="27">
        <v>0.95945945945945899</v>
      </c>
      <c r="M221" s="26">
        <v>0.97411764705882398</v>
      </c>
      <c r="N221" s="28">
        <v>0.9</v>
      </c>
      <c r="O221" s="26">
        <v>0.96538187009279097</v>
      </c>
      <c r="P221" s="26">
        <v>0.90397659263199903</v>
      </c>
      <c r="Q221" s="26">
        <v>0.97505376344086003</v>
      </c>
      <c r="R221" s="26">
        <v>0.94881783584549495</v>
      </c>
      <c r="S221" s="28">
        <v>0.9</v>
      </c>
      <c r="T221" s="26">
        <v>0.93790149892933605</v>
      </c>
      <c r="U221" s="26">
        <v>0.92592100013299605</v>
      </c>
      <c r="V221" s="26">
        <v>0.93784946236559097</v>
      </c>
      <c r="W221" s="26">
        <v>0.92445536543705598</v>
      </c>
      <c r="X221" s="28">
        <v>0.92</v>
      </c>
      <c r="Y221" s="28">
        <v>0.92759948652118096</v>
      </c>
      <c r="Z221" s="28">
        <v>0.94564260563380298</v>
      </c>
      <c r="AA221" s="28">
        <v>0.94913294797687897</v>
      </c>
      <c r="AB221" s="28">
        <v>0.93729877656149396</v>
      </c>
      <c r="AC221" s="28">
        <v>0.92</v>
      </c>
      <c r="AD221" s="26">
        <v>0.99366724237190596</v>
      </c>
      <c r="AE221" s="26">
        <v>0.98597868760516005</v>
      </c>
      <c r="AF221" s="26">
        <v>0.99015009380862995</v>
      </c>
      <c r="AG221" s="26">
        <v>0.98810843494910805</v>
      </c>
      <c r="AH221" s="28">
        <v>0.92</v>
      </c>
      <c r="AI221" s="26">
        <v>0.95304768923044503</v>
      </c>
      <c r="AJ221" s="26">
        <v>0.96551438282350999</v>
      </c>
      <c r="AK221" s="26">
        <v>0.96310480104614204</v>
      </c>
      <c r="AL221" s="26">
        <v>0.957214750691331</v>
      </c>
      <c r="AM221" s="25">
        <v>0.99</v>
      </c>
      <c r="AN221" s="30">
        <v>1</v>
      </c>
      <c r="AO221" s="30">
        <v>1</v>
      </c>
      <c r="AP221" s="30">
        <v>1</v>
      </c>
      <c r="AQ221" s="30">
        <v>1</v>
      </c>
      <c r="AR221" s="50">
        <v>7.19793575775068E-2</v>
      </c>
      <c r="AS221" s="34">
        <v>5.1282051282051301E-2</v>
      </c>
      <c r="AT221" s="34">
        <v>5.8823529411764698E-2</v>
      </c>
      <c r="AU221" s="34">
        <v>3.8461538461538498E-2</v>
      </c>
      <c r="AV221" s="34">
        <v>5.5248618784530398E-2</v>
      </c>
      <c r="AW221" s="4"/>
      <c r="AX221" s="8"/>
    </row>
    <row r="222" spans="1:50" s="2" customFormat="1">
      <c r="A222" s="7"/>
      <c r="B222" s="4"/>
      <c r="C222" s="45" t="s">
        <v>236</v>
      </c>
      <c r="D222" s="23" t="s">
        <v>13</v>
      </c>
      <c r="E222" s="49" t="s">
        <v>269</v>
      </c>
      <c r="F222" s="49" t="s">
        <v>269</v>
      </c>
      <c r="G222" s="49" t="s">
        <v>269</v>
      </c>
      <c r="H222" s="49" t="s">
        <v>269</v>
      </c>
      <c r="I222" s="25">
        <v>0.9</v>
      </c>
      <c r="J222" s="26">
        <v>0.95098039215686303</v>
      </c>
      <c r="K222" s="26">
        <v>0.97979797979798</v>
      </c>
      <c r="L222" s="27">
        <v>0.98936170212765995</v>
      </c>
      <c r="M222" s="26">
        <v>0.97623400365630697</v>
      </c>
      <c r="N222" s="28">
        <v>0.9</v>
      </c>
      <c r="O222" s="26">
        <v>0.89665246500304296</v>
      </c>
      <c r="P222" s="26">
        <v>0.65696946344282803</v>
      </c>
      <c r="Q222" s="26">
        <v>0.89790048892723595</v>
      </c>
      <c r="R222" s="26">
        <v>0.82629568779738405</v>
      </c>
      <c r="S222" s="28">
        <v>0.9</v>
      </c>
      <c r="T222" s="26">
        <v>0.81959829580036503</v>
      </c>
      <c r="U222" s="26">
        <v>0.82872555630478795</v>
      </c>
      <c r="V222" s="26">
        <v>0.90106413574920896</v>
      </c>
      <c r="W222" s="26">
        <v>0.83227004075362199</v>
      </c>
      <c r="X222" s="28">
        <v>0.92</v>
      </c>
      <c r="Y222" s="28">
        <v>0.89379474940334103</v>
      </c>
      <c r="Z222" s="28">
        <v>0.94086687306501504</v>
      </c>
      <c r="AA222" s="28">
        <v>0.91649396562233298</v>
      </c>
      <c r="AB222" s="28">
        <v>0.92532671431561997</v>
      </c>
      <c r="AC222" s="28">
        <v>0.92</v>
      </c>
      <c r="AD222" s="26">
        <v>0.96228868660598199</v>
      </c>
      <c r="AE222" s="26">
        <v>0.98767334360554704</v>
      </c>
      <c r="AF222" s="26">
        <v>0.98500936914428505</v>
      </c>
      <c r="AG222" s="26">
        <v>0.98071759824261695</v>
      </c>
      <c r="AH222" s="28">
        <v>0.92</v>
      </c>
      <c r="AI222" s="26">
        <v>0.90852922377671996</v>
      </c>
      <c r="AJ222" s="26">
        <v>0.95208123033073999</v>
      </c>
      <c r="AK222" s="26">
        <v>0.94279870686811396</v>
      </c>
      <c r="AL222" s="26">
        <v>0.94267856920529403</v>
      </c>
      <c r="AM222" s="25">
        <v>0.99</v>
      </c>
      <c r="AN222" s="30">
        <v>1</v>
      </c>
      <c r="AO222" s="30">
        <v>1</v>
      </c>
      <c r="AP222" s="30">
        <v>1</v>
      </c>
      <c r="AQ222" s="30">
        <v>1</v>
      </c>
      <c r="AR222" s="50">
        <v>7.19793575775068E-2</v>
      </c>
      <c r="AS222" s="34">
        <v>4.5454545454545497E-2</v>
      </c>
      <c r="AT222" s="34">
        <v>1.8181818181818198E-2</v>
      </c>
      <c r="AU222" s="34">
        <v>2.0833333333333301E-2</v>
      </c>
      <c r="AV222" s="34">
        <v>5.4945054945054903E-2</v>
      </c>
      <c r="AW222" s="4"/>
      <c r="AX222" s="8"/>
    </row>
    <row r="223" spans="1:50">
      <c r="A223" s="7"/>
      <c r="C223" s="45" t="s">
        <v>236</v>
      </c>
      <c r="D223" s="23" t="s">
        <v>13</v>
      </c>
      <c r="E223" s="49" t="s">
        <v>270</v>
      </c>
      <c r="F223" s="49" t="s">
        <v>270</v>
      </c>
      <c r="G223" s="49" t="s">
        <v>270</v>
      </c>
      <c r="H223" s="49" t="s">
        <v>270</v>
      </c>
      <c r="I223" s="25">
        <v>0.9</v>
      </c>
      <c r="J223" s="26">
        <v>0.91397849462365599</v>
      </c>
      <c r="K223" s="26">
        <v>0.94</v>
      </c>
      <c r="L223" s="27">
        <v>0.89655172413793105</v>
      </c>
      <c r="M223" s="26">
        <v>0.91651542649727802</v>
      </c>
      <c r="N223" s="28">
        <v>0.9</v>
      </c>
      <c r="O223" s="26">
        <v>0.94160454384096604</v>
      </c>
      <c r="P223" s="26">
        <v>0.95983617386708897</v>
      </c>
      <c r="Q223" s="26">
        <v>0.97472677595628399</v>
      </c>
      <c r="R223" s="26">
        <v>0.96113889957676002</v>
      </c>
      <c r="S223" s="28">
        <v>0.9</v>
      </c>
      <c r="T223" s="26">
        <v>0.93290734824281196</v>
      </c>
      <c r="U223" s="26">
        <v>0.93988637864975599</v>
      </c>
      <c r="V223" s="26">
        <v>0.94603825136611996</v>
      </c>
      <c r="W223" s="26">
        <v>0.94062805220943002</v>
      </c>
      <c r="X223" s="28">
        <v>0.92</v>
      </c>
      <c r="Y223" s="28">
        <v>0.93780147245493795</v>
      </c>
      <c r="Z223" s="28">
        <v>0.94626998223801095</v>
      </c>
      <c r="AA223" s="28">
        <v>0.93988269794721402</v>
      </c>
      <c r="AB223" s="28">
        <v>0.94419607843137299</v>
      </c>
      <c r="AC223" s="28">
        <v>0.92</v>
      </c>
      <c r="AD223" s="26">
        <v>0.99650174912543699</v>
      </c>
      <c r="AE223" s="26">
        <v>0.99617021276595696</v>
      </c>
      <c r="AF223" s="26">
        <v>0.99676113360323904</v>
      </c>
      <c r="AG223" s="26">
        <v>0.99624923453766101</v>
      </c>
      <c r="AH223" s="28">
        <v>0.92</v>
      </c>
      <c r="AI223" s="26">
        <v>0.96104031752663499</v>
      </c>
      <c r="AJ223" s="26">
        <v>0.97059797912870605</v>
      </c>
      <c r="AK223" s="26">
        <v>0.95888720091150803</v>
      </c>
      <c r="AL223" s="26">
        <v>0.96630464112250403</v>
      </c>
      <c r="AM223" s="25">
        <v>0.99</v>
      </c>
      <c r="AN223" s="30">
        <v>1</v>
      </c>
      <c r="AO223" s="30">
        <v>1</v>
      </c>
      <c r="AP223" s="30">
        <v>1</v>
      </c>
      <c r="AQ223" s="30">
        <v>1</v>
      </c>
      <c r="AR223" s="50">
        <v>7.19793575775068E-2</v>
      </c>
      <c r="AS223" s="34">
        <v>0.12903225806451599</v>
      </c>
      <c r="AT223" s="34">
        <v>8.3333333333333301E-2</v>
      </c>
      <c r="AU223" s="34">
        <v>0</v>
      </c>
      <c r="AV223" s="34">
        <v>4.4198895027624301E-2</v>
      </c>
      <c r="AW223" s="10"/>
      <c r="AX223" s="8"/>
    </row>
    <row r="224" spans="1:50">
      <c r="A224" s="7"/>
      <c r="C224" s="45" t="s">
        <v>236</v>
      </c>
      <c r="D224" s="23" t="s">
        <v>13</v>
      </c>
      <c r="E224" s="49" t="s">
        <v>271</v>
      </c>
      <c r="F224" s="49" t="s">
        <v>271</v>
      </c>
      <c r="G224" s="49" t="s">
        <v>271</v>
      </c>
      <c r="H224" s="49" t="s">
        <v>271</v>
      </c>
      <c r="I224" s="25">
        <v>0.9</v>
      </c>
      <c r="J224" s="26">
        <v>0.93</v>
      </c>
      <c r="K224" s="26">
        <v>0.93203883495145601</v>
      </c>
      <c r="L224" s="27">
        <v>0.94623655913978499</v>
      </c>
      <c r="M224" s="26">
        <v>0.93284936479128899</v>
      </c>
      <c r="N224" s="28">
        <v>0.9</v>
      </c>
      <c r="O224" s="26">
        <v>0.95418354518787496</v>
      </c>
      <c r="P224" s="26">
        <v>0.94446224500694198</v>
      </c>
      <c r="Q224" s="26">
        <v>0.94203165255796795</v>
      </c>
      <c r="R224" s="26">
        <v>0.95080980915938695</v>
      </c>
      <c r="S224" s="28">
        <v>0.9</v>
      </c>
      <c r="T224" s="26">
        <v>0.918983098198072</v>
      </c>
      <c r="U224" s="26">
        <v>0.89287621488838997</v>
      </c>
      <c r="V224" s="26">
        <v>0.91461170408538806</v>
      </c>
      <c r="W224" s="26">
        <v>0.89745626067913298</v>
      </c>
      <c r="X224" s="28">
        <v>0.92</v>
      </c>
      <c r="Y224" s="28">
        <v>0.93621197252207999</v>
      </c>
      <c r="Z224" s="28">
        <v>0.93866943866943897</v>
      </c>
      <c r="AA224" s="28">
        <v>0.936923494302767</v>
      </c>
      <c r="AB224" s="28">
        <v>0.93591635127333395</v>
      </c>
      <c r="AC224" s="28">
        <v>0.92</v>
      </c>
      <c r="AD224" s="26">
        <v>0.99163179916318001</v>
      </c>
      <c r="AE224" s="26">
        <v>0.98936170212765995</v>
      </c>
      <c r="AF224" s="26">
        <v>0.99001426533523496</v>
      </c>
      <c r="AG224" s="26">
        <v>0.98549900483366504</v>
      </c>
      <c r="AH224" s="28">
        <v>0.92</v>
      </c>
      <c r="AI224" s="26">
        <v>0.95642239268810203</v>
      </c>
      <c r="AJ224" s="26">
        <v>0.96498645702583097</v>
      </c>
      <c r="AK224" s="26">
        <v>0.95627049820396703</v>
      </c>
      <c r="AL224" s="26">
        <v>0.96025351957765104</v>
      </c>
      <c r="AM224" s="25">
        <v>0.99</v>
      </c>
      <c r="AN224" s="30">
        <v>1</v>
      </c>
      <c r="AO224" s="30">
        <v>1</v>
      </c>
      <c r="AP224" s="30">
        <v>1</v>
      </c>
      <c r="AQ224" s="30">
        <v>1</v>
      </c>
      <c r="AR224" s="50">
        <v>7.19793575775068E-2</v>
      </c>
      <c r="AS224" s="34">
        <v>3.03030303030303E-2</v>
      </c>
      <c r="AT224" s="34">
        <v>7.8431372549019607E-2</v>
      </c>
      <c r="AU224" s="34">
        <v>6.0606060606060601E-2</v>
      </c>
      <c r="AV224" s="34">
        <v>3.1818181818181801E-2</v>
      </c>
      <c r="AW224" s="10"/>
      <c r="AX224" s="8"/>
    </row>
    <row r="225" spans="1:50">
      <c r="A225" s="7"/>
      <c r="C225" s="45" t="s">
        <v>236</v>
      </c>
      <c r="D225" s="23" t="s">
        <v>13</v>
      </c>
      <c r="E225" s="49" t="s">
        <v>272</v>
      </c>
      <c r="F225" s="49" t="s">
        <v>272</v>
      </c>
      <c r="G225" s="49" t="s">
        <v>272</v>
      </c>
      <c r="H225" s="49" t="s">
        <v>272</v>
      </c>
      <c r="I225" s="25">
        <v>0.9</v>
      </c>
      <c r="J225" s="26">
        <v>0.95394736842105299</v>
      </c>
      <c r="K225" s="26">
        <v>0.97945205479452102</v>
      </c>
      <c r="L225" s="27">
        <v>0.96350364963503699</v>
      </c>
      <c r="M225" s="26">
        <v>0.96947496947496903</v>
      </c>
      <c r="N225" s="28">
        <v>0.9</v>
      </c>
      <c r="O225" s="26">
        <v>0.94518599562363204</v>
      </c>
      <c r="P225" s="26">
        <v>0.75641561481233799</v>
      </c>
      <c r="Q225" s="26">
        <v>0.94787057522123896</v>
      </c>
      <c r="R225" s="26">
        <v>0.89873487147610498</v>
      </c>
      <c r="S225" s="28">
        <v>0.9</v>
      </c>
      <c r="T225" s="26">
        <v>0.90842450765864302</v>
      </c>
      <c r="U225" s="26">
        <v>0.87001588230377003</v>
      </c>
      <c r="V225" s="26">
        <v>0.90763274336283195</v>
      </c>
      <c r="W225" s="26">
        <v>0.89273830853047598</v>
      </c>
      <c r="X225" s="28">
        <v>0.92</v>
      </c>
      <c r="Y225" s="28">
        <v>0.93649666145759303</v>
      </c>
      <c r="Z225" s="28">
        <v>0.94113235845519305</v>
      </c>
      <c r="AA225" s="28">
        <v>0.93492554631599301</v>
      </c>
      <c r="AB225" s="28">
        <v>0.93188875853978304</v>
      </c>
      <c r="AC225" s="28">
        <v>0.92</v>
      </c>
      <c r="AD225" s="26">
        <v>0.98939929328621901</v>
      </c>
      <c r="AE225" s="26">
        <v>0.99195171026156903</v>
      </c>
      <c r="AF225" s="26">
        <v>0.99824561403508805</v>
      </c>
      <c r="AG225" s="26">
        <v>0.99489948994899502</v>
      </c>
      <c r="AH225" s="28">
        <v>0.92</v>
      </c>
      <c r="AI225" s="26">
        <v>0.95321095246925003</v>
      </c>
      <c r="AJ225" s="26">
        <v>0.95557002604688401</v>
      </c>
      <c r="AK225" s="26">
        <v>0.94998577524893302</v>
      </c>
      <c r="AL225" s="26">
        <v>0.95239162320730097</v>
      </c>
      <c r="AM225" s="25">
        <v>0.99</v>
      </c>
      <c r="AN225" s="30">
        <v>1</v>
      </c>
      <c r="AO225" s="30">
        <v>1</v>
      </c>
      <c r="AP225" s="30">
        <v>1</v>
      </c>
      <c r="AQ225" s="30">
        <v>1</v>
      </c>
      <c r="AR225" s="50">
        <v>7.19793575775068E-2</v>
      </c>
      <c r="AS225" s="34">
        <v>2.0833333333333301E-2</v>
      </c>
      <c r="AT225" s="34">
        <v>0</v>
      </c>
      <c r="AU225" s="34">
        <v>3.3333333333333298E-2</v>
      </c>
      <c r="AV225" s="34">
        <v>3.4090909090909102E-2</v>
      </c>
      <c r="AW225" s="10"/>
      <c r="AX225" s="8"/>
    </row>
    <row r="226" spans="1:50">
      <c r="A226" s="7"/>
      <c r="C226" s="45" t="s">
        <v>236</v>
      </c>
      <c r="D226" s="23" t="s">
        <v>13</v>
      </c>
      <c r="E226" s="49" t="s">
        <v>273</v>
      </c>
      <c r="F226" s="49" t="s">
        <v>273</v>
      </c>
      <c r="G226" s="49" t="s">
        <v>273</v>
      </c>
      <c r="H226" s="49" t="s">
        <v>273</v>
      </c>
      <c r="I226" s="25">
        <v>0.9</v>
      </c>
      <c r="J226" s="26">
        <v>1</v>
      </c>
      <c r="K226" s="26">
        <v>0.952380952380952</v>
      </c>
      <c r="L226" s="27">
        <v>1</v>
      </c>
      <c r="M226" s="26">
        <v>0.98198198198198205</v>
      </c>
      <c r="N226" s="28">
        <v>0.9</v>
      </c>
      <c r="O226" s="26">
        <v>0.93287566742944295</v>
      </c>
      <c r="P226" s="26">
        <v>0.99463647199046501</v>
      </c>
      <c r="Q226" s="26">
        <v>0.98878504672897205</v>
      </c>
      <c r="R226" s="26">
        <v>0.97866700328199996</v>
      </c>
      <c r="S226" s="28">
        <v>0.9</v>
      </c>
      <c r="T226" s="26">
        <v>0.90617848970251702</v>
      </c>
      <c r="U226" s="26">
        <v>0.95172824791418398</v>
      </c>
      <c r="V226" s="26">
        <v>0.96822429906542096</v>
      </c>
      <c r="W226" s="26">
        <v>0.93297147185054297</v>
      </c>
      <c r="X226" s="28">
        <v>0.92</v>
      </c>
      <c r="Y226" s="28">
        <v>0.95692307692307699</v>
      </c>
      <c r="Z226" s="28">
        <v>0.96783625730994105</v>
      </c>
      <c r="AA226" s="28">
        <v>0.94309507286606498</v>
      </c>
      <c r="AB226" s="28">
        <v>0.94961304133047897</v>
      </c>
      <c r="AC226" s="28">
        <v>0.92</v>
      </c>
      <c r="AD226" s="26">
        <v>1</v>
      </c>
      <c r="AE226" s="26">
        <v>1</v>
      </c>
      <c r="AF226" s="26">
        <v>0.9</v>
      </c>
      <c r="AG226" s="26">
        <v>0.98102981029810299</v>
      </c>
      <c r="AH226" s="28">
        <v>0.92</v>
      </c>
      <c r="AI226" s="26">
        <v>0.97331583552056</v>
      </c>
      <c r="AJ226" s="26">
        <v>0.98113905325443795</v>
      </c>
      <c r="AK226" s="26">
        <v>0.96455595380326598</v>
      </c>
      <c r="AL226" s="26">
        <v>0.97034655234012102</v>
      </c>
      <c r="AM226" s="25">
        <v>0.99</v>
      </c>
      <c r="AN226" s="30">
        <v>1</v>
      </c>
      <c r="AO226" s="30">
        <v>1</v>
      </c>
      <c r="AP226" s="30">
        <v>1</v>
      </c>
      <c r="AQ226" s="30">
        <v>1</v>
      </c>
      <c r="AR226" s="50">
        <v>7.19793575775068E-2</v>
      </c>
      <c r="AS226" s="34">
        <v>0</v>
      </c>
      <c r="AT226" s="34">
        <v>0</v>
      </c>
      <c r="AU226" s="34">
        <v>0.25</v>
      </c>
      <c r="AV226" s="34">
        <v>3.2258064516128997E-2</v>
      </c>
      <c r="AW226" s="10"/>
      <c r="AX226" s="8"/>
    </row>
    <row r="227" spans="1:50">
      <c r="A227" s="7"/>
      <c r="C227" s="45" t="s">
        <v>236</v>
      </c>
      <c r="D227" s="23" t="s">
        <v>13</v>
      </c>
      <c r="E227" s="49" t="s">
        <v>274</v>
      </c>
      <c r="F227" s="49" t="s">
        <v>274</v>
      </c>
      <c r="G227" s="49" t="s">
        <v>274</v>
      </c>
      <c r="H227" s="49" t="s">
        <v>274</v>
      </c>
      <c r="I227" s="25">
        <v>0.9</v>
      </c>
      <c r="J227" s="26">
        <v>0.94791666666666696</v>
      </c>
      <c r="K227" s="26">
        <v>0.967741935483871</v>
      </c>
      <c r="L227" s="27">
        <v>0.95121951219512202</v>
      </c>
      <c r="M227" s="26">
        <v>0.96153846153846201</v>
      </c>
      <c r="N227" s="28">
        <v>0.9</v>
      </c>
      <c r="O227" s="26">
        <v>0.87445699391833198</v>
      </c>
      <c r="P227" s="26">
        <v>0.88948485864342397</v>
      </c>
      <c r="Q227" s="26">
        <v>0.93379594898724705</v>
      </c>
      <c r="R227" s="26">
        <v>0.85979439587766304</v>
      </c>
      <c r="S227" s="28">
        <v>0.9</v>
      </c>
      <c r="T227" s="26">
        <v>0.82536924413553403</v>
      </c>
      <c r="U227" s="26">
        <v>0.73673036093418298</v>
      </c>
      <c r="V227" s="26">
        <v>0.90885221305326302</v>
      </c>
      <c r="W227" s="26">
        <v>0.82321121849924395</v>
      </c>
      <c r="X227" s="28">
        <v>0.92</v>
      </c>
      <c r="Y227" s="28">
        <v>0.91855602025093597</v>
      </c>
      <c r="Z227" s="28">
        <v>0.95298334387518402</v>
      </c>
      <c r="AA227" s="28">
        <v>0.95158348532581705</v>
      </c>
      <c r="AB227" s="28">
        <v>0.95091298036519201</v>
      </c>
      <c r="AC227" s="28">
        <v>0.92</v>
      </c>
      <c r="AD227" s="26">
        <v>0.99866488651535401</v>
      </c>
      <c r="AE227" s="26">
        <v>0.99556191839656405</v>
      </c>
      <c r="AF227" s="26">
        <v>0.99907321594068599</v>
      </c>
      <c r="AG227" s="26">
        <v>0.99354749184763802</v>
      </c>
      <c r="AH227" s="28">
        <v>0.92</v>
      </c>
      <c r="AI227" s="26">
        <v>0.93283256179578999</v>
      </c>
      <c r="AJ227" s="26">
        <v>0.95698846210018995</v>
      </c>
      <c r="AK227" s="26">
        <v>0.966388033435988</v>
      </c>
      <c r="AL227" s="26">
        <v>0.96295500912702703</v>
      </c>
      <c r="AM227" s="25">
        <v>0.99</v>
      </c>
      <c r="AN227" s="30">
        <v>1</v>
      </c>
      <c r="AO227" s="30">
        <v>1</v>
      </c>
      <c r="AP227" s="30">
        <v>1</v>
      </c>
      <c r="AQ227" s="30">
        <v>1</v>
      </c>
      <c r="AR227" s="50">
        <v>7.19793575775068E-2</v>
      </c>
      <c r="AS227" s="34">
        <v>0</v>
      </c>
      <c r="AT227" s="34">
        <v>0</v>
      </c>
      <c r="AU227" s="34">
        <v>0</v>
      </c>
      <c r="AV227" s="34">
        <v>4.3689320388349502E-2</v>
      </c>
      <c r="AW227" s="10"/>
      <c r="AX227" s="8"/>
    </row>
    <row r="228" spans="1:50">
      <c r="A228" s="7"/>
      <c r="C228" s="45" t="s">
        <v>236</v>
      </c>
      <c r="D228" s="23" t="s">
        <v>13</v>
      </c>
      <c r="E228" s="49" t="s">
        <v>275</v>
      </c>
      <c r="F228" s="49" t="s">
        <v>275</v>
      </c>
      <c r="G228" s="49" t="s">
        <v>275</v>
      </c>
      <c r="H228" s="49" t="s">
        <v>275</v>
      </c>
      <c r="I228" s="25">
        <v>0.9</v>
      </c>
      <c r="J228" s="26">
        <v>0</v>
      </c>
      <c r="K228" s="26">
        <v>0</v>
      </c>
      <c r="L228" s="27">
        <v>0</v>
      </c>
      <c r="M228" s="26">
        <v>0</v>
      </c>
      <c r="N228" s="28">
        <v>0.9</v>
      </c>
      <c r="O228" s="26">
        <v>0</v>
      </c>
      <c r="P228" s="26">
        <v>0</v>
      </c>
      <c r="Q228" s="26">
        <v>0</v>
      </c>
      <c r="R228" s="26">
        <v>0</v>
      </c>
      <c r="S228" s="28">
        <v>0.9</v>
      </c>
      <c r="T228" s="26">
        <v>0</v>
      </c>
      <c r="U228" s="26">
        <v>0</v>
      </c>
      <c r="V228" s="26">
        <v>0</v>
      </c>
      <c r="W228" s="26">
        <v>0</v>
      </c>
      <c r="X228" s="28">
        <v>0.92</v>
      </c>
      <c r="Y228" s="28">
        <v>0</v>
      </c>
      <c r="Z228" s="28">
        <v>0</v>
      </c>
      <c r="AA228" s="28">
        <v>0</v>
      </c>
      <c r="AB228" s="28">
        <v>0</v>
      </c>
      <c r="AC228" s="28">
        <v>0.92</v>
      </c>
      <c r="AD228" s="26">
        <v>0.99838449111470096</v>
      </c>
      <c r="AE228" s="26">
        <v>0.99792960662525898</v>
      </c>
      <c r="AF228" s="26">
        <v>0.98458904109588996</v>
      </c>
      <c r="AG228" s="26">
        <v>0.991622711759231</v>
      </c>
      <c r="AH228" s="28">
        <v>0.92</v>
      </c>
      <c r="AI228" s="26">
        <v>0</v>
      </c>
      <c r="AJ228" s="26">
        <v>0</v>
      </c>
      <c r="AK228" s="26">
        <v>0</v>
      </c>
      <c r="AL228" s="26">
        <v>0</v>
      </c>
      <c r="AM228" s="25">
        <v>0.99</v>
      </c>
      <c r="AN228" s="30">
        <v>0</v>
      </c>
      <c r="AO228" s="30">
        <v>0</v>
      </c>
      <c r="AP228" s="30">
        <v>0</v>
      </c>
      <c r="AQ228" s="30">
        <v>0</v>
      </c>
      <c r="AR228" s="50">
        <v>7.19793575775068E-2</v>
      </c>
      <c r="AS228" s="34">
        <v>0</v>
      </c>
      <c r="AT228" s="34">
        <v>0</v>
      </c>
      <c r="AU228" s="34">
        <v>0</v>
      </c>
      <c r="AV228" s="34">
        <v>0</v>
      </c>
      <c r="AW228" s="10"/>
      <c r="AX228" s="8"/>
    </row>
    <row r="229" spans="1:50">
      <c r="A229" s="7"/>
      <c r="C229" s="45" t="s">
        <v>236</v>
      </c>
      <c r="D229" s="23" t="s">
        <v>13</v>
      </c>
      <c r="E229" s="49" t="s">
        <v>276</v>
      </c>
      <c r="F229" s="49" t="s">
        <v>276</v>
      </c>
      <c r="G229" s="49" t="s">
        <v>276</v>
      </c>
      <c r="H229" s="49" t="s">
        <v>276</v>
      </c>
      <c r="I229" s="25">
        <v>0.9</v>
      </c>
      <c r="J229" s="26">
        <v>0.99264705882352899</v>
      </c>
      <c r="K229" s="26">
        <v>0.965034965034965</v>
      </c>
      <c r="L229" s="27">
        <v>0.98496240601503804</v>
      </c>
      <c r="M229" s="26">
        <v>0.96569250317662003</v>
      </c>
      <c r="N229" s="28">
        <v>0.9</v>
      </c>
      <c r="O229" s="26">
        <v>0.94179146651596501</v>
      </c>
      <c r="P229" s="26">
        <v>0.88407596785975195</v>
      </c>
      <c r="Q229" s="26">
        <v>0.970926058865757</v>
      </c>
      <c r="R229" s="26">
        <v>0.91105230034371998</v>
      </c>
      <c r="S229" s="28">
        <v>0.9</v>
      </c>
      <c r="T229" s="26">
        <v>0.92917019873787299</v>
      </c>
      <c r="U229" s="26">
        <v>0.88137326515704895</v>
      </c>
      <c r="V229" s="26">
        <v>0.93730557549653004</v>
      </c>
      <c r="W229" s="26">
        <v>0.89930449095515497</v>
      </c>
      <c r="X229" s="28">
        <v>0.92</v>
      </c>
      <c r="Y229" s="28">
        <v>0.95039090262970904</v>
      </c>
      <c r="Z229" s="28">
        <v>0.95273227460297605</v>
      </c>
      <c r="AA229" s="28">
        <v>0.93953764078245405</v>
      </c>
      <c r="AB229" s="28">
        <v>0.94596709290888004</v>
      </c>
      <c r="AC229" s="28">
        <v>0.92</v>
      </c>
      <c r="AD229" s="26">
        <v>0.99875598086124395</v>
      </c>
      <c r="AE229" s="26">
        <v>0.99676033523487595</v>
      </c>
      <c r="AF229" s="26">
        <v>0.99641300148998402</v>
      </c>
      <c r="AG229" s="26">
        <v>0.99040383404927301</v>
      </c>
      <c r="AH229" s="28">
        <v>0.92</v>
      </c>
      <c r="AI229" s="26">
        <v>0.96822609877662003</v>
      </c>
      <c r="AJ229" s="26">
        <v>0.97302904564315396</v>
      </c>
      <c r="AK229" s="26">
        <v>0.95914944270100599</v>
      </c>
      <c r="AL229" s="26">
        <v>0.96615347133071605</v>
      </c>
      <c r="AM229" s="25">
        <v>0.99</v>
      </c>
      <c r="AN229" s="30">
        <v>1</v>
      </c>
      <c r="AO229" s="30">
        <v>1</v>
      </c>
      <c r="AP229" s="30">
        <v>1</v>
      </c>
      <c r="AQ229" s="30">
        <v>1</v>
      </c>
      <c r="AR229" s="50">
        <v>7.19793575775068E-2</v>
      </c>
      <c r="AS229" s="34">
        <v>6.9767441860465101E-2</v>
      </c>
      <c r="AT229" s="34">
        <v>4.7619047619047603E-2</v>
      </c>
      <c r="AU229" s="34">
        <v>0.14705882352941199</v>
      </c>
      <c r="AV229" s="34">
        <v>5.3811659192825101E-2</v>
      </c>
      <c r="AW229" s="10"/>
      <c r="AX229" s="8"/>
    </row>
    <row r="230" spans="1:50">
      <c r="A230" s="7"/>
      <c r="C230" s="45" t="s">
        <v>236</v>
      </c>
      <c r="D230" s="23" t="s">
        <v>13</v>
      </c>
      <c r="E230" s="49" t="s">
        <v>277</v>
      </c>
      <c r="F230" s="49" t="s">
        <v>277</v>
      </c>
      <c r="G230" s="49" t="s">
        <v>277</v>
      </c>
      <c r="H230" s="49" t="s">
        <v>277</v>
      </c>
      <c r="I230" s="25">
        <v>0.9</v>
      </c>
      <c r="J230" s="26">
        <v>0.94117647058823495</v>
      </c>
      <c r="K230" s="26">
        <v>0.94871794871794901</v>
      </c>
      <c r="L230" s="27">
        <v>0.94736842105263197</v>
      </c>
      <c r="M230" s="26">
        <v>0.93607305936073104</v>
      </c>
      <c r="N230" s="28">
        <v>0.9</v>
      </c>
      <c r="O230" s="26">
        <v>0.96365586272640602</v>
      </c>
      <c r="P230" s="26">
        <v>0.95728429985855701</v>
      </c>
      <c r="Q230" s="26">
        <v>0.96345955503167802</v>
      </c>
      <c r="R230" s="26">
        <v>0.95234523857785702</v>
      </c>
      <c r="S230" s="28">
        <v>0.9</v>
      </c>
      <c r="T230" s="26">
        <v>0.92361773117254498</v>
      </c>
      <c r="U230" s="26">
        <v>0.92560113154172596</v>
      </c>
      <c r="V230" s="26">
        <v>0.94401060851628105</v>
      </c>
      <c r="W230" s="26">
        <v>0.91671058499209501</v>
      </c>
      <c r="X230" s="28">
        <v>0.92</v>
      </c>
      <c r="Y230" s="28">
        <v>0.93897763578274795</v>
      </c>
      <c r="Z230" s="28">
        <v>0.94028571428571395</v>
      </c>
      <c r="AA230" s="28">
        <v>0.94807713023807005</v>
      </c>
      <c r="AB230" s="28">
        <v>0.93879692541777104</v>
      </c>
      <c r="AC230" s="28">
        <v>0.92</v>
      </c>
      <c r="AD230" s="26">
        <v>0.99271324474925005</v>
      </c>
      <c r="AE230" s="26">
        <v>0.99485707451261796</v>
      </c>
      <c r="AF230" s="26">
        <v>0.99810166631512298</v>
      </c>
      <c r="AG230" s="26">
        <v>0.99090414190445897</v>
      </c>
      <c r="AH230" s="28">
        <v>0.92</v>
      </c>
      <c r="AI230" s="26">
        <v>0.95823665893271504</v>
      </c>
      <c r="AJ230" s="26">
        <v>0.96484352814221597</v>
      </c>
      <c r="AK230" s="26">
        <v>0.962801691963175</v>
      </c>
      <c r="AL230" s="26">
        <v>0.96120211707952796</v>
      </c>
      <c r="AM230" s="25">
        <v>0.99</v>
      </c>
      <c r="AN230" s="30">
        <v>1</v>
      </c>
      <c r="AO230" s="30">
        <v>1</v>
      </c>
      <c r="AP230" s="30">
        <v>1</v>
      </c>
      <c r="AQ230" s="30">
        <v>1</v>
      </c>
      <c r="AR230" s="50">
        <v>7.19793575775068E-2</v>
      </c>
      <c r="AS230" s="34">
        <v>5.4054054054054099E-2</v>
      </c>
      <c r="AT230" s="34">
        <v>2.0833333333333301E-2</v>
      </c>
      <c r="AU230" s="34">
        <v>0.15151515151515199</v>
      </c>
      <c r="AV230" s="34">
        <v>4.7244094488188997E-2</v>
      </c>
      <c r="AW230" s="10"/>
      <c r="AX230" s="8"/>
    </row>
    <row r="231" spans="1:50" s="2" customFormat="1">
      <c r="A231" s="7"/>
      <c r="B231" s="4"/>
      <c r="C231" s="45" t="s">
        <v>236</v>
      </c>
      <c r="D231" s="23" t="s">
        <v>13</v>
      </c>
      <c r="E231" s="49" t="s">
        <v>278</v>
      </c>
      <c r="F231" s="49" t="s">
        <v>278</v>
      </c>
      <c r="G231" s="49" t="s">
        <v>278</v>
      </c>
      <c r="H231" s="49" t="s">
        <v>278</v>
      </c>
      <c r="I231" s="25">
        <v>0.9</v>
      </c>
      <c r="J231" s="26">
        <v>0.990291262135922</v>
      </c>
      <c r="K231" s="26">
        <v>0.98113207547169801</v>
      </c>
      <c r="L231" s="27">
        <v>1</v>
      </c>
      <c r="M231" s="26">
        <v>0.98786828422876904</v>
      </c>
      <c r="N231" s="28">
        <v>0.9</v>
      </c>
      <c r="O231" s="26">
        <v>0.93788819875776397</v>
      </c>
      <c r="P231" s="26">
        <v>0.94169898661328699</v>
      </c>
      <c r="Q231" s="26">
        <v>0.95107093731577896</v>
      </c>
      <c r="R231" s="26">
        <v>0.941719452114125</v>
      </c>
      <c r="S231" s="28">
        <v>0.9</v>
      </c>
      <c r="T231" s="26">
        <v>0.90715082019429805</v>
      </c>
      <c r="U231" s="26">
        <v>0.90141373701989203</v>
      </c>
      <c r="V231" s="26">
        <v>0.92218510512870899</v>
      </c>
      <c r="W231" s="26">
        <v>0.90168372042661504</v>
      </c>
      <c r="X231" s="28">
        <v>0.92</v>
      </c>
      <c r="Y231" s="28">
        <v>0.93375931842385496</v>
      </c>
      <c r="Z231" s="28">
        <v>0.94760994263862297</v>
      </c>
      <c r="AA231" s="28">
        <v>0.944620253164557</v>
      </c>
      <c r="AB231" s="28">
        <v>0.93668107053247796</v>
      </c>
      <c r="AC231" s="28">
        <v>0.92</v>
      </c>
      <c r="AD231" s="26">
        <v>0.99268033005057199</v>
      </c>
      <c r="AE231" s="26">
        <v>0.99479696866870304</v>
      </c>
      <c r="AF231" s="26">
        <v>0.95154977255897599</v>
      </c>
      <c r="AG231" s="26">
        <v>0.98731393467948603</v>
      </c>
      <c r="AH231" s="28">
        <v>0.92</v>
      </c>
      <c r="AI231" s="26">
        <v>0.95489749430523896</v>
      </c>
      <c r="AJ231" s="26">
        <v>0.965063520871143</v>
      </c>
      <c r="AK231" s="26">
        <v>0.95890410958904104</v>
      </c>
      <c r="AL231" s="26">
        <v>0.95721183871803095</v>
      </c>
      <c r="AM231" s="25">
        <v>0.99</v>
      </c>
      <c r="AN231" s="30">
        <v>1</v>
      </c>
      <c r="AO231" s="30">
        <v>1</v>
      </c>
      <c r="AP231" s="30">
        <v>1</v>
      </c>
      <c r="AQ231" s="30">
        <v>1</v>
      </c>
      <c r="AR231" s="50">
        <v>7.19793575775068E-2</v>
      </c>
      <c r="AS231" s="34">
        <v>4.6511627906976702E-2</v>
      </c>
      <c r="AT231" s="34">
        <v>4.8780487804878099E-2</v>
      </c>
      <c r="AU231" s="34">
        <v>0.02</v>
      </c>
      <c r="AV231" s="34">
        <v>5.3030303030302997E-2</v>
      </c>
      <c r="AW231" s="4"/>
      <c r="AX231" s="8"/>
    </row>
    <row r="232" spans="1:50">
      <c r="A232" s="7"/>
      <c r="C232" s="45" t="s">
        <v>236</v>
      </c>
      <c r="D232" s="23" t="s">
        <v>13</v>
      </c>
      <c r="E232" s="49" t="s">
        <v>279</v>
      </c>
      <c r="F232" s="49" t="s">
        <v>279</v>
      </c>
      <c r="G232" s="49" t="s">
        <v>279</v>
      </c>
      <c r="H232" s="49" t="s">
        <v>279</v>
      </c>
      <c r="I232" s="25">
        <v>0.9</v>
      </c>
      <c r="J232" s="26">
        <v>0.95270270270270296</v>
      </c>
      <c r="K232" s="26">
        <v>0.94666666666666699</v>
      </c>
      <c r="L232" s="27">
        <v>0.98540145985401495</v>
      </c>
      <c r="M232" s="26">
        <v>0.94089264173703302</v>
      </c>
      <c r="N232" s="28">
        <v>0.9</v>
      </c>
      <c r="O232" s="26">
        <v>0.91651665166516605</v>
      </c>
      <c r="P232" s="26">
        <v>0.89073019161056399</v>
      </c>
      <c r="Q232" s="26">
        <v>0.93403278688524605</v>
      </c>
      <c r="R232" s="26">
        <v>0.86048535058351805</v>
      </c>
      <c r="S232" s="28">
        <v>0.9</v>
      </c>
      <c r="T232" s="26">
        <v>0.879387938793879</v>
      </c>
      <c r="U232" s="26">
        <v>0.83972035214914598</v>
      </c>
      <c r="V232" s="26">
        <v>0.90740983606557402</v>
      </c>
      <c r="W232" s="26">
        <v>0.86511944617828995</v>
      </c>
      <c r="X232" s="28">
        <v>0.92</v>
      </c>
      <c r="Y232" s="28">
        <v>0.90434214822069903</v>
      </c>
      <c r="Z232" s="28">
        <v>0.916530521312936</v>
      </c>
      <c r="AA232" s="28">
        <v>0.86561221103860198</v>
      </c>
      <c r="AB232" s="28">
        <v>0.90171929920165705</v>
      </c>
      <c r="AC232" s="28">
        <v>0.92</v>
      </c>
      <c r="AD232" s="26">
        <v>0.99735239608154602</v>
      </c>
      <c r="AE232" s="26">
        <v>0.99707503656204299</v>
      </c>
      <c r="AF232" s="26">
        <v>0.99539420211324803</v>
      </c>
      <c r="AG232" s="26">
        <v>0.99468064224865504</v>
      </c>
      <c r="AH232" s="28">
        <v>0.92</v>
      </c>
      <c r="AI232" s="26">
        <v>0.929879469934075</v>
      </c>
      <c r="AJ232" s="26">
        <v>0.94721039414783303</v>
      </c>
      <c r="AK232" s="26">
        <v>0.91350767754318596</v>
      </c>
      <c r="AL232" s="26">
        <v>0.93790116428340198</v>
      </c>
      <c r="AM232" s="25">
        <v>0.99</v>
      </c>
      <c r="AN232" s="30">
        <v>1</v>
      </c>
      <c r="AO232" s="30">
        <v>1</v>
      </c>
      <c r="AP232" s="30">
        <v>1</v>
      </c>
      <c r="AQ232" s="30">
        <v>1</v>
      </c>
      <c r="AR232" s="50">
        <v>7.19793575775068E-2</v>
      </c>
      <c r="AS232" s="34">
        <v>8.3333333333333301E-2</v>
      </c>
      <c r="AT232" s="34">
        <v>7.0175438596491196E-2</v>
      </c>
      <c r="AU232" s="34">
        <v>6.8181818181818205E-2</v>
      </c>
      <c r="AV232" s="34">
        <v>7.1428571428571397E-2</v>
      </c>
      <c r="AW232" s="10"/>
      <c r="AX232" s="8"/>
    </row>
    <row r="233" spans="1:50">
      <c r="A233" s="7"/>
      <c r="C233" s="45" t="s">
        <v>236</v>
      </c>
      <c r="D233" s="23" t="s">
        <v>13</v>
      </c>
      <c r="E233" s="49" t="s">
        <v>280</v>
      </c>
      <c r="F233" s="49" t="s">
        <v>280</v>
      </c>
      <c r="G233" s="49" t="s">
        <v>280</v>
      </c>
      <c r="H233" s="49" t="s">
        <v>280</v>
      </c>
      <c r="I233" s="25">
        <v>0.9</v>
      </c>
      <c r="J233" s="26">
        <v>1</v>
      </c>
      <c r="K233" s="26">
        <v>1</v>
      </c>
      <c r="L233" s="27">
        <v>0.98245614035087703</v>
      </c>
      <c r="M233" s="26">
        <v>0.97032640949554905</v>
      </c>
      <c r="N233" s="28">
        <v>0.9</v>
      </c>
      <c r="O233" s="26">
        <v>0.95004826254826302</v>
      </c>
      <c r="P233" s="26">
        <v>0.94750510109441699</v>
      </c>
      <c r="Q233" s="26">
        <v>0.95487003713224805</v>
      </c>
      <c r="R233" s="26">
        <v>0.945857952490052</v>
      </c>
      <c r="S233" s="28">
        <v>0.9</v>
      </c>
      <c r="T233" s="26">
        <v>0.91843629343629296</v>
      </c>
      <c r="U233" s="26">
        <v>0.90187349285846796</v>
      </c>
      <c r="V233" s="26">
        <v>0.92345044273064802</v>
      </c>
      <c r="W233" s="26">
        <v>0.90642710719884201</v>
      </c>
      <c r="X233" s="28">
        <v>0.92</v>
      </c>
      <c r="Y233" s="28">
        <v>0.91653134134459202</v>
      </c>
      <c r="Z233" s="28">
        <v>0.94714285714285695</v>
      </c>
      <c r="AA233" s="28">
        <v>0.92647378725255602</v>
      </c>
      <c r="AB233" s="28">
        <v>0.92847146633494004</v>
      </c>
      <c r="AC233" s="28">
        <v>0.92</v>
      </c>
      <c r="AD233" s="26">
        <v>0.99635900236664798</v>
      </c>
      <c r="AE233" s="26">
        <v>0.99509571270368602</v>
      </c>
      <c r="AF233" s="26">
        <v>0.99689021092482399</v>
      </c>
      <c r="AG233" s="26">
        <v>0.99654427645788302</v>
      </c>
      <c r="AH233" s="28">
        <v>0.92</v>
      </c>
      <c r="AI233" s="26">
        <v>0.94919008722137599</v>
      </c>
      <c r="AJ233" s="26">
        <v>0.96490833427061096</v>
      </c>
      <c r="AK233" s="26">
        <v>0.94912324030624895</v>
      </c>
      <c r="AL233" s="26">
        <v>0.95411743401693105</v>
      </c>
      <c r="AM233" s="25">
        <v>0.99</v>
      </c>
      <c r="AN233" s="30">
        <v>1</v>
      </c>
      <c r="AO233" s="30">
        <v>1</v>
      </c>
      <c r="AP233" s="30">
        <v>1</v>
      </c>
      <c r="AQ233" s="30">
        <v>1</v>
      </c>
      <c r="AR233" s="50">
        <v>7.19793575775068E-2</v>
      </c>
      <c r="AS233" s="34">
        <v>5.8823529411764698E-2</v>
      </c>
      <c r="AT233" s="34">
        <v>4.3478260869565202E-2</v>
      </c>
      <c r="AU233" s="34">
        <v>5.2631578947368397E-2</v>
      </c>
      <c r="AV233" s="34">
        <v>5.4054054054054099E-2</v>
      </c>
      <c r="AW233" s="10"/>
      <c r="AX233" s="8"/>
    </row>
    <row r="234" spans="1:50" s="2" customFormat="1">
      <c r="A234" s="7"/>
      <c r="B234" s="4"/>
      <c r="C234" s="45" t="s">
        <v>236</v>
      </c>
      <c r="D234" s="23" t="s">
        <v>13</v>
      </c>
      <c r="E234" s="49" t="s">
        <v>281</v>
      </c>
      <c r="F234" s="49" t="s">
        <v>281</v>
      </c>
      <c r="G234" s="49" t="s">
        <v>281</v>
      </c>
      <c r="H234" s="49" t="s">
        <v>281</v>
      </c>
      <c r="I234" s="25">
        <v>0.9</v>
      </c>
      <c r="J234" s="26">
        <v>0.94230769230769196</v>
      </c>
      <c r="K234" s="26">
        <v>0.94174757281553401</v>
      </c>
      <c r="L234" s="27">
        <v>0.89795918367346905</v>
      </c>
      <c r="M234" s="26">
        <v>0.93205574912891997</v>
      </c>
      <c r="N234" s="28">
        <v>0.9</v>
      </c>
      <c r="O234" s="26">
        <v>0.89672580412519798</v>
      </c>
      <c r="P234" s="26">
        <v>0.89007851534618099</v>
      </c>
      <c r="Q234" s="26">
        <v>0.94033327360688002</v>
      </c>
      <c r="R234" s="26">
        <v>0.91632186271234395</v>
      </c>
      <c r="S234" s="28">
        <v>0.9</v>
      </c>
      <c r="T234" s="26">
        <v>0.88013846819558605</v>
      </c>
      <c r="U234" s="26">
        <v>0.88246490601951</v>
      </c>
      <c r="V234" s="26">
        <v>0.92814907722630402</v>
      </c>
      <c r="W234" s="26">
        <v>0.90159594973143797</v>
      </c>
      <c r="X234" s="28">
        <v>0.92</v>
      </c>
      <c r="Y234" s="28">
        <v>0.90188225871045302</v>
      </c>
      <c r="Z234" s="28">
        <v>0.93290083410565305</v>
      </c>
      <c r="AA234" s="28">
        <v>0.91499588025267797</v>
      </c>
      <c r="AB234" s="28">
        <v>0.91795131845841804</v>
      </c>
      <c r="AC234" s="28">
        <v>0.92</v>
      </c>
      <c r="AD234" s="26">
        <v>0.98782961460446295</v>
      </c>
      <c r="AE234" s="26">
        <v>0.96243777341982195</v>
      </c>
      <c r="AF234" s="26">
        <v>0.96613813490997003</v>
      </c>
      <c r="AG234" s="26">
        <v>0.97890777375313498</v>
      </c>
      <c r="AH234" s="28">
        <v>0.92</v>
      </c>
      <c r="AI234" s="26">
        <v>0.93217070512283096</v>
      </c>
      <c r="AJ234" s="26">
        <v>0.95762097942625302</v>
      </c>
      <c r="AK234" s="26">
        <v>0.94146910221531299</v>
      </c>
      <c r="AL234" s="26">
        <v>0.94770726579950104</v>
      </c>
      <c r="AM234" s="25">
        <v>0.99</v>
      </c>
      <c r="AN234" s="30">
        <v>1</v>
      </c>
      <c r="AO234" s="30">
        <v>1</v>
      </c>
      <c r="AP234" s="30">
        <v>1</v>
      </c>
      <c r="AQ234" s="30">
        <v>1</v>
      </c>
      <c r="AR234" s="50">
        <v>7.19793575775068E-2</v>
      </c>
      <c r="AS234" s="34">
        <v>0</v>
      </c>
      <c r="AT234" s="34">
        <v>6.5217391304347797E-2</v>
      </c>
      <c r="AU234" s="34">
        <v>2.3809523809523801E-2</v>
      </c>
      <c r="AV234" s="34">
        <v>4.0322580645161303E-2</v>
      </c>
      <c r="AW234" s="4"/>
      <c r="AX234" s="8"/>
    </row>
    <row r="235" spans="1:50" s="2" customFormat="1">
      <c r="A235" s="7"/>
      <c r="B235" s="4"/>
      <c r="C235" s="45" t="s">
        <v>236</v>
      </c>
      <c r="D235" s="23" t="s">
        <v>13</v>
      </c>
      <c r="E235" s="49" t="s">
        <v>282</v>
      </c>
      <c r="F235" s="49" t="s">
        <v>282</v>
      </c>
      <c r="G235" s="49" t="s">
        <v>282</v>
      </c>
      <c r="H235" s="49" t="s">
        <v>282</v>
      </c>
      <c r="I235" s="25">
        <v>0.9</v>
      </c>
      <c r="J235" s="26">
        <v>1</v>
      </c>
      <c r="K235" s="26">
        <v>1</v>
      </c>
      <c r="L235" s="27">
        <v>1</v>
      </c>
      <c r="M235" s="26">
        <v>1</v>
      </c>
      <c r="N235" s="28">
        <v>0.9</v>
      </c>
      <c r="O235" s="26">
        <v>0.95155846734167204</v>
      </c>
      <c r="P235" s="26">
        <v>0.87713259503142804</v>
      </c>
      <c r="Q235" s="26">
        <v>0.96902226524685398</v>
      </c>
      <c r="R235" s="26">
        <v>0.91449487554904796</v>
      </c>
      <c r="S235" s="28">
        <v>0.9</v>
      </c>
      <c r="T235" s="26">
        <v>0.89497716894977197</v>
      </c>
      <c r="U235" s="26">
        <v>0.89748578269979096</v>
      </c>
      <c r="V235" s="26">
        <v>0.91747337850919697</v>
      </c>
      <c r="W235" s="26">
        <v>0.85954123962908702</v>
      </c>
      <c r="X235" s="28">
        <v>0.92</v>
      </c>
      <c r="Y235" s="28">
        <v>0.88490714098875201</v>
      </c>
      <c r="Z235" s="28">
        <v>0.88386225523295103</v>
      </c>
      <c r="AA235" s="28">
        <v>0.92311761594075104</v>
      </c>
      <c r="AB235" s="28">
        <v>0.89737246203719501</v>
      </c>
      <c r="AC235" s="28">
        <v>0.92</v>
      </c>
      <c r="AD235" s="26">
        <v>0.98170731707317105</v>
      </c>
      <c r="AE235" s="26">
        <v>0.98360655737704905</v>
      </c>
      <c r="AF235" s="26">
        <v>0.94930875576036899</v>
      </c>
      <c r="AG235" s="26">
        <v>0.96976744186046504</v>
      </c>
      <c r="AH235" s="28">
        <v>0.92</v>
      </c>
      <c r="AI235" s="26">
        <v>0.92890192980476205</v>
      </c>
      <c r="AJ235" s="26">
        <v>0.93528089887640498</v>
      </c>
      <c r="AK235" s="26">
        <v>0.94635390107088202</v>
      </c>
      <c r="AL235" s="26">
        <v>0.93551601948914798</v>
      </c>
      <c r="AM235" s="25">
        <v>0.99</v>
      </c>
      <c r="AN235" s="30">
        <v>1</v>
      </c>
      <c r="AO235" s="30">
        <v>1</v>
      </c>
      <c r="AP235" s="30">
        <v>1</v>
      </c>
      <c r="AQ235" s="30">
        <v>1</v>
      </c>
      <c r="AR235" s="50">
        <v>7.19793575775068E-2</v>
      </c>
      <c r="AS235" s="34">
        <v>0</v>
      </c>
      <c r="AT235" s="34">
        <v>4.1666666666666699E-2</v>
      </c>
      <c r="AU235" s="34">
        <v>3.8461538461538498E-2</v>
      </c>
      <c r="AV235" s="34">
        <v>3.2051282051282E-2</v>
      </c>
      <c r="AW235" s="4"/>
      <c r="AX235" s="8"/>
    </row>
    <row r="236" spans="1:50" s="2" customFormat="1">
      <c r="A236" s="7"/>
      <c r="B236" s="4"/>
      <c r="C236" s="45" t="s">
        <v>236</v>
      </c>
      <c r="D236" s="23" t="s">
        <v>13</v>
      </c>
      <c r="E236" s="49" t="s">
        <v>283</v>
      </c>
      <c r="F236" s="49" t="s">
        <v>283</v>
      </c>
      <c r="G236" s="49" t="s">
        <v>283</v>
      </c>
      <c r="H236" s="49" t="s">
        <v>283</v>
      </c>
      <c r="I236" s="25">
        <v>0.9</v>
      </c>
      <c r="J236" s="26">
        <v>0.98</v>
      </c>
      <c r="K236" s="26">
        <v>0.96363636363636396</v>
      </c>
      <c r="L236" s="27">
        <v>0.9375</v>
      </c>
      <c r="M236" s="26">
        <v>0.94949494949494995</v>
      </c>
      <c r="N236" s="28">
        <v>0.9</v>
      </c>
      <c r="O236" s="26">
        <v>0.981080620419294</v>
      </c>
      <c r="P236" s="26">
        <v>0.96791714033093301</v>
      </c>
      <c r="Q236" s="26">
        <v>0.98693759071117604</v>
      </c>
      <c r="R236" s="26">
        <v>0.97818170303049501</v>
      </c>
      <c r="S236" s="28">
        <v>0.9</v>
      </c>
      <c r="T236" s="26">
        <v>0.94426453042440806</v>
      </c>
      <c r="U236" s="26">
        <v>0.957307060755337</v>
      </c>
      <c r="V236" s="26">
        <v>0.95674891146589303</v>
      </c>
      <c r="W236" s="26">
        <v>0.95015674973874997</v>
      </c>
      <c r="X236" s="28">
        <v>0.92</v>
      </c>
      <c r="Y236" s="28">
        <v>0.36363636363636398</v>
      </c>
      <c r="Z236" s="28">
        <v>0</v>
      </c>
      <c r="AA236" s="28">
        <v>0</v>
      </c>
      <c r="AB236" s="28">
        <v>0.5</v>
      </c>
      <c r="AC236" s="28">
        <v>0.92</v>
      </c>
      <c r="AD236" s="26">
        <v>0.989169675090253</v>
      </c>
      <c r="AE236" s="26">
        <v>0.962025316455696</v>
      </c>
      <c r="AF236" s="26">
        <v>0.98214285714285698</v>
      </c>
      <c r="AG236" s="26">
        <v>0.976248976248976</v>
      </c>
      <c r="AH236" s="28">
        <v>0.92</v>
      </c>
      <c r="AI236" s="26">
        <v>0.97669275263695099</v>
      </c>
      <c r="AJ236" s="26">
        <v>0.99040040419350805</v>
      </c>
      <c r="AK236" s="26">
        <v>0.98577648766327997</v>
      </c>
      <c r="AL236" s="26">
        <v>0.98518752967241696</v>
      </c>
      <c r="AM236" s="25">
        <v>0.99</v>
      </c>
      <c r="AN236" s="30">
        <v>1</v>
      </c>
      <c r="AO236" s="30">
        <v>1</v>
      </c>
      <c r="AP236" s="30">
        <v>1</v>
      </c>
      <c r="AQ236" s="30">
        <v>1</v>
      </c>
      <c r="AR236" s="50">
        <v>7.19793575775068E-2</v>
      </c>
      <c r="AS236" s="34">
        <v>0.18181818181818199</v>
      </c>
      <c r="AT236" s="34">
        <v>0</v>
      </c>
      <c r="AU236" s="34">
        <v>0</v>
      </c>
      <c r="AV236" s="34">
        <v>4.9645390070922002E-2</v>
      </c>
      <c r="AW236" s="4"/>
      <c r="AX236" s="8"/>
    </row>
    <row r="237" spans="1:50" s="3" customFormat="1">
      <c r="A237" s="7"/>
      <c r="C237" s="51"/>
      <c r="D237" s="52"/>
      <c r="E237" s="52"/>
      <c r="F237" s="52"/>
      <c r="G237" s="52"/>
      <c r="H237" s="52"/>
      <c r="I237" s="53"/>
      <c r="J237" s="40"/>
      <c r="K237" s="40"/>
      <c r="L237" s="27"/>
      <c r="M237" s="40"/>
      <c r="N237" s="43"/>
      <c r="O237" s="40"/>
      <c r="P237" s="40"/>
      <c r="Q237" s="26"/>
      <c r="R237" s="40"/>
      <c r="S237" s="43"/>
      <c r="T237" s="40"/>
      <c r="U237" s="40"/>
      <c r="V237" s="26"/>
      <c r="W237" s="40"/>
      <c r="X237" s="43"/>
      <c r="Y237" s="43"/>
      <c r="Z237" s="43"/>
      <c r="AA237" s="28"/>
      <c r="AB237" s="43"/>
      <c r="AC237" s="43"/>
      <c r="AD237" s="40"/>
      <c r="AE237" s="40"/>
      <c r="AF237" s="26"/>
      <c r="AG237" s="40"/>
      <c r="AH237" s="43"/>
      <c r="AI237" s="40"/>
      <c r="AJ237" s="40"/>
      <c r="AK237" s="26"/>
      <c r="AL237" s="40"/>
      <c r="AM237" s="39"/>
      <c r="AN237" s="39"/>
      <c r="AO237" s="39"/>
      <c r="AP237" s="30"/>
      <c r="AQ237" s="39"/>
      <c r="AR237" s="40"/>
      <c r="AS237" s="39"/>
      <c r="AT237" s="39"/>
      <c r="AU237" s="34"/>
      <c r="AV237" s="39"/>
      <c r="AW237" s="4"/>
      <c r="AX237" s="8"/>
    </row>
    <row r="238" spans="1:50">
      <c r="A238" s="7"/>
      <c r="B238" s="10"/>
      <c r="C238" s="54" t="s">
        <v>284</v>
      </c>
      <c r="D238" s="23" t="s">
        <v>15</v>
      </c>
      <c r="E238" s="55" t="s">
        <v>285</v>
      </c>
      <c r="F238" s="55" t="s">
        <v>285</v>
      </c>
      <c r="G238" s="55" t="s">
        <v>285</v>
      </c>
      <c r="H238" s="55" t="s">
        <v>285</v>
      </c>
      <c r="I238" s="25">
        <v>0.9</v>
      </c>
      <c r="J238" s="26">
        <v>0.96842105263157896</v>
      </c>
      <c r="K238" s="26">
        <v>0.97894736842105301</v>
      </c>
      <c r="L238" s="27">
        <v>0.95555555555555605</v>
      </c>
      <c r="M238" s="26">
        <v>0.96551724137931005</v>
      </c>
      <c r="N238" s="28">
        <v>0.9</v>
      </c>
      <c r="O238" s="26">
        <v>0.90088021431304999</v>
      </c>
      <c r="P238" s="26">
        <v>0.85368721652948099</v>
      </c>
      <c r="Q238" s="26">
        <v>0.95896656534954405</v>
      </c>
      <c r="R238" s="26">
        <v>0.91071870033551106</v>
      </c>
      <c r="S238" s="28">
        <v>0.9</v>
      </c>
      <c r="T238" s="26">
        <v>0.88059701492537301</v>
      </c>
      <c r="U238" s="26">
        <v>0.85469511170838197</v>
      </c>
      <c r="V238" s="26">
        <v>0.883738601823708</v>
      </c>
      <c r="W238" s="26">
        <v>0.87423627052798902</v>
      </c>
      <c r="X238" s="28">
        <v>0.92</v>
      </c>
      <c r="Y238" s="28">
        <v>0.93522499283462301</v>
      </c>
      <c r="Z238" s="28">
        <v>0.95781438328645996</v>
      </c>
      <c r="AA238" s="28">
        <v>0.95381847261095598</v>
      </c>
      <c r="AB238" s="28">
        <v>0.94669340351756703</v>
      </c>
      <c r="AC238" s="28">
        <v>0.92</v>
      </c>
      <c r="AD238" s="26">
        <v>0.996285979572888</v>
      </c>
      <c r="AE238" s="26">
        <v>0.95126132745530201</v>
      </c>
      <c r="AF238" s="26">
        <v>0.98174090980639095</v>
      </c>
      <c r="AG238" s="26">
        <v>0.96260601387818001</v>
      </c>
      <c r="AH238" s="28">
        <v>0.92</v>
      </c>
      <c r="AI238" s="26">
        <v>0.96054140857994996</v>
      </c>
      <c r="AJ238" s="26">
        <v>0.97310401610099695</v>
      </c>
      <c r="AK238" s="26">
        <v>0.96671506757511405</v>
      </c>
      <c r="AL238" s="26">
        <v>0.964505080270182</v>
      </c>
      <c r="AM238" s="25">
        <v>0.99</v>
      </c>
      <c r="AN238" s="30">
        <v>1</v>
      </c>
      <c r="AO238" s="30">
        <v>1</v>
      </c>
      <c r="AP238" s="30">
        <v>1</v>
      </c>
      <c r="AQ238" s="30">
        <v>1</v>
      </c>
      <c r="AR238" s="50">
        <v>9.2228725701943806E-2</v>
      </c>
      <c r="AS238" s="34">
        <v>0</v>
      </c>
      <c r="AT238" s="34">
        <v>0.157894736842105</v>
      </c>
      <c r="AU238" s="34">
        <v>0</v>
      </c>
      <c r="AV238" s="34">
        <v>0.10101010101010099</v>
      </c>
      <c r="AW238" s="10"/>
      <c r="AX238" s="8"/>
    </row>
    <row r="239" spans="1:50">
      <c r="A239" s="7"/>
      <c r="B239" s="10"/>
      <c r="C239" s="54" t="s">
        <v>284</v>
      </c>
      <c r="D239" s="23" t="s">
        <v>15</v>
      </c>
      <c r="E239" s="55" t="s">
        <v>286</v>
      </c>
      <c r="F239" s="55" t="s">
        <v>286</v>
      </c>
      <c r="G239" s="55" t="s">
        <v>286</v>
      </c>
      <c r="H239" s="55" t="s">
        <v>286</v>
      </c>
      <c r="I239" s="25">
        <v>0.9</v>
      </c>
      <c r="J239" s="26">
        <v>0.84848484848484895</v>
      </c>
      <c r="K239" s="26">
        <v>0.89393939393939403</v>
      </c>
      <c r="L239" s="27">
        <v>0.90625</v>
      </c>
      <c r="M239" s="26">
        <v>0.84722222222222199</v>
      </c>
      <c r="N239" s="28">
        <v>0.9</v>
      </c>
      <c r="O239" s="26">
        <v>0.94528301886792498</v>
      </c>
      <c r="P239" s="26">
        <v>0.96115173674588705</v>
      </c>
      <c r="Q239" s="26">
        <v>0.93050847457627095</v>
      </c>
      <c r="R239" s="26">
        <v>0.925370226032736</v>
      </c>
      <c r="S239" s="28">
        <v>0.9</v>
      </c>
      <c r="T239" s="26">
        <v>0.923450134770889</v>
      </c>
      <c r="U239" s="26">
        <v>0.91430530164533796</v>
      </c>
      <c r="V239" s="26">
        <v>0.93152542372881397</v>
      </c>
      <c r="W239" s="26">
        <v>0.92678293063133299</v>
      </c>
      <c r="X239" s="28">
        <v>0.92</v>
      </c>
      <c r="Y239" s="28">
        <v>0.96389124893797795</v>
      </c>
      <c r="Z239" s="28">
        <v>0.97584067907280403</v>
      </c>
      <c r="AA239" s="28">
        <v>0.97998498874155604</v>
      </c>
      <c r="AB239" s="28">
        <v>0.97673434856176</v>
      </c>
      <c r="AC239" s="28">
        <v>0.92</v>
      </c>
      <c r="AD239" s="26">
        <v>0.98354473774425799</v>
      </c>
      <c r="AE239" s="26">
        <v>0.98139350752177401</v>
      </c>
      <c r="AF239" s="26">
        <v>0.99362139917695502</v>
      </c>
      <c r="AG239" s="26">
        <v>0.98737488626023695</v>
      </c>
      <c r="AH239" s="28">
        <v>0.92</v>
      </c>
      <c r="AI239" s="26">
        <v>0.97559366754617405</v>
      </c>
      <c r="AJ239" s="26">
        <v>0.98749831966662205</v>
      </c>
      <c r="AK239" s="26">
        <v>0.98690459058857405</v>
      </c>
      <c r="AL239" s="26">
        <v>0.98557251496682996</v>
      </c>
      <c r="AM239" s="25">
        <v>0.99</v>
      </c>
      <c r="AN239" s="30">
        <v>1</v>
      </c>
      <c r="AO239" s="30">
        <v>1</v>
      </c>
      <c r="AP239" s="30">
        <v>1</v>
      </c>
      <c r="AQ239" s="30">
        <v>1</v>
      </c>
      <c r="AR239" s="50">
        <v>9.2228725701943806E-2</v>
      </c>
      <c r="AS239" s="34">
        <v>0</v>
      </c>
      <c r="AT239" s="34">
        <v>0.18181818181818199</v>
      </c>
      <c r="AU239" s="34">
        <v>7.1428571428571397E-2</v>
      </c>
      <c r="AV239" s="34">
        <v>0.109090909090909</v>
      </c>
      <c r="AW239" s="10"/>
      <c r="AX239" s="8"/>
    </row>
    <row r="240" spans="1:50">
      <c r="A240" s="7"/>
      <c r="B240" s="10"/>
      <c r="C240" s="54" t="s">
        <v>284</v>
      </c>
      <c r="D240" s="23" t="s">
        <v>15</v>
      </c>
      <c r="E240" s="55" t="s">
        <v>287</v>
      </c>
      <c r="F240" s="55" t="s">
        <v>287</v>
      </c>
      <c r="G240" s="55" t="s">
        <v>287</v>
      </c>
      <c r="H240" s="55" t="s">
        <v>287</v>
      </c>
      <c r="I240" s="25">
        <v>0.9</v>
      </c>
      <c r="J240" s="26">
        <v>0.97590361445783103</v>
      </c>
      <c r="K240" s="26">
        <v>0.96385542168674698</v>
      </c>
      <c r="L240" s="27">
        <v>1</v>
      </c>
      <c r="M240" s="26">
        <v>0.98760330578512401</v>
      </c>
      <c r="N240" s="28">
        <v>0.9</v>
      </c>
      <c r="O240" s="26">
        <v>0.97331217541835002</v>
      </c>
      <c r="P240" s="26">
        <v>0.96530707923113002</v>
      </c>
      <c r="Q240" s="26">
        <v>0.959105431309904</v>
      </c>
      <c r="R240" s="26">
        <v>0.96934505126595505</v>
      </c>
      <c r="S240" s="28">
        <v>0.9</v>
      </c>
      <c r="T240" s="26">
        <v>0.95816503173687295</v>
      </c>
      <c r="U240" s="26">
        <v>0.95288326300984505</v>
      </c>
      <c r="V240" s="26">
        <v>0.94036208732694404</v>
      </c>
      <c r="W240" s="26">
        <v>0.95888261142498399</v>
      </c>
      <c r="X240" s="28">
        <v>0.92</v>
      </c>
      <c r="Y240" s="28">
        <v>0.95261324041811801</v>
      </c>
      <c r="Z240" s="28">
        <v>0.95545184556639795</v>
      </c>
      <c r="AA240" s="28">
        <v>0.95053680981595101</v>
      </c>
      <c r="AB240" s="28">
        <v>0.95847661623108704</v>
      </c>
      <c r="AC240" s="28">
        <v>0.92</v>
      </c>
      <c r="AD240" s="26">
        <v>0.99374739474781204</v>
      </c>
      <c r="AE240" s="26">
        <v>0.97740409879138201</v>
      </c>
      <c r="AF240" s="26">
        <v>0.98955543652919098</v>
      </c>
      <c r="AG240" s="26">
        <v>0.91618152486497895</v>
      </c>
      <c r="AH240" s="28">
        <v>0.92</v>
      </c>
      <c r="AI240" s="26">
        <v>0.97801147227533503</v>
      </c>
      <c r="AJ240" s="26">
        <v>0.98291854164753401</v>
      </c>
      <c r="AK240" s="26">
        <v>0.97440459895975895</v>
      </c>
      <c r="AL240" s="26">
        <v>0.98171208566444101</v>
      </c>
      <c r="AM240" s="25">
        <v>0.99</v>
      </c>
      <c r="AN240" s="30">
        <v>1</v>
      </c>
      <c r="AO240" s="30">
        <v>1</v>
      </c>
      <c r="AP240" s="30">
        <v>1</v>
      </c>
      <c r="AQ240" s="30">
        <v>1</v>
      </c>
      <c r="AR240" s="50">
        <v>9.2228725701943806E-2</v>
      </c>
      <c r="AS240" s="34">
        <v>8.3333333333333301E-2</v>
      </c>
      <c r="AT240" s="34">
        <v>0.33333333333333298</v>
      </c>
      <c r="AU240" s="34">
        <v>0</v>
      </c>
      <c r="AV240" s="34">
        <v>0.134615384615385</v>
      </c>
      <c r="AW240" s="10"/>
      <c r="AX240" s="8"/>
    </row>
    <row r="241" spans="1:50">
      <c r="A241" s="7"/>
      <c r="B241" s="10"/>
      <c r="C241" s="54" t="s">
        <v>284</v>
      </c>
      <c r="D241" s="23" t="s">
        <v>15</v>
      </c>
      <c r="E241" s="55" t="s">
        <v>288</v>
      </c>
      <c r="F241" s="55" t="s">
        <v>288</v>
      </c>
      <c r="G241" s="55" t="s">
        <v>288</v>
      </c>
      <c r="H241" s="55" t="s">
        <v>288</v>
      </c>
      <c r="I241" s="25">
        <v>0.9</v>
      </c>
      <c r="J241" s="26">
        <v>0.99280575539568305</v>
      </c>
      <c r="K241" s="26">
        <v>1</v>
      </c>
      <c r="L241" s="27">
        <v>1</v>
      </c>
      <c r="M241" s="26">
        <v>0.99738903394255896</v>
      </c>
      <c r="N241" s="28">
        <v>0.9</v>
      </c>
      <c r="O241" s="26">
        <v>0.73368583956667499</v>
      </c>
      <c r="P241" s="26">
        <v>0.91022585404607903</v>
      </c>
      <c r="Q241" s="26">
        <v>0.96405990016638898</v>
      </c>
      <c r="R241" s="26">
        <v>0.90329976835437098</v>
      </c>
      <c r="S241" s="28">
        <v>0.9</v>
      </c>
      <c r="T241" s="26">
        <v>0.92829507351044604</v>
      </c>
      <c r="U241" s="26">
        <v>0.92668255589603898</v>
      </c>
      <c r="V241" s="26">
        <v>0.92412645590682196</v>
      </c>
      <c r="W241" s="26">
        <v>0.93279913014702398</v>
      </c>
      <c r="X241" s="28">
        <v>0.92</v>
      </c>
      <c r="Y241" s="28">
        <v>0.96007447248655398</v>
      </c>
      <c r="Z241" s="28">
        <v>0.97163865546218497</v>
      </c>
      <c r="AA241" s="28">
        <v>0.97225501770956302</v>
      </c>
      <c r="AB241" s="28">
        <v>0.96701025007895702</v>
      </c>
      <c r="AC241" s="28">
        <v>0.92</v>
      </c>
      <c r="AD241" s="26">
        <v>0.98560509554140097</v>
      </c>
      <c r="AE241" s="26">
        <v>0.97511167836630497</v>
      </c>
      <c r="AF241" s="26">
        <v>0.97215900470338301</v>
      </c>
      <c r="AG241" s="26">
        <v>0.96184374645651405</v>
      </c>
      <c r="AH241" s="28">
        <v>0.92</v>
      </c>
      <c r="AI241" s="26">
        <v>0.97180525772377102</v>
      </c>
      <c r="AJ241" s="26">
        <v>0.98152096659559396</v>
      </c>
      <c r="AK241" s="26">
        <v>0.97914652672282798</v>
      </c>
      <c r="AL241" s="26">
        <v>0.97834089436163296</v>
      </c>
      <c r="AM241" s="25">
        <v>0.99</v>
      </c>
      <c r="AN241" s="30">
        <v>1</v>
      </c>
      <c r="AO241" s="30">
        <v>1</v>
      </c>
      <c r="AP241" s="30">
        <v>1</v>
      </c>
      <c r="AQ241" s="30">
        <v>1</v>
      </c>
      <c r="AR241" s="50">
        <v>9.2228725701943806E-2</v>
      </c>
      <c r="AS241" s="34">
        <v>0</v>
      </c>
      <c r="AT241" s="34">
        <v>2.8571428571428598E-2</v>
      </c>
      <c r="AU241" s="34">
        <v>0.05</v>
      </c>
      <c r="AV241" s="34">
        <v>4.8951048951049E-2</v>
      </c>
      <c r="AW241" s="10"/>
      <c r="AX241" s="8"/>
    </row>
    <row r="242" spans="1:50">
      <c r="A242" s="7"/>
      <c r="B242" s="10"/>
      <c r="C242" s="54" t="s">
        <v>284</v>
      </c>
      <c r="D242" s="23" t="s">
        <v>15</v>
      </c>
      <c r="E242" s="55" t="s">
        <v>289</v>
      </c>
      <c r="F242" s="55" t="s">
        <v>289</v>
      </c>
      <c r="G242" s="55" t="s">
        <v>289</v>
      </c>
      <c r="H242" s="55" t="s">
        <v>289</v>
      </c>
      <c r="I242" s="25">
        <v>0.9</v>
      </c>
      <c r="J242" s="26">
        <v>0.98113207547169801</v>
      </c>
      <c r="K242" s="26">
        <v>0.98214285714285698</v>
      </c>
      <c r="L242" s="27">
        <v>0.97115384615384603</v>
      </c>
      <c r="M242" s="26">
        <v>0.98220064724919098</v>
      </c>
      <c r="N242" s="28">
        <v>0.9</v>
      </c>
      <c r="O242" s="26">
        <v>0.97566442523214902</v>
      </c>
      <c r="P242" s="26">
        <v>0.97327433628318605</v>
      </c>
      <c r="Q242" s="26">
        <v>0.96292098445595897</v>
      </c>
      <c r="R242" s="26">
        <v>0.97535355107281096</v>
      </c>
      <c r="S242" s="28">
        <v>0.9</v>
      </c>
      <c r="T242" s="26">
        <v>0.95773294908741602</v>
      </c>
      <c r="U242" s="26">
        <v>0.95902654867256598</v>
      </c>
      <c r="V242" s="26">
        <v>0.94624352331606199</v>
      </c>
      <c r="W242" s="26">
        <v>0.95897445873130105</v>
      </c>
      <c r="X242" s="28">
        <v>0.92</v>
      </c>
      <c r="Y242" s="28">
        <v>0.96517900931829304</v>
      </c>
      <c r="Z242" s="28">
        <v>0.97954887218045095</v>
      </c>
      <c r="AA242" s="28">
        <v>0.97860360360360399</v>
      </c>
      <c r="AB242" s="28">
        <v>0.97650476852144297</v>
      </c>
      <c r="AC242" s="28">
        <v>0.92</v>
      </c>
      <c r="AD242" s="26">
        <v>0.98514721345951595</v>
      </c>
      <c r="AE242" s="26">
        <v>0.95546779245540003</v>
      </c>
      <c r="AF242" s="26">
        <v>0.86427656850192103</v>
      </c>
      <c r="AG242" s="26">
        <v>0.94390543323301102</v>
      </c>
      <c r="AH242" s="28">
        <v>0.92</v>
      </c>
      <c r="AI242" s="26">
        <v>0.98071528751753201</v>
      </c>
      <c r="AJ242" s="26">
        <v>0.98912820512820498</v>
      </c>
      <c r="AK242" s="26">
        <v>0.98581560283687897</v>
      </c>
      <c r="AL242" s="26">
        <v>0.98666032152045602</v>
      </c>
      <c r="AM242" s="25">
        <v>0.99</v>
      </c>
      <c r="AN242" s="30">
        <v>1</v>
      </c>
      <c r="AO242" s="30">
        <v>1</v>
      </c>
      <c r="AP242" s="30">
        <v>1</v>
      </c>
      <c r="AQ242" s="30">
        <v>1</v>
      </c>
      <c r="AR242" s="50">
        <v>9.2228725701943806E-2</v>
      </c>
      <c r="AS242" s="34">
        <v>0</v>
      </c>
      <c r="AT242" s="34">
        <v>6.25E-2</v>
      </c>
      <c r="AU242" s="34">
        <v>8.3333333333333301E-2</v>
      </c>
      <c r="AV242" s="34">
        <v>0.15151515151515199</v>
      </c>
      <c r="AW242" s="10"/>
      <c r="AX242" s="8"/>
    </row>
    <row r="243" spans="1:50">
      <c r="A243" s="7"/>
      <c r="B243" s="10"/>
      <c r="C243" s="54" t="s">
        <v>284</v>
      </c>
      <c r="D243" s="23" t="s">
        <v>15</v>
      </c>
      <c r="E243" s="55" t="s">
        <v>290</v>
      </c>
      <c r="F243" s="55" t="s">
        <v>290</v>
      </c>
      <c r="G243" s="55" t="s">
        <v>290</v>
      </c>
      <c r="H243" s="55" t="s">
        <v>290</v>
      </c>
      <c r="I243" s="25">
        <v>0.9</v>
      </c>
      <c r="J243" s="26">
        <v>0.76288659793814395</v>
      </c>
      <c r="K243" s="26">
        <v>0.79629629629629595</v>
      </c>
      <c r="L243" s="27">
        <v>0.71698113207547198</v>
      </c>
      <c r="M243" s="26">
        <v>0.74394463667820099</v>
      </c>
      <c r="N243" s="28">
        <v>0.9</v>
      </c>
      <c r="O243" s="26">
        <v>0.93652592802493595</v>
      </c>
      <c r="P243" s="26">
        <v>0.87925736235595398</v>
      </c>
      <c r="Q243" s="26">
        <v>0.94349494244855203</v>
      </c>
      <c r="R243" s="26">
        <v>0.90458193114160002</v>
      </c>
      <c r="S243" s="28">
        <v>0.9</v>
      </c>
      <c r="T243" s="26">
        <v>0.92037404363842401</v>
      </c>
      <c r="U243" s="26">
        <v>0.92253521126760596</v>
      </c>
      <c r="V243" s="26">
        <v>0.92274154168120004</v>
      </c>
      <c r="W243" s="26">
        <v>0.92366036758995596</v>
      </c>
      <c r="X243" s="28">
        <v>0.92</v>
      </c>
      <c r="Y243" s="28">
        <v>0.95001120824927099</v>
      </c>
      <c r="Z243" s="28">
        <v>0.95984002666222301</v>
      </c>
      <c r="AA243" s="28">
        <v>0.951517593338705</v>
      </c>
      <c r="AB243" s="28">
        <v>0.954195301262586</v>
      </c>
      <c r="AC243" s="28">
        <v>0.92</v>
      </c>
      <c r="AD243" s="26">
        <v>0.99792599061237897</v>
      </c>
      <c r="AE243" s="26">
        <v>0.99478613009364703</v>
      </c>
      <c r="AF243" s="26">
        <v>0.73382950418868897</v>
      </c>
      <c r="AG243" s="26">
        <v>0.88568264972077804</v>
      </c>
      <c r="AH243" s="28">
        <v>0.92</v>
      </c>
      <c r="AI243" s="26">
        <v>0.96458333333333302</v>
      </c>
      <c r="AJ243" s="26">
        <v>0.97328410078192895</v>
      </c>
      <c r="AK243" s="26">
        <v>0.96700295835545802</v>
      </c>
      <c r="AL243" s="26">
        <v>0.969530590943537</v>
      </c>
      <c r="AM243" s="25">
        <v>0.99</v>
      </c>
      <c r="AN243" s="30">
        <v>1</v>
      </c>
      <c r="AO243" s="30">
        <v>1</v>
      </c>
      <c r="AP243" s="30">
        <v>1</v>
      </c>
      <c r="AQ243" s="30">
        <v>1</v>
      </c>
      <c r="AR243" s="50">
        <v>9.2228725701943806E-2</v>
      </c>
      <c r="AS243" s="34">
        <v>0.04</v>
      </c>
      <c r="AT243" s="34">
        <v>3.5714285714285698E-2</v>
      </c>
      <c r="AU243" s="34">
        <v>0</v>
      </c>
      <c r="AV243" s="34">
        <v>6.3380281690140802E-2</v>
      </c>
      <c r="AW243" s="10"/>
      <c r="AX243" s="8"/>
    </row>
    <row r="244" spans="1:50">
      <c r="A244" s="7"/>
      <c r="B244" s="10"/>
      <c r="C244" s="54" t="s">
        <v>284</v>
      </c>
      <c r="D244" s="23" t="s">
        <v>15</v>
      </c>
      <c r="E244" s="55" t="s">
        <v>291</v>
      </c>
      <c r="F244" s="55" t="s">
        <v>291</v>
      </c>
      <c r="G244" s="55" t="s">
        <v>291</v>
      </c>
      <c r="H244" s="55" t="s">
        <v>291</v>
      </c>
      <c r="I244" s="25">
        <v>0.9</v>
      </c>
      <c r="J244" s="26">
        <v>0.96261682242990698</v>
      </c>
      <c r="K244" s="26">
        <v>0.94594594594594605</v>
      </c>
      <c r="L244" s="27">
        <v>0.87878787878787901</v>
      </c>
      <c r="M244" s="26">
        <v>0.93166666666666698</v>
      </c>
      <c r="N244" s="28">
        <v>0.9</v>
      </c>
      <c r="O244" s="26">
        <v>0.95911739421148201</v>
      </c>
      <c r="P244" s="26">
        <v>0.93114729153986597</v>
      </c>
      <c r="Q244" s="26">
        <v>0.94401709401709399</v>
      </c>
      <c r="R244" s="26">
        <v>0.936500622877524</v>
      </c>
      <c r="S244" s="28">
        <v>0.9</v>
      </c>
      <c r="T244" s="26">
        <v>0.93877161142420495</v>
      </c>
      <c r="U244" s="26">
        <v>0.90786670724284801</v>
      </c>
      <c r="V244" s="26">
        <v>0.89045584045584003</v>
      </c>
      <c r="W244" s="26">
        <v>0.91699517056605095</v>
      </c>
      <c r="X244" s="28">
        <v>0.92</v>
      </c>
      <c r="Y244" s="28">
        <v>0.97177969959035004</v>
      </c>
      <c r="Z244" s="28">
        <v>0.97460145906511797</v>
      </c>
      <c r="AA244" s="28">
        <v>0.97191697191697202</v>
      </c>
      <c r="AB244" s="28">
        <v>0.97199823263006702</v>
      </c>
      <c r="AC244" s="28">
        <v>0.92</v>
      </c>
      <c r="AD244" s="26">
        <v>0.96328124999999998</v>
      </c>
      <c r="AE244" s="26">
        <v>0.97204045211183798</v>
      </c>
      <c r="AF244" s="26">
        <v>0.975103734439834</v>
      </c>
      <c r="AG244" s="26">
        <v>0.97372929754425996</v>
      </c>
      <c r="AH244" s="28">
        <v>0.92</v>
      </c>
      <c r="AI244" s="26">
        <v>0.97742342911272495</v>
      </c>
      <c r="AJ244" s="26">
        <v>0.98616964444708299</v>
      </c>
      <c r="AK244" s="26">
        <v>0.97913106053791499</v>
      </c>
      <c r="AL244" s="26">
        <v>0.98246711769843398</v>
      </c>
      <c r="AM244" s="25">
        <v>0.99</v>
      </c>
      <c r="AN244" s="30">
        <v>1</v>
      </c>
      <c r="AO244" s="30">
        <v>1</v>
      </c>
      <c r="AP244" s="30">
        <v>1</v>
      </c>
      <c r="AQ244" s="30">
        <v>1</v>
      </c>
      <c r="AR244" s="50">
        <v>9.2228725701943806E-2</v>
      </c>
      <c r="AS244" s="34">
        <v>0</v>
      </c>
      <c r="AT244" s="34">
        <v>9.5238095238095205E-2</v>
      </c>
      <c r="AU244" s="34">
        <v>9.5238095238095205E-2</v>
      </c>
      <c r="AV244" s="34">
        <v>0.15</v>
      </c>
      <c r="AW244" s="10"/>
      <c r="AX244" s="8"/>
    </row>
    <row r="245" spans="1:50">
      <c r="A245" s="7"/>
      <c r="B245" s="10"/>
      <c r="C245" s="54" t="s">
        <v>284</v>
      </c>
      <c r="D245" s="23" t="s">
        <v>15</v>
      </c>
      <c r="E245" s="55" t="s">
        <v>292</v>
      </c>
      <c r="F245" s="55" t="s">
        <v>292</v>
      </c>
      <c r="G245" s="55" t="s">
        <v>292</v>
      </c>
      <c r="H245" s="55" t="s">
        <v>292</v>
      </c>
      <c r="I245" s="25">
        <v>0.9</v>
      </c>
      <c r="J245" s="26">
        <v>0.93814432989690699</v>
      </c>
      <c r="K245" s="26">
        <v>0.87755102040816302</v>
      </c>
      <c r="L245" s="27">
        <v>0.91666666666666696</v>
      </c>
      <c r="M245" s="26">
        <v>0.90185185185185202</v>
      </c>
      <c r="N245" s="28">
        <v>0.9</v>
      </c>
      <c r="O245" s="26">
        <v>0.94298785852542699</v>
      </c>
      <c r="P245" s="26">
        <v>0.95223467977269205</v>
      </c>
      <c r="Q245" s="26">
        <v>0.95050138681459395</v>
      </c>
      <c r="R245" s="26">
        <v>0.94755933581412799</v>
      </c>
      <c r="S245" s="28">
        <v>0.9</v>
      </c>
      <c r="T245" s="26">
        <v>0.91536160478620399</v>
      </c>
      <c r="U245" s="26">
        <v>0.89970818614652104</v>
      </c>
      <c r="V245" s="26">
        <v>0.90313633454235098</v>
      </c>
      <c r="W245" s="26">
        <v>0.91003471027862004</v>
      </c>
      <c r="X245" s="28">
        <v>0.92</v>
      </c>
      <c r="Y245" s="28">
        <v>0.95534082005745602</v>
      </c>
      <c r="Z245" s="28">
        <v>0.971688574317492</v>
      </c>
      <c r="AA245" s="28">
        <v>0.98063833005596701</v>
      </c>
      <c r="AB245" s="28">
        <v>0.97075276891308404</v>
      </c>
      <c r="AC245" s="28">
        <v>0.92</v>
      </c>
      <c r="AD245" s="26">
        <v>0.99639546858908301</v>
      </c>
      <c r="AE245" s="26">
        <v>0.98578791191628901</v>
      </c>
      <c r="AF245" s="26">
        <v>0.98522975929978096</v>
      </c>
      <c r="AG245" s="26">
        <v>0.97853797019162503</v>
      </c>
      <c r="AH245" s="28">
        <v>0.92</v>
      </c>
      <c r="AI245" s="26">
        <v>0.96761984861227901</v>
      </c>
      <c r="AJ245" s="26">
        <v>0.98402583798882703</v>
      </c>
      <c r="AK245" s="26">
        <v>0.98539693778210502</v>
      </c>
      <c r="AL245" s="26">
        <v>0.98091257995735603</v>
      </c>
      <c r="AM245" s="25">
        <v>0.99</v>
      </c>
      <c r="AN245" s="30">
        <v>1</v>
      </c>
      <c r="AO245" s="30">
        <v>1</v>
      </c>
      <c r="AP245" s="30">
        <v>1</v>
      </c>
      <c r="AQ245" s="30">
        <v>1</v>
      </c>
      <c r="AR245" s="50">
        <v>9.2228725701943806E-2</v>
      </c>
      <c r="AS245" s="34">
        <v>7.1428571428571397E-2</v>
      </c>
      <c r="AT245" s="34">
        <v>0.11111111111111099</v>
      </c>
      <c r="AU245" s="34">
        <v>0.2</v>
      </c>
      <c r="AV245" s="34">
        <v>0.12396694214876</v>
      </c>
      <c r="AW245" s="10"/>
      <c r="AX245" s="8"/>
    </row>
    <row r="246" spans="1:50">
      <c r="A246" s="7"/>
      <c r="B246" s="10"/>
      <c r="C246" s="54" t="s">
        <v>284</v>
      </c>
      <c r="D246" s="23" t="s">
        <v>15</v>
      </c>
      <c r="E246" s="55" t="s">
        <v>293</v>
      </c>
      <c r="F246" s="55" t="s">
        <v>293</v>
      </c>
      <c r="G246" s="55" t="s">
        <v>293</v>
      </c>
      <c r="H246" s="55" t="s">
        <v>293</v>
      </c>
      <c r="I246" s="25">
        <v>0.9</v>
      </c>
      <c r="J246" s="26">
        <v>0</v>
      </c>
      <c r="K246" s="26">
        <v>0</v>
      </c>
      <c r="L246" s="27">
        <v>0</v>
      </c>
      <c r="M246" s="26">
        <v>0</v>
      </c>
      <c r="N246" s="28">
        <v>0.9</v>
      </c>
      <c r="O246" s="26">
        <v>0</v>
      </c>
      <c r="P246" s="26">
        <v>0</v>
      </c>
      <c r="Q246" s="26">
        <v>0</v>
      </c>
      <c r="R246" s="26">
        <v>0</v>
      </c>
      <c r="S246" s="28">
        <v>0.9</v>
      </c>
      <c r="T246" s="26">
        <v>0</v>
      </c>
      <c r="U246" s="26">
        <v>0</v>
      </c>
      <c r="V246" s="26">
        <v>0</v>
      </c>
      <c r="W246" s="26">
        <v>0</v>
      </c>
      <c r="X246" s="28">
        <v>0.92</v>
      </c>
      <c r="Y246" s="28">
        <v>0</v>
      </c>
      <c r="Z246" s="28">
        <v>0</v>
      </c>
      <c r="AA246" s="28">
        <v>0</v>
      </c>
      <c r="AB246" s="28">
        <v>0</v>
      </c>
      <c r="AC246" s="28">
        <v>0.92</v>
      </c>
      <c r="AD246" s="26">
        <v>1</v>
      </c>
      <c r="AE246" s="26">
        <v>0.997899159663866</v>
      </c>
      <c r="AF246" s="26">
        <v>0.98997493734335795</v>
      </c>
      <c r="AG246" s="26">
        <v>0.98180242634315396</v>
      </c>
      <c r="AH246" s="28">
        <v>0.92</v>
      </c>
      <c r="AI246" s="26">
        <v>0</v>
      </c>
      <c r="AJ246" s="26">
        <v>0</v>
      </c>
      <c r="AK246" s="26">
        <v>0</v>
      </c>
      <c r="AL246" s="26">
        <v>0</v>
      </c>
      <c r="AM246" s="25">
        <v>0.99</v>
      </c>
      <c r="AN246" s="30">
        <v>1</v>
      </c>
      <c r="AO246" s="30">
        <v>1</v>
      </c>
      <c r="AP246" s="30">
        <v>1</v>
      </c>
      <c r="AQ246" s="30">
        <v>1</v>
      </c>
      <c r="AR246" s="50">
        <v>9.2228725701943806E-2</v>
      </c>
      <c r="AS246" s="34">
        <v>0</v>
      </c>
      <c r="AT246" s="34">
        <v>0</v>
      </c>
      <c r="AU246" s="34">
        <v>0</v>
      </c>
      <c r="AV246" s="34">
        <v>0</v>
      </c>
      <c r="AW246" s="10"/>
      <c r="AX246" s="8"/>
    </row>
    <row r="247" spans="1:50">
      <c r="A247" s="7"/>
      <c r="B247" s="10"/>
      <c r="C247" s="54" t="s">
        <v>284</v>
      </c>
      <c r="D247" s="23" t="s">
        <v>15</v>
      </c>
      <c r="E247" s="55" t="s">
        <v>294</v>
      </c>
      <c r="F247" s="55" t="s">
        <v>294</v>
      </c>
      <c r="G247" s="55" t="s">
        <v>294</v>
      </c>
      <c r="H247" s="55" t="s">
        <v>294</v>
      </c>
      <c r="I247" s="25">
        <v>0.9</v>
      </c>
      <c r="J247" s="26">
        <v>0.78571428571428603</v>
      </c>
      <c r="K247" s="26">
        <v>0.8125</v>
      </c>
      <c r="L247" s="27">
        <v>0.92857142857142905</v>
      </c>
      <c r="M247" s="26">
        <v>0.8</v>
      </c>
      <c r="N247" s="28">
        <v>0.9</v>
      </c>
      <c r="O247" s="26">
        <v>0.94764744864148398</v>
      </c>
      <c r="P247" s="26">
        <v>0.770430442919526</v>
      </c>
      <c r="Q247" s="26">
        <v>0.93499554764024895</v>
      </c>
      <c r="R247" s="26">
        <v>0.923693196742842</v>
      </c>
      <c r="S247" s="28">
        <v>0.9</v>
      </c>
      <c r="T247" s="26">
        <v>0.90656063618290295</v>
      </c>
      <c r="U247" s="26">
        <v>0.89956331877729301</v>
      </c>
      <c r="V247" s="26">
        <v>0.90026714158503995</v>
      </c>
      <c r="W247" s="26">
        <v>0.91791436826897799</v>
      </c>
      <c r="X247" s="28">
        <v>0.92</v>
      </c>
      <c r="Y247" s="28">
        <v>0.93214285714285705</v>
      </c>
      <c r="Z247" s="28">
        <v>0.96390845070422504</v>
      </c>
      <c r="AA247" s="28">
        <v>0.95801259622113399</v>
      </c>
      <c r="AB247" s="28">
        <v>0.945562130177515</v>
      </c>
      <c r="AC247" s="28">
        <v>0.92</v>
      </c>
      <c r="AD247" s="26">
        <v>0.99918721213763195</v>
      </c>
      <c r="AE247" s="26">
        <v>0.99522998296422505</v>
      </c>
      <c r="AF247" s="26">
        <v>0.99786674251582197</v>
      </c>
      <c r="AG247" s="26">
        <v>0.98386242308162497</v>
      </c>
      <c r="AH247" s="28">
        <v>0.92</v>
      </c>
      <c r="AI247" s="26">
        <v>0.94252873563218398</v>
      </c>
      <c r="AJ247" s="26">
        <v>0.97261774370208098</v>
      </c>
      <c r="AK247" s="26">
        <v>0.97258127692910301</v>
      </c>
      <c r="AL247" s="26">
        <v>0.96208986107005601</v>
      </c>
      <c r="AM247" s="25">
        <v>0.99</v>
      </c>
      <c r="AN247" s="30">
        <v>1</v>
      </c>
      <c r="AO247" s="30">
        <v>1</v>
      </c>
      <c r="AP247" s="30">
        <v>1</v>
      </c>
      <c r="AQ247" s="30">
        <v>1</v>
      </c>
      <c r="AR247" s="50">
        <v>9.2228725701943806E-2</v>
      </c>
      <c r="AS247" s="34">
        <v>0</v>
      </c>
      <c r="AT247" s="34">
        <v>0.125</v>
      </c>
      <c r="AU247" s="34">
        <v>0</v>
      </c>
      <c r="AV247" s="34">
        <v>6.4516129032258104E-2</v>
      </c>
      <c r="AW247" s="10"/>
      <c r="AX247" s="8"/>
    </row>
    <row r="248" spans="1:50">
      <c r="A248" s="7"/>
      <c r="B248" s="10"/>
      <c r="C248" s="54" t="s">
        <v>284</v>
      </c>
      <c r="D248" s="23" t="s">
        <v>15</v>
      </c>
      <c r="E248" s="55" t="s">
        <v>295</v>
      </c>
      <c r="F248" s="55" t="s">
        <v>295</v>
      </c>
      <c r="G248" s="55" t="s">
        <v>295</v>
      </c>
      <c r="H248" s="55" t="s">
        <v>295</v>
      </c>
      <c r="I248" s="25">
        <v>0.9</v>
      </c>
      <c r="J248" s="26">
        <v>0</v>
      </c>
      <c r="K248" s="26">
        <v>0</v>
      </c>
      <c r="L248" s="27">
        <v>0</v>
      </c>
      <c r="M248" s="26">
        <v>0</v>
      </c>
      <c r="N248" s="28">
        <v>0.9</v>
      </c>
      <c r="O248" s="26">
        <v>1</v>
      </c>
      <c r="P248" s="26">
        <v>0</v>
      </c>
      <c r="Q248" s="26">
        <v>0</v>
      </c>
      <c r="R248" s="26">
        <v>0.33333333333333298</v>
      </c>
      <c r="S248" s="28">
        <v>0.9</v>
      </c>
      <c r="T248" s="26">
        <v>0</v>
      </c>
      <c r="U248" s="26">
        <v>0</v>
      </c>
      <c r="V248" s="26">
        <v>0</v>
      </c>
      <c r="W248" s="26">
        <v>0.16666666666666699</v>
      </c>
      <c r="X248" s="28">
        <v>0.92</v>
      </c>
      <c r="Y248" s="28">
        <v>0</v>
      </c>
      <c r="Z248" s="28">
        <v>0</v>
      </c>
      <c r="AA248" s="28">
        <v>0</v>
      </c>
      <c r="AB248" s="28">
        <v>0</v>
      </c>
      <c r="AC248" s="28">
        <v>0.92</v>
      </c>
      <c r="AD248" s="26">
        <v>0.99531673650480601</v>
      </c>
      <c r="AE248" s="26">
        <v>0.99080440725706198</v>
      </c>
      <c r="AF248" s="26">
        <v>0.83240057661324496</v>
      </c>
      <c r="AG248" s="26">
        <v>0.933563335660205</v>
      </c>
      <c r="AH248" s="28">
        <v>0.92</v>
      </c>
      <c r="AI248" s="26">
        <v>0</v>
      </c>
      <c r="AJ248" s="26">
        <v>0.33333333333333298</v>
      </c>
      <c r="AK248" s="26">
        <v>0</v>
      </c>
      <c r="AL248" s="26">
        <v>0.25</v>
      </c>
      <c r="AM248" s="25">
        <v>0.99</v>
      </c>
      <c r="AN248" s="30">
        <v>1</v>
      </c>
      <c r="AO248" s="30">
        <v>1</v>
      </c>
      <c r="AP248" s="30">
        <v>0</v>
      </c>
      <c r="AQ248" s="30">
        <v>1</v>
      </c>
      <c r="AR248" s="50">
        <v>9.2228725701943806E-2</v>
      </c>
      <c r="AS248" s="34">
        <v>0</v>
      </c>
      <c r="AT248" s="34">
        <v>0</v>
      </c>
      <c r="AU248" s="34">
        <v>0</v>
      </c>
      <c r="AV248" s="34">
        <v>0</v>
      </c>
      <c r="AW248" s="10"/>
      <c r="AX248" s="8"/>
    </row>
    <row r="249" spans="1:50">
      <c r="A249" s="7"/>
      <c r="B249" s="10"/>
      <c r="C249" s="54" t="s">
        <v>284</v>
      </c>
      <c r="D249" s="23" t="s">
        <v>15</v>
      </c>
      <c r="E249" s="55" t="s">
        <v>296</v>
      </c>
      <c r="F249" s="55" t="s">
        <v>296</v>
      </c>
      <c r="G249" s="55" t="s">
        <v>296</v>
      </c>
      <c r="H249" s="55" t="s">
        <v>296</v>
      </c>
      <c r="I249" s="25">
        <v>0.9</v>
      </c>
      <c r="J249" s="26">
        <v>0</v>
      </c>
      <c r="K249" s="26">
        <v>0</v>
      </c>
      <c r="L249" s="27">
        <v>0</v>
      </c>
      <c r="M249" s="26">
        <v>0</v>
      </c>
      <c r="N249" s="28">
        <v>0.9</v>
      </c>
      <c r="O249" s="26">
        <v>0</v>
      </c>
      <c r="P249" s="26">
        <v>0</v>
      </c>
      <c r="Q249" s="26">
        <v>0</v>
      </c>
      <c r="R249" s="26">
        <v>0</v>
      </c>
      <c r="S249" s="28">
        <v>0.9</v>
      </c>
      <c r="T249" s="26">
        <v>0</v>
      </c>
      <c r="U249" s="26">
        <v>0</v>
      </c>
      <c r="V249" s="26">
        <v>0</v>
      </c>
      <c r="W249" s="26">
        <v>0</v>
      </c>
      <c r="X249" s="28">
        <v>0.92</v>
      </c>
      <c r="Y249" s="28">
        <v>0</v>
      </c>
      <c r="Z249" s="28">
        <v>0</v>
      </c>
      <c r="AA249" s="28">
        <v>0</v>
      </c>
      <c r="AB249" s="28">
        <v>0</v>
      </c>
      <c r="AC249" s="28">
        <v>0.92</v>
      </c>
      <c r="AD249" s="26">
        <v>1</v>
      </c>
      <c r="AE249" s="26">
        <v>0.99946581196581197</v>
      </c>
      <c r="AF249" s="26">
        <v>1</v>
      </c>
      <c r="AG249" s="26">
        <v>0.99881807437039705</v>
      </c>
      <c r="AH249" s="28">
        <v>0.92</v>
      </c>
      <c r="AI249" s="26">
        <v>0</v>
      </c>
      <c r="AJ249" s="26">
        <v>0</v>
      </c>
      <c r="AK249" s="26">
        <v>0</v>
      </c>
      <c r="AL249" s="26">
        <v>0</v>
      </c>
      <c r="AM249" s="25">
        <v>0.99</v>
      </c>
      <c r="AN249" s="30">
        <v>1</v>
      </c>
      <c r="AO249" s="30">
        <v>1</v>
      </c>
      <c r="AP249" s="30">
        <v>1</v>
      </c>
      <c r="AQ249" s="30">
        <v>1</v>
      </c>
      <c r="AR249" s="50">
        <v>9.2228725701943806E-2</v>
      </c>
      <c r="AS249" s="34">
        <v>0</v>
      </c>
      <c r="AT249" s="34">
        <v>0</v>
      </c>
      <c r="AU249" s="34">
        <v>0</v>
      </c>
      <c r="AV249" s="34">
        <v>1</v>
      </c>
      <c r="AW249" s="10"/>
      <c r="AX249" s="8"/>
    </row>
    <row r="250" spans="1:50">
      <c r="A250" s="7"/>
      <c r="B250" s="10"/>
      <c r="C250" s="54" t="s">
        <v>284</v>
      </c>
      <c r="D250" s="23" t="s">
        <v>15</v>
      </c>
      <c r="E250" s="55" t="s">
        <v>297</v>
      </c>
      <c r="F250" s="55" t="s">
        <v>297</v>
      </c>
      <c r="G250" s="55" t="s">
        <v>297</v>
      </c>
      <c r="H250" s="55" t="s">
        <v>297</v>
      </c>
      <c r="I250" s="25">
        <v>0.9</v>
      </c>
      <c r="J250" s="26">
        <v>0</v>
      </c>
      <c r="K250" s="26">
        <v>0</v>
      </c>
      <c r="L250" s="27">
        <v>0</v>
      </c>
      <c r="M250" s="26">
        <v>0</v>
      </c>
      <c r="N250" s="28">
        <v>0.9</v>
      </c>
      <c r="O250" s="26">
        <v>0.85714285714285698</v>
      </c>
      <c r="P250" s="26">
        <v>0.7</v>
      </c>
      <c r="Q250" s="26">
        <v>0.38461538461538503</v>
      </c>
      <c r="R250" s="26">
        <v>0.72881355932203395</v>
      </c>
      <c r="S250" s="28">
        <v>0.9</v>
      </c>
      <c r="T250" s="26">
        <v>0.71428571428571397</v>
      </c>
      <c r="U250" s="26">
        <v>0.6</v>
      </c>
      <c r="V250" s="26">
        <v>0.30769230769230799</v>
      </c>
      <c r="W250" s="26">
        <v>0.677966101694915</v>
      </c>
      <c r="X250" s="28">
        <v>0.92</v>
      </c>
      <c r="Y250" s="28">
        <v>1</v>
      </c>
      <c r="Z250" s="28">
        <v>0</v>
      </c>
      <c r="AA250" s="28">
        <v>0.5</v>
      </c>
      <c r="AB250" s="28">
        <v>0.625</v>
      </c>
      <c r="AC250" s="28">
        <v>0.92</v>
      </c>
      <c r="AD250" s="26">
        <v>0.99847505627768496</v>
      </c>
      <c r="AE250" s="26">
        <v>0.99605407380343403</v>
      </c>
      <c r="AF250" s="26">
        <v>0.66244429980473596</v>
      </c>
      <c r="AG250" s="26">
        <v>0.79890936540163504</v>
      </c>
      <c r="AH250" s="28">
        <v>0.92</v>
      </c>
      <c r="AI250" s="26">
        <v>0.77777777777777801</v>
      </c>
      <c r="AJ250" s="26">
        <v>0.66666666666666696</v>
      </c>
      <c r="AK250" s="26">
        <v>0.375</v>
      </c>
      <c r="AL250" s="26">
        <v>0.69863013698630105</v>
      </c>
      <c r="AM250" s="25">
        <v>0.99</v>
      </c>
      <c r="AN250" s="30">
        <v>1</v>
      </c>
      <c r="AO250" s="30">
        <v>1</v>
      </c>
      <c r="AP250" s="30">
        <v>1</v>
      </c>
      <c r="AQ250" s="30">
        <v>1</v>
      </c>
      <c r="AR250" s="50">
        <v>9.2228725701943806E-2</v>
      </c>
      <c r="AS250" s="34">
        <v>0</v>
      </c>
      <c r="AT250" s="34">
        <v>0</v>
      </c>
      <c r="AU250" s="34">
        <v>0</v>
      </c>
      <c r="AV250" s="34">
        <v>0</v>
      </c>
      <c r="AW250" s="10"/>
      <c r="AX250" s="8"/>
    </row>
    <row r="251" spans="1:50">
      <c r="A251" s="7"/>
      <c r="B251" s="10"/>
      <c r="C251" s="54" t="s">
        <v>284</v>
      </c>
      <c r="D251" s="23" t="s">
        <v>15</v>
      </c>
      <c r="E251" s="55" t="s">
        <v>298</v>
      </c>
      <c r="F251" s="55" t="s">
        <v>298</v>
      </c>
      <c r="G251" s="55" t="s">
        <v>298</v>
      </c>
      <c r="H251" s="55" t="s">
        <v>298</v>
      </c>
      <c r="I251" s="25">
        <v>0.9</v>
      </c>
      <c r="J251" s="26">
        <v>0</v>
      </c>
      <c r="K251" s="26">
        <v>0</v>
      </c>
      <c r="L251" s="27">
        <v>0</v>
      </c>
      <c r="M251" s="26">
        <v>0</v>
      </c>
      <c r="N251" s="28">
        <v>0.9</v>
      </c>
      <c r="O251" s="26">
        <v>0</v>
      </c>
      <c r="P251" s="26">
        <v>0</v>
      </c>
      <c r="Q251" s="26">
        <v>0</v>
      </c>
      <c r="R251" s="26">
        <v>0.33333333333333298</v>
      </c>
      <c r="S251" s="28">
        <v>0.9</v>
      </c>
      <c r="T251" s="26">
        <v>0</v>
      </c>
      <c r="U251" s="26">
        <v>0</v>
      </c>
      <c r="V251" s="26">
        <v>0</v>
      </c>
      <c r="W251" s="26">
        <v>0</v>
      </c>
      <c r="X251" s="28">
        <v>0.92</v>
      </c>
      <c r="Y251" s="28">
        <v>1</v>
      </c>
      <c r="Z251" s="28">
        <v>0</v>
      </c>
      <c r="AA251" s="28">
        <v>0</v>
      </c>
      <c r="AB251" s="28">
        <v>1</v>
      </c>
      <c r="AC251" s="28">
        <v>0.92</v>
      </c>
      <c r="AD251" s="26">
        <v>0.99419448476052297</v>
      </c>
      <c r="AE251" s="26">
        <v>0.99258893280632399</v>
      </c>
      <c r="AF251" s="26">
        <v>0.99189765458422197</v>
      </c>
      <c r="AG251" s="26">
        <v>0.93380986996203896</v>
      </c>
      <c r="AH251" s="28">
        <v>0.92</v>
      </c>
      <c r="AI251" s="26">
        <v>1</v>
      </c>
      <c r="AJ251" s="26">
        <v>0</v>
      </c>
      <c r="AK251" s="26">
        <v>0</v>
      </c>
      <c r="AL251" s="26">
        <v>0.4</v>
      </c>
      <c r="AM251" s="25">
        <v>0.99</v>
      </c>
      <c r="AN251" s="30">
        <v>1</v>
      </c>
      <c r="AO251" s="30">
        <v>1</v>
      </c>
      <c r="AP251" s="30">
        <v>1</v>
      </c>
      <c r="AQ251" s="30">
        <v>1</v>
      </c>
      <c r="AR251" s="50">
        <v>9.2228725701943806E-2</v>
      </c>
      <c r="AS251" s="34">
        <v>0</v>
      </c>
      <c r="AT251" s="34">
        <v>0</v>
      </c>
      <c r="AU251" s="34">
        <v>0</v>
      </c>
      <c r="AV251" s="34">
        <v>0</v>
      </c>
      <c r="AW251" s="10"/>
      <c r="AX251" s="8"/>
    </row>
    <row r="252" spans="1:50">
      <c r="A252" s="7"/>
      <c r="B252" s="10"/>
      <c r="C252" s="54" t="s">
        <v>284</v>
      </c>
      <c r="D252" s="23" t="s">
        <v>15</v>
      </c>
      <c r="E252" s="55" t="s">
        <v>299</v>
      </c>
      <c r="F252" s="55" t="s">
        <v>299</v>
      </c>
      <c r="G252" s="55" t="s">
        <v>299</v>
      </c>
      <c r="H252" s="55" t="s">
        <v>299</v>
      </c>
      <c r="I252" s="25">
        <v>0.9</v>
      </c>
      <c r="J252" s="26">
        <v>0.9375</v>
      </c>
      <c r="K252" s="26">
        <v>0.98850574712643702</v>
      </c>
      <c r="L252" s="27">
        <v>0.83132530120481896</v>
      </c>
      <c r="M252" s="26">
        <v>0.91684434968017103</v>
      </c>
      <c r="N252" s="28">
        <v>0.9</v>
      </c>
      <c r="O252" s="26">
        <v>0.86961226330027097</v>
      </c>
      <c r="P252" s="26">
        <v>0.85593934288121298</v>
      </c>
      <c r="Q252" s="26">
        <v>0.91847704367301197</v>
      </c>
      <c r="R252" s="26">
        <v>0.86919577144386495</v>
      </c>
      <c r="S252" s="28">
        <v>0.9</v>
      </c>
      <c r="T252" s="26">
        <v>0.91596032461677201</v>
      </c>
      <c r="U252" s="26">
        <v>0.91676495366470101</v>
      </c>
      <c r="V252" s="26">
        <v>0.91354983202687601</v>
      </c>
      <c r="W252" s="26">
        <v>0.92496320085641603</v>
      </c>
      <c r="X252" s="28">
        <v>0.92</v>
      </c>
      <c r="Y252" s="28">
        <v>0.96467817896389296</v>
      </c>
      <c r="Z252" s="28">
        <v>0.98782642843117996</v>
      </c>
      <c r="AA252" s="28">
        <v>0.98881054567749804</v>
      </c>
      <c r="AB252" s="28">
        <v>0.97992322456813796</v>
      </c>
      <c r="AC252" s="28">
        <v>0.92</v>
      </c>
      <c r="AD252" s="26">
        <v>0.98927875243664698</v>
      </c>
      <c r="AE252" s="26">
        <v>0.98592188919164403</v>
      </c>
      <c r="AF252" s="26">
        <v>0.99298994209082603</v>
      </c>
      <c r="AG252" s="26">
        <v>0.98571314550243405</v>
      </c>
      <c r="AH252" s="28">
        <v>0.92</v>
      </c>
      <c r="AI252" s="26">
        <v>0.97950250880751599</v>
      </c>
      <c r="AJ252" s="26">
        <v>0.99183969534862604</v>
      </c>
      <c r="AK252" s="26">
        <v>0.99162875341219303</v>
      </c>
      <c r="AL252" s="26">
        <v>0.98795309930649899</v>
      </c>
      <c r="AM252" s="25">
        <v>0.99</v>
      </c>
      <c r="AN252" s="30">
        <v>1</v>
      </c>
      <c r="AO252" s="30">
        <v>1</v>
      </c>
      <c r="AP252" s="30">
        <v>1</v>
      </c>
      <c r="AQ252" s="30">
        <v>1</v>
      </c>
      <c r="AR252" s="50">
        <v>9.2228725701943806E-2</v>
      </c>
      <c r="AS252" s="34">
        <v>0.11111111111111099</v>
      </c>
      <c r="AT252" s="34">
        <v>7.4074074074074098E-2</v>
      </c>
      <c r="AU252" s="34">
        <v>4.1666666666666699E-2</v>
      </c>
      <c r="AV252" s="34">
        <v>7.8014184397163094E-2</v>
      </c>
      <c r="AW252" s="10"/>
      <c r="AX252" s="8"/>
    </row>
    <row r="253" spans="1:50">
      <c r="A253" s="7"/>
      <c r="B253" s="10"/>
      <c r="C253" s="54" t="s">
        <v>284</v>
      </c>
      <c r="D253" s="23" t="s">
        <v>15</v>
      </c>
      <c r="E253" s="55" t="s">
        <v>300</v>
      </c>
      <c r="F253" s="55" t="s">
        <v>300</v>
      </c>
      <c r="G253" s="55" t="s">
        <v>300</v>
      </c>
      <c r="H253" s="55" t="s">
        <v>300</v>
      </c>
      <c r="I253" s="25">
        <v>0.9</v>
      </c>
      <c r="J253" s="26">
        <v>0.97674418604651203</v>
      </c>
      <c r="K253" s="26">
        <v>0.94736842105263197</v>
      </c>
      <c r="L253" s="27">
        <v>0.95967741935483897</v>
      </c>
      <c r="M253" s="26">
        <v>0.97099447513812198</v>
      </c>
      <c r="N253" s="28">
        <v>0.9</v>
      </c>
      <c r="O253" s="26">
        <v>0.95259063554968404</v>
      </c>
      <c r="P253" s="26">
        <v>0.95147819170091497</v>
      </c>
      <c r="Q253" s="26">
        <v>0.94999070459193202</v>
      </c>
      <c r="R253" s="26">
        <v>0.95437623977609298</v>
      </c>
      <c r="S253" s="28">
        <v>0.9</v>
      </c>
      <c r="T253" s="26">
        <v>0.90268604139145703</v>
      </c>
      <c r="U253" s="26">
        <v>0.92019090547527504</v>
      </c>
      <c r="V253" s="26">
        <v>0.92675218442089602</v>
      </c>
      <c r="W253" s="26">
        <v>0.92005652020325501</v>
      </c>
      <c r="X253" s="28">
        <v>0.92</v>
      </c>
      <c r="Y253" s="28">
        <v>0.93643031784841102</v>
      </c>
      <c r="Z253" s="28">
        <v>0.95808580858085801</v>
      </c>
      <c r="AA253" s="28">
        <v>0.96261930010604502</v>
      </c>
      <c r="AB253" s="28">
        <v>0.95203569436698299</v>
      </c>
      <c r="AC253" s="28">
        <v>0.92</v>
      </c>
      <c r="AD253" s="26">
        <v>0.97892755207384496</v>
      </c>
      <c r="AE253" s="26">
        <v>0.91802993386703802</v>
      </c>
      <c r="AF253" s="26">
        <v>0.97343012192543499</v>
      </c>
      <c r="AG253" s="26">
        <v>0.92240267818769905</v>
      </c>
      <c r="AH253" s="28">
        <v>0.92</v>
      </c>
      <c r="AI253" s="26">
        <v>0.95633728124447603</v>
      </c>
      <c r="AJ253" s="26">
        <v>0.97213849886054504</v>
      </c>
      <c r="AK253" s="26">
        <v>0.97207179328485205</v>
      </c>
      <c r="AL253" s="26">
        <v>0.96738048178805502</v>
      </c>
      <c r="AM253" s="25">
        <v>0.99</v>
      </c>
      <c r="AN253" s="30">
        <v>1</v>
      </c>
      <c r="AO253" s="30">
        <v>1</v>
      </c>
      <c r="AP253" s="30">
        <v>1</v>
      </c>
      <c r="AQ253" s="30">
        <v>1</v>
      </c>
      <c r="AR253" s="50">
        <v>9.2228725701943806E-2</v>
      </c>
      <c r="AS253" s="34">
        <v>5.3571428571428603E-2</v>
      </c>
      <c r="AT253" s="34">
        <v>3.4482758620689703E-2</v>
      </c>
      <c r="AU253" s="34">
        <v>3.77358490566038E-2</v>
      </c>
      <c r="AV253" s="34">
        <v>3.4364261168384903E-2</v>
      </c>
      <c r="AW253" s="10"/>
      <c r="AX253" s="8"/>
    </row>
    <row r="254" spans="1:50">
      <c r="A254" s="7"/>
      <c r="B254" s="10"/>
      <c r="C254" s="54" t="s">
        <v>284</v>
      </c>
      <c r="D254" s="23" t="s">
        <v>15</v>
      </c>
      <c r="E254" s="55" t="s">
        <v>301</v>
      </c>
      <c r="F254" s="55" t="s">
        <v>301</v>
      </c>
      <c r="G254" s="55" t="s">
        <v>301</v>
      </c>
      <c r="H254" s="55" t="s">
        <v>301</v>
      </c>
      <c r="I254" s="25">
        <v>0.9</v>
      </c>
      <c r="J254" s="26">
        <v>0.92857142857142905</v>
      </c>
      <c r="K254" s="26">
        <v>0.95535714285714302</v>
      </c>
      <c r="L254" s="27">
        <v>0.96190476190476204</v>
      </c>
      <c r="M254" s="26">
        <v>0.93739703459637602</v>
      </c>
      <c r="N254" s="28">
        <v>0.9</v>
      </c>
      <c r="O254" s="26">
        <v>0.96542646542646504</v>
      </c>
      <c r="P254" s="26">
        <v>0.88112858464384802</v>
      </c>
      <c r="Q254" s="26">
        <v>0.96682762964518199</v>
      </c>
      <c r="R254" s="26">
        <v>0.94368149174751204</v>
      </c>
      <c r="S254" s="28">
        <v>0.9</v>
      </c>
      <c r="T254" s="26">
        <v>0.94629694629694605</v>
      </c>
      <c r="U254" s="26">
        <v>0.94110391612704303</v>
      </c>
      <c r="V254" s="26">
        <v>0.94499265169011104</v>
      </c>
      <c r="W254" s="26">
        <v>0.94324051908781703</v>
      </c>
      <c r="X254" s="28">
        <v>0.92</v>
      </c>
      <c r="Y254" s="28">
        <v>0.97248677248677295</v>
      </c>
      <c r="Z254" s="28">
        <v>0.989910527317723</v>
      </c>
      <c r="AA254" s="28">
        <v>0.98288204170557103</v>
      </c>
      <c r="AB254" s="28">
        <v>0.98284359832950796</v>
      </c>
      <c r="AC254" s="28">
        <v>0.92</v>
      </c>
      <c r="AD254" s="26">
        <v>0.99151129301197505</v>
      </c>
      <c r="AE254" s="26">
        <v>0.99120433017591303</v>
      </c>
      <c r="AF254" s="26">
        <v>0.99367681498828997</v>
      </c>
      <c r="AG254" s="26">
        <v>0.98788975501113596</v>
      </c>
      <c r="AH254" s="28">
        <v>0.92</v>
      </c>
      <c r="AI254" s="26">
        <v>0.98586348770967402</v>
      </c>
      <c r="AJ254" s="26">
        <v>0.99344122657580902</v>
      </c>
      <c r="AK254" s="26">
        <v>0.98873894003038698</v>
      </c>
      <c r="AL254" s="26">
        <v>0.98956065618732503</v>
      </c>
      <c r="AM254" s="25">
        <v>0.99</v>
      </c>
      <c r="AN254" s="30">
        <v>1</v>
      </c>
      <c r="AO254" s="30">
        <v>1</v>
      </c>
      <c r="AP254" s="30">
        <v>1</v>
      </c>
      <c r="AQ254" s="30">
        <v>1</v>
      </c>
      <c r="AR254" s="50">
        <v>9.2228725701943806E-2</v>
      </c>
      <c r="AS254" s="34">
        <v>0.12903225806451599</v>
      </c>
      <c r="AT254" s="34">
        <v>4.8780487804878099E-2</v>
      </c>
      <c r="AU254" s="34">
        <v>0.133333333333333</v>
      </c>
      <c r="AV254" s="34">
        <v>8.4158415841584205E-2</v>
      </c>
      <c r="AW254" s="10"/>
      <c r="AX254" s="8"/>
    </row>
    <row r="255" spans="1:50">
      <c r="A255" s="7"/>
      <c r="B255" s="10"/>
      <c r="C255" s="54" t="s">
        <v>284</v>
      </c>
      <c r="D255" s="23" t="s">
        <v>15</v>
      </c>
      <c r="E255" s="55" t="s">
        <v>14</v>
      </c>
      <c r="F255" s="55" t="s">
        <v>14</v>
      </c>
      <c r="G255" s="55" t="s">
        <v>14</v>
      </c>
      <c r="H255" s="55" t="s">
        <v>14</v>
      </c>
      <c r="I255" s="25">
        <v>0.9</v>
      </c>
      <c r="J255" s="26">
        <v>0</v>
      </c>
      <c r="K255" s="26">
        <v>0</v>
      </c>
      <c r="L255" s="27">
        <v>0</v>
      </c>
      <c r="M255" s="26">
        <v>0</v>
      </c>
      <c r="N255" s="28">
        <v>0.9</v>
      </c>
      <c r="O255" s="26">
        <v>0</v>
      </c>
      <c r="P255" s="26">
        <v>0</v>
      </c>
      <c r="Q255" s="26">
        <v>0</v>
      </c>
      <c r="R255" s="26">
        <v>0</v>
      </c>
      <c r="S255" s="28">
        <v>0.9</v>
      </c>
      <c r="T255" s="26">
        <v>0</v>
      </c>
      <c r="U255" s="26">
        <v>0</v>
      </c>
      <c r="V255" s="26">
        <v>0</v>
      </c>
      <c r="W255" s="26">
        <v>0</v>
      </c>
      <c r="X255" s="28">
        <v>0.92</v>
      </c>
      <c r="Y255" s="28">
        <v>0</v>
      </c>
      <c r="Z255" s="28">
        <v>0</v>
      </c>
      <c r="AA255" s="28">
        <v>0</v>
      </c>
      <c r="AB255" s="28">
        <v>0</v>
      </c>
      <c r="AC255" s="28">
        <v>0.92</v>
      </c>
      <c r="AD255" s="26">
        <v>0.99738562091503302</v>
      </c>
      <c r="AE255" s="26">
        <v>1</v>
      </c>
      <c r="AF255" s="26">
        <v>1</v>
      </c>
      <c r="AG255" s="26">
        <v>0.99953062661347103</v>
      </c>
      <c r="AH255" s="28">
        <v>0.92</v>
      </c>
      <c r="AI255" s="26">
        <v>1</v>
      </c>
      <c r="AJ255" s="26">
        <v>0</v>
      </c>
      <c r="AK255" s="26">
        <v>0</v>
      </c>
      <c r="AL255" s="26">
        <v>1</v>
      </c>
      <c r="AM255" s="25">
        <v>0.99</v>
      </c>
      <c r="AN255" s="30">
        <v>1</v>
      </c>
      <c r="AO255" s="30">
        <v>1</v>
      </c>
      <c r="AP255" s="30">
        <v>0</v>
      </c>
      <c r="AQ255" s="30">
        <v>1</v>
      </c>
      <c r="AR255" s="50">
        <v>9.2228725701943806E-2</v>
      </c>
      <c r="AS255" s="34">
        <v>0</v>
      </c>
      <c r="AT255" s="34">
        <v>0</v>
      </c>
      <c r="AU255" s="34">
        <v>0</v>
      </c>
      <c r="AV255" s="34">
        <v>0</v>
      </c>
      <c r="AW255" s="10"/>
      <c r="AX255" s="8"/>
    </row>
    <row r="256" spans="1:50">
      <c r="A256" s="7"/>
      <c r="B256" s="10"/>
      <c r="C256" s="54" t="s">
        <v>284</v>
      </c>
      <c r="D256" s="23" t="s">
        <v>15</v>
      </c>
      <c r="E256" s="55" t="s">
        <v>302</v>
      </c>
      <c r="F256" s="55" t="s">
        <v>302</v>
      </c>
      <c r="G256" s="55" t="s">
        <v>302</v>
      </c>
      <c r="H256" s="55" t="s">
        <v>302</v>
      </c>
      <c r="I256" s="25">
        <v>0.9</v>
      </c>
      <c r="J256" s="26">
        <v>0</v>
      </c>
      <c r="K256" s="26">
        <v>0</v>
      </c>
      <c r="L256" s="27">
        <v>0</v>
      </c>
      <c r="M256" s="26">
        <v>0</v>
      </c>
      <c r="N256" s="28">
        <v>0.9</v>
      </c>
      <c r="O256" s="26">
        <v>0</v>
      </c>
      <c r="P256" s="26">
        <v>0</v>
      </c>
      <c r="Q256" s="26">
        <v>0</v>
      </c>
      <c r="R256" s="26">
        <v>0</v>
      </c>
      <c r="S256" s="28">
        <v>0.9</v>
      </c>
      <c r="T256" s="26">
        <v>0</v>
      </c>
      <c r="U256" s="26">
        <v>0</v>
      </c>
      <c r="V256" s="26">
        <v>0</v>
      </c>
      <c r="W256" s="26">
        <v>1</v>
      </c>
      <c r="X256" s="28">
        <v>0.92</v>
      </c>
      <c r="Y256" s="28">
        <v>0</v>
      </c>
      <c r="Z256" s="28">
        <v>0</v>
      </c>
      <c r="AA256" s="28">
        <v>0</v>
      </c>
      <c r="AB256" s="28">
        <v>0</v>
      </c>
      <c r="AC256" s="28">
        <v>0.92</v>
      </c>
      <c r="AD256" s="26">
        <v>0.98467432950191602</v>
      </c>
      <c r="AE256" s="26">
        <v>1</v>
      </c>
      <c r="AF256" s="26">
        <v>1</v>
      </c>
      <c r="AG256" s="26">
        <v>0.97521301316808695</v>
      </c>
      <c r="AH256" s="28">
        <v>0.92</v>
      </c>
      <c r="AI256" s="26">
        <v>0</v>
      </c>
      <c r="AJ256" s="26">
        <v>0</v>
      </c>
      <c r="AK256" s="26">
        <v>0</v>
      </c>
      <c r="AL256" s="26">
        <v>1</v>
      </c>
      <c r="AM256" s="25">
        <v>0.99</v>
      </c>
      <c r="AN256" s="30">
        <v>0</v>
      </c>
      <c r="AO256" s="30">
        <v>0</v>
      </c>
      <c r="AP256" s="30">
        <v>1</v>
      </c>
      <c r="AQ256" s="30">
        <v>1</v>
      </c>
      <c r="AR256" s="50">
        <v>9.2228725701943806E-2</v>
      </c>
      <c r="AS256" s="34">
        <v>0</v>
      </c>
      <c r="AT256" s="34">
        <v>0</v>
      </c>
      <c r="AU256" s="34">
        <v>0</v>
      </c>
      <c r="AV256" s="34">
        <v>0</v>
      </c>
      <c r="AW256" s="10"/>
      <c r="AX256" s="8"/>
    </row>
    <row r="257" spans="1:50">
      <c r="A257" s="7"/>
      <c r="B257" s="10"/>
      <c r="C257" s="54" t="s">
        <v>284</v>
      </c>
      <c r="D257" s="23" t="s">
        <v>15</v>
      </c>
      <c r="E257" s="55" t="s">
        <v>303</v>
      </c>
      <c r="F257" s="55" t="s">
        <v>303</v>
      </c>
      <c r="G257" s="55" t="s">
        <v>303</v>
      </c>
      <c r="H257" s="55" t="s">
        <v>303</v>
      </c>
      <c r="I257" s="25">
        <v>0.9</v>
      </c>
      <c r="J257" s="26">
        <v>0.82051282051282004</v>
      </c>
      <c r="K257" s="26">
        <v>0.83783783783783805</v>
      </c>
      <c r="L257" s="27">
        <v>0.77777777777777801</v>
      </c>
      <c r="M257" s="26">
        <v>0.77611940298507498</v>
      </c>
      <c r="N257" s="28">
        <v>0.9</v>
      </c>
      <c r="O257" s="26">
        <v>0.90971330765939196</v>
      </c>
      <c r="P257" s="26">
        <v>0.93108848864526195</v>
      </c>
      <c r="Q257" s="26">
        <v>0.92468856172140401</v>
      </c>
      <c r="R257" s="26">
        <v>0.91578947368421004</v>
      </c>
      <c r="S257" s="28">
        <v>0.9</v>
      </c>
      <c r="T257" s="26">
        <v>0.913564398801883</v>
      </c>
      <c r="U257" s="26">
        <v>0.92169146436961602</v>
      </c>
      <c r="V257" s="26">
        <v>0.92808607021517597</v>
      </c>
      <c r="W257" s="26">
        <v>0.906092001657688</v>
      </c>
      <c r="X257" s="28">
        <v>0.92</v>
      </c>
      <c r="Y257" s="28">
        <v>0.91118881118881101</v>
      </c>
      <c r="Z257" s="28">
        <v>0.95626666666666704</v>
      </c>
      <c r="AA257" s="28">
        <v>0.95411255411255402</v>
      </c>
      <c r="AB257" s="28">
        <v>0.93348505223957801</v>
      </c>
      <c r="AC257" s="28">
        <v>0.92</v>
      </c>
      <c r="AD257" s="26">
        <v>0.999606047175851</v>
      </c>
      <c r="AE257" s="26">
        <v>0.99956474428726905</v>
      </c>
      <c r="AF257" s="26">
        <v>0.998720682302772</v>
      </c>
      <c r="AG257" s="26">
        <v>0.99850957280098096</v>
      </c>
      <c r="AH257" s="28">
        <v>0.92</v>
      </c>
      <c r="AI257" s="26">
        <v>0.93683651804670898</v>
      </c>
      <c r="AJ257" s="26">
        <v>0.96456781764838595</v>
      </c>
      <c r="AK257" s="26">
        <v>0.96786853078243795</v>
      </c>
      <c r="AL257" s="26">
        <v>0.95107596100790903</v>
      </c>
      <c r="AM257" s="25">
        <v>0.99</v>
      </c>
      <c r="AN257" s="30">
        <v>1</v>
      </c>
      <c r="AO257" s="30">
        <v>1</v>
      </c>
      <c r="AP257" s="30">
        <v>1</v>
      </c>
      <c r="AQ257" s="30">
        <v>1</v>
      </c>
      <c r="AR257" s="50">
        <v>9.2228725701943806E-2</v>
      </c>
      <c r="AS257" s="34">
        <v>0.1</v>
      </c>
      <c r="AT257" s="34">
        <v>5.5555555555555601E-2</v>
      </c>
      <c r="AU257" s="34">
        <v>0.105263157894737</v>
      </c>
      <c r="AV257" s="34">
        <v>4.1666666666666699E-2</v>
      </c>
      <c r="AW257" s="10"/>
      <c r="AX257" s="8"/>
    </row>
    <row r="258" spans="1:50">
      <c r="A258" s="7"/>
      <c r="B258" s="10"/>
      <c r="C258" s="54" t="s">
        <v>284</v>
      </c>
      <c r="D258" s="23" t="s">
        <v>15</v>
      </c>
      <c r="E258" s="55" t="s">
        <v>304</v>
      </c>
      <c r="F258" s="55" t="s">
        <v>304</v>
      </c>
      <c r="G258" s="55" t="s">
        <v>304</v>
      </c>
      <c r="H258" s="55" t="s">
        <v>304</v>
      </c>
      <c r="I258" s="25">
        <v>0.9</v>
      </c>
      <c r="J258" s="26">
        <v>1</v>
      </c>
      <c r="K258" s="26">
        <v>0.96428571428571397</v>
      </c>
      <c r="L258" s="27">
        <v>1</v>
      </c>
      <c r="M258" s="26">
        <v>0.97077922077922096</v>
      </c>
      <c r="N258" s="28">
        <v>0.9</v>
      </c>
      <c r="O258" s="26">
        <v>0.90246273493195095</v>
      </c>
      <c r="P258" s="26">
        <v>0.95145920190589595</v>
      </c>
      <c r="Q258" s="26">
        <v>0.93505445744251703</v>
      </c>
      <c r="R258" s="26">
        <v>0.94183160825615897</v>
      </c>
      <c r="S258" s="28">
        <v>0.9</v>
      </c>
      <c r="T258" s="26">
        <v>0.86260531432274801</v>
      </c>
      <c r="U258" s="26">
        <v>0.92733770101250701</v>
      </c>
      <c r="V258" s="26">
        <v>0.90197660346914099</v>
      </c>
      <c r="W258" s="26">
        <v>0.91114339325706695</v>
      </c>
      <c r="X258" s="28">
        <v>0.92</v>
      </c>
      <c r="Y258" s="28">
        <v>0.90356083086053396</v>
      </c>
      <c r="Z258" s="28">
        <v>0.94893111638954897</v>
      </c>
      <c r="AA258" s="28">
        <v>0.96509240246406602</v>
      </c>
      <c r="AB258" s="28">
        <v>0.94476871443163601</v>
      </c>
      <c r="AC258" s="28">
        <v>0.92</v>
      </c>
      <c r="AD258" s="26">
        <v>0.98855023383325302</v>
      </c>
      <c r="AE258" s="26">
        <v>0.97606019151846801</v>
      </c>
      <c r="AF258" s="26">
        <v>0.98762049720953804</v>
      </c>
      <c r="AG258" s="26">
        <v>0.98819314388079105</v>
      </c>
      <c r="AH258" s="28">
        <v>0.92</v>
      </c>
      <c r="AI258" s="26">
        <v>0.91524760227050295</v>
      </c>
      <c r="AJ258" s="26">
        <v>0.96635514018691604</v>
      </c>
      <c r="AK258" s="26">
        <v>0.97317487266553504</v>
      </c>
      <c r="AL258" s="26">
        <v>0.95918502348349499</v>
      </c>
      <c r="AM258" s="25">
        <v>0.99</v>
      </c>
      <c r="AN258" s="30">
        <v>1</v>
      </c>
      <c r="AO258" s="30">
        <v>1</v>
      </c>
      <c r="AP258" s="30">
        <v>1</v>
      </c>
      <c r="AQ258" s="30">
        <v>1</v>
      </c>
      <c r="AR258" s="50">
        <v>9.2228725701943806E-2</v>
      </c>
      <c r="AS258" s="34">
        <v>0.214285714285714</v>
      </c>
      <c r="AT258" s="34">
        <v>0.13043478260869601</v>
      </c>
      <c r="AU258" s="34">
        <v>0</v>
      </c>
      <c r="AV258" s="34">
        <v>9.41176470588235E-2</v>
      </c>
      <c r="AW258" s="10"/>
      <c r="AX258" s="8"/>
    </row>
    <row r="259" spans="1:50">
      <c r="A259" s="7"/>
      <c r="B259" s="10"/>
      <c r="C259" s="54" t="s">
        <v>284</v>
      </c>
      <c r="D259" s="23" t="s">
        <v>15</v>
      </c>
      <c r="E259" s="55" t="s">
        <v>305</v>
      </c>
      <c r="F259" s="55" t="s">
        <v>305</v>
      </c>
      <c r="G259" s="55" t="s">
        <v>305</v>
      </c>
      <c r="H259" s="55" t="s">
        <v>305</v>
      </c>
      <c r="I259" s="25">
        <v>0.9</v>
      </c>
      <c r="J259" s="26">
        <v>0</v>
      </c>
      <c r="K259" s="26">
        <v>0</v>
      </c>
      <c r="L259" s="27">
        <v>0</v>
      </c>
      <c r="M259" s="26">
        <v>0</v>
      </c>
      <c r="N259" s="28">
        <v>0.9</v>
      </c>
      <c r="O259" s="26">
        <v>0.97979797979798</v>
      </c>
      <c r="P259" s="26">
        <v>0.97790055248618801</v>
      </c>
      <c r="Q259" s="26">
        <v>0.98245614035087703</v>
      </c>
      <c r="R259" s="26">
        <v>0.96727272727272695</v>
      </c>
      <c r="S259" s="28">
        <v>0.9</v>
      </c>
      <c r="T259" s="26">
        <v>0.98484848484848497</v>
      </c>
      <c r="U259" s="26">
        <v>0.75690607734806603</v>
      </c>
      <c r="V259" s="26">
        <v>0.95614035087719296</v>
      </c>
      <c r="W259" s="26">
        <v>0.93454545454545501</v>
      </c>
      <c r="X259" s="28">
        <v>0.92</v>
      </c>
      <c r="Y259" s="28">
        <v>1</v>
      </c>
      <c r="Z259" s="28">
        <v>1</v>
      </c>
      <c r="AA259" s="28">
        <v>0.660377358490566</v>
      </c>
      <c r="AB259" s="28">
        <v>0.939393939393939</v>
      </c>
      <c r="AC259" s="28">
        <v>0.92</v>
      </c>
      <c r="AD259" s="26">
        <v>1</v>
      </c>
      <c r="AE259" s="26">
        <v>0.99864783653846201</v>
      </c>
      <c r="AF259" s="26">
        <v>0.99920795564551601</v>
      </c>
      <c r="AG259" s="26">
        <v>0.99932165917141902</v>
      </c>
      <c r="AH259" s="28">
        <v>0.92</v>
      </c>
      <c r="AI259" s="26">
        <v>0.98406374501992</v>
      </c>
      <c r="AJ259" s="26">
        <v>1</v>
      </c>
      <c r="AK259" s="26">
        <v>0.86227544910179599</v>
      </c>
      <c r="AL259" s="26">
        <v>0.97236614853195202</v>
      </c>
      <c r="AM259" s="25">
        <v>0.99</v>
      </c>
      <c r="AN259" s="30">
        <v>1</v>
      </c>
      <c r="AO259" s="30">
        <v>1</v>
      </c>
      <c r="AP259" s="30">
        <v>1</v>
      </c>
      <c r="AQ259" s="30">
        <v>1</v>
      </c>
      <c r="AR259" s="50">
        <v>9.2228725701943806E-2</v>
      </c>
      <c r="AS259" s="34">
        <v>0</v>
      </c>
      <c r="AT259" s="34">
        <v>0</v>
      </c>
      <c r="AU259" s="34">
        <v>0</v>
      </c>
      <c r="AV259" s="34">
        <v>0</v>
      </c>
      <c r="AW259" s="10"/>
      <c r="AX259" s="8"/>
    </row>
    <row r="260" spans="1:50">
      <c r="A260" s="7"/>
      <c r="B260" s="10"/>
      <c r="C260" s="54" t="s">
        <v>284</v>
      </c>
      <c r="D260" s="23" t="s">
        <v>15</v>
      </c>
      <c r="E260" s="55" t="s">
        <v>306</v>
      </c>
      <c r="F260" s="55" t="s">
        <v>306</v>
      </c>
      <c r="G260" s="55" t="s">
        <v>306</v>
      </c>
      <c r="H260" s="55" t="s">
        <v>306</v>
      </c>
      <c r="I260" s="25">
        <v>0.9</v>
      </c>
      <c r="J260" s="26">
        <v>0</v>
      </c>
      <c r="K260" s="26">
        <v>0</v>
      </c>
      <c r="L260" s="27">
        <v>0</v>
      </c>
      <c r="M260" s="26">
        <v>0</v>
      </c>
      <c r="N260" s="28">
        <v>0.9</v>
      </c>
      <c r="O260" s="26">
        <v>0</v>
      </c>
      <c r="P260" s="26">
        <v>0</v>
      </c>
      <c r="Q260" s="26">
        <v>0</v>
      </c>
      <c r="R260" s="26">
        <v>0</v>
      </c>
      <c r="S260" s="28">
        <v>0.9</v>
      </c>
      <c r="T260" s="26">
        <v>0</v>
      </c>
      <c r="U260" s="26">
        <v>0</v>
      </c>
      <c r="V260" s="26">
        <v>0</v>
      </c>
      <c r="W260" s="26">
        <v>0</v>
      </c>
      <c r="X260" s="28">
        <v>0.92</v>
      </c>
      <c r="Y260" s="28">
        <v>0</v>
      </c>
      <c r="Z260" s="28">
        <v>0</v>
      </c>
      <c r="AA260" s="28">
        <v>0</v>
      </c>
      <c r="AB260" s="28">
        <v>0</v>
      </c>
      <c r="AC260" s="28">
        <v>0.92</v>
      </c>
      <c r="AD260" s="26">
        <v>1</v>
      </c>
      <c r="AE260" s="26">
        <v>1</v>
      </c>
      <c r="AF260" s="26">
        <v>1</v>
      </c>
      <c r="AG260" s="26">
        <v>1</v>
      </c>
      <c r="AH260" s="28">
        <v>0.92</v>
      </c>
      <c r="AI260" s="26">
        <v>0</v>
      </c>
      <c r="AJ260" s="26">
        <v>0</v>
      </c>
      <c r="AK260" s="26">
        <v>0</v>
      </c>
      <c r="AL260" s="26">
        <v>0</v>
      </c>
      <c r="AM260" s="25">
        <v>0.99</v>
      </c>
      <c r="AN260" s="30">
        <v>1</v>
      </c>
      <c r="AO260" s="30">
        <v>1</v>
      </c>
      <c r="AP260" s="30">
        <v>1</v>
      </c>
      <c r="AQ260" s="30">
        <v>1</v>
      </c>
      <c r="AR260" s="50">
        <v>9.2228725701943806E-2</v>
      </c>
      <c r="AS260" s="34">
        <v>0</v>
      </c>
      <c r="AT260" s="34">
        <v>0</v>
      </c>
      <c r="AU260" s="34">
        <v>0</v>
      </c>
      <c r="AV260" s="34">
        <v>0</v>
      </c>
      <c r="AW260" s="10"/>
      <c r="AX260" s="8"/>
    </row>
    <row r="261" spans="1:50">
      <c r="A261" s="7"/>
      <c r="B261" s="10"/>
      <c r="C261" s="54" t="s">
        <v>284</v>
      </c>
      <c r="D261" s="23" t="s">
        <v>15</v>
      </c>
      <c r="E261" s="55" t="s">
        <v>307</v>
      </c>
      <c r="F261" s="55" t="s">
        <v>307</v>
      </c>
      <c r="G261" s="55" t="s">
        <v>307</v>
      </c>
      <c r="H261" s="55" t="s">
        <v>307</v>
      </c>
      <c r="I261" s="25">
        <v>0.9</v>
      </c>
      <c r="J261" s="26">
        <v>0</v>
      </c>
      <c r="K261" s="26">
        <v>0</v>
      </c>
      <c r="L261" s="27">
        <v>0</v>
      </c>
      <c r="M261" s="26">
        <v>0</v>
      </c>
      <c r="N261" s="28">
        <v>0.9</v>
      </c>
      <c r="O261" s="26">
        <v>0.33333333333333298</v>
      </c>
      <c r="P261" s="26">
        <v>0.6</v>
      </c>
      <c r="Q261" s="26">
        <v>1</v>
      </c>
      <c r="R261" s="26">
        <v>0.54285714285714304</v>
      </c>
      <c r="S261" s="28">
        <v>0.9</v>
      </c>
      <c r="T261" s="26">
        <v>0.55555555555555602</v>
      </c>
      <c r="U261" s="26">
        <v>0.8</v>
      </c>
      <c r="V261" s="26">
        <v>0.75</v>
      </c>
      <c r="W261" s="26">
        <v>0.82857142857142896</v>
      </c>
      <c r="X261" s="28">
        <v>0.92</v>
      </c>
      <c r="Y261" s="28">
        <v>0</v>
      </c>
      <c r="Z261" s="28">
        <v>0.5</v>
      </c>
      <c r="AA261" s="28">
        <v>0</v>
      </c>
      <c r="AB261" s="28">
        <v>0.13888888888888901</v>
      </c>
      <c r="AC261" s="28">
        <v>0.92</v>
      </c>
      <c r="AD261" s="26">
        <v>0.99429280397022302</v>
      </c>
      <c r="AE261" s="26">
        <v>0.99543862507127101</v>
      </c>
      <c r="AF261" s="26">
        <v>0.73748148148148196</v>
      </c>
      <c r="AG261" s="26">
        <v>0.91895800896251401</v>
      </c>
      <c r="AH261" s="28">
        <v>0.92</v>
      </c>
      <c r="AI261" s="26">
        <v>0.194444444444444</v>
      </c>
      <c r="AJ261" s="26">
        <v>0.63636363636363602</v>
      </c>
      <c r="AK261" s="26">
        <v>0.83333333333333304</v>
      </c>
      <c r="AL261" s="26">
        <v>0.530864197530864</v>
      </c>
      <c r="AM261" s="25">
        <v>0.99</v>
      </c>
      <c r="AN261" s="30">
        <v>1</v>
      </c>
      <c r="AO261" s="30">
        <v>1</v>
      </c>
      <c r="AP261" s="30">
        <v>1</v>
      </c>
      <c r="AQ261" s="30">
        <v>1</v>
      </c>
      <c r="AR261" s="50">
        <v>9.2228725701943806E-2</v>
      </c>
      <c r="AS261" s="34">
        <v>0</v>
      </c>
      <c r="AT261" s="34">
        <v>0</v>
      </c>
      <c r="AU261" s="34">
        <v>0</v>
      </c>
      <c r="AV261" s="34">
        <v>0</v>
      </c>
      <c r="AW261" s="10"/>
      <c r="AX261" s="8"/>
    </row>
    <row r="262" spans="1:50">
      <c r="A262" s="7"/>
      <c r="B262" s="10"/>
      <c r="C262" s="54" t="s">
        <v>284</v>
      </c>
      <c r="D262" s="23" t="s">
        <v>15</v>
      </c>
      <c r="E262" s="55" t="s">
        <v>308</v>
      </c>
      <c r="F262" s="55" t="s">
        <v>308</v>
      </c>
      <c r="G262" s="55" t="s">
        <v>308</v>
      </c>
      <c r="H262" s="55" t="s">
        <v>308</v>
      </c>
      <c r="I262" s="25">
        <v>0.9</v>
      </c>
      <c r="J262" s="26">
        <v>0</v>
      </c>
      <c r="K262" s="26">
        <v>0</v>
      </c>
      <c r="L262" s="27">
        <v>0</v>
      </c>
      <c r="M262" s="26">
        <v>0</v>
      </c>
      <c r="N262" s="28">
        <v>0.9</v>
      </c>
      <c r="O262" s="26">
        <v>0</v>
      </c>
      <c r="P262" s="26">
        <v>0</v>
      </c>
      <c r="Q262" s="26">
        <v>0</v>
      </c>
      <c r="R262" s="26">
        <v>0</v>
      </c>
      <c r="S262" s="28">
        <v>0.9</v>
      </c>
      <c r="T262" s="26">
        <v>0</v>
      </c>
      <c r="U262" s="26">
        <v>0</v>
      </c>
      <c r="V262" s="26">
        <v>0</v>
      </c>
      <c r="W262" s="26">
        <v>1</v>
      </c>
      <c r="X262" s="28">
        <v>0.92</v>
      </c>
      <c r="Y262" s="28">
        <v>0</v>
      </c>
      <c r="Z262" s="28">
        <v>0</v>
      </c>
      <c r="AA262" s="28">
        <v>0</v>
      </c>
      <c r="AB262" s="28">
        <v>0</v>
      </c>
      <c r="AC262" s="28">
        <v>0.92</v>
      </c>
      <c r="AD262" s="26">
        <v>0.99919935948758998</v>
      </c>
      <c r="AE262" s="26">
        <v>0.99036144578313301</v>
      </c>
      <c r="AF262" s="26">
        <v>0.96772024209818397</v>
      </c>
      <c r="AG262" s="26">
        <v>0.96853590459274297</v>
      </c>
      <c r="AH262" s="28">
        <v>0.92</v>
      </c>
      <c r="AI262" s="26">
        <v>0</v>
      </c>
      <c r="AJ262" s="26">
        <v>0</v>
      </c>
      <c r="AK262" s="26">
        <v>0</v>
      </c>
      <c r="AL262" s="26">
        <v>1</v>
      </c>
      <c r="AM262" s="25">
        <v>0.99</v>
      </c>
      <c r="AN262" s="30">
        <v>1</v>
      </c>
      <c r="AO262" s="30">
        <v>1</v>
      </c>
      <c r="AP262" s="30">
        <v>1</v>
      </c>
      <c r="AQ262" s="30">
        <v>1</v>
      </c>
      <c r="AR262" s="50">
        <v>9.2228725701943806E-2</v>
      </c>
      <c r="AS262" s="34">
        <v>0</v>
      </c>
      <c r="AT262" s="34">
        <v>0</v>
      </c>
      <c r="AU262" s="34">
        <v>0</v>
      </c>
      <c r="AV262" s="34">
        <v>0</v>
      </c>
      <c r="AW262" s="10"/>
      <c r="AX262" s="8"/>
    </row>
    <row r="263" spans="1:50">
      <c r="A263" s="7"/>
      <c r="B263" s="10"/>
      <c r="C263" s="54" t="s">
        <v>284</v>
      </c>
      <c r="D263" s="23" t="s">
        <v>15</v>
      </c>
      <c r="E263" s="55" t="s">
        <v>309</v>
      </c>
      <c r="F263" s="55" t="s">
        <v>309</v>
      </c>
      <c r="G263" s="55" t="s">
        <v>309</v>
      </c>
      <c r="H263" s="55" t="s">
        <v>309</v>
      </c>
      <c r="I263" s="25">
        <v>0.9</v>
      </c>
      <c r="J263" s="26">
        <v>0</v>
      </c>
      <c r="K263" s="26">
        <v>0</v>
      </c>
      <c r="L263" s="27">
        <v>0</v>
      </c>
      <c r="M263" s="26">
        <v>0</v>
      </c>
      <c r="N263" s="28">
        <v>0.9</v>
      </c>
      <c r="O263" s="26">
        <v>0</v>
      </c>
      <c r="P263" s="26">
        <v>0</v>
      </c>
      <c r="Q263" s="26">
        <v>0</v>
      </c>
      <c r="R263" s="26">
        <v>0</v>
      </c>
      <c r="S263" s="28">
        <v>0.9</v>
      </c>
      <c r="T263" s="26">
        <v>1</v>
      </c>
      <c r="U263" s="26">
        <v>0</v>
      </c>
      <c r="V263" s="26">
        <v>0</v>
      </c>
      <c r="W263" s="26">
        <v>0.33333333333333298</v>
      </c>
      <c r="X263" s="28">
        <v>0.92</v>
      </c>
      <c r="Y263" s="28">
        <v>0</v>
      </c>
      <c r="Z263" s="28">
        <v>0</v>
      </c>
      <c r="AA263" s="28">
        <v>0</v>
      </c>
      <c r="AB263" s="28">
        <v>0</v>
      </c>
      <c r="AC263" s="28">
        <v>0.92</v>
      </c>
      <c r="AD263" s="26">
        <v>0.99851687059696004</v>
      </c>
      <c r="AE263" s="26">
        <v>0.97372569626904903</v>
      </c>
      <c r="AF263" s="26">
        <v>0.98505830903790104</v>
      </c>
      <c r="AG263" s="26">
        <v>0.95343337139129003</v>
      </c>
      <c r="AH263" s="28">
        <v>0.92</v>
      </c>
      <c r="AI263" s="26">
        <v>1</v>
      </c>
      <c r="AJ263" s="26">
        <v>0</v>
      </c>
      <c r="AK263" s="26">
        <v>0</v>
      </c>
      <c r="AL263" s="26">
        <v>0.33333333333333298</v>
      </c>
      <c r="AM263" s="25">
        <v>0.99</v>
      </c>
      <c r="AN263" s="30">
        <v>1</v>
      </c>
      <c r="AO263" s="30">
        <v>0</v>
      </c>
      <c r="AP263" s="30">
        <v>1</v>
      </c>
      <c r="AQ263" s="30">
        <v>1</v>
      </c>
      <c r="AR263" s="50">
        <v>9.2228725701943806E-2</v>
      </c>
      <c r="AS263" s="34">
        <v>0</v>
      </c>
      <c r="AT263" s="34">
        <v>0</v>
      </c>
      <c r="AU263" s="34">
        <v>0</v>
      </c>
      <c r="AV263" s="34">
        <v>0</v>
      </c>
      <c r="AW263" s="10"/>
      <c r="AX263" s="8"/>
    </row>
    <row r="264" spans="1:50">
      <c r="A264" s="7"/>
      <c r="B264" s="10"/>
      <c r="C264" s="54" t="s">
        <v>284</v>
      </c>
      <c r="D264" s="23" t="s">
        <v>15</v>
      </c>
      <c r="E264" s="55" t="s">
        <v>310</v>
      </c>
      <c r="F264" s="55" t="s">
        <v>310</v>
      </c>
      <c r="G264" s="55" t="s">
        <v>310</v>
      </c>
      <c r="H264" s="55" t="s">
        <v>310</v>
      </c>
      <c r="I264" s="25">
        <v>0.9</v>
      </c>
      <c r="J264" s="26">
        <v>0</v>
      </c>
      <c r="K264" s="26">
        <v>0</v>
      </c>
      <c r="L264" s="27">
        <v>0</v>
      </c>
      <c r="M264" s="26">
        <v>0</v>
      </c>
      <c r="N264" s="28">
        <v>0.9</v>
      </c>
      <c r="O264" s="26">
        <v>0</v>
      </c>
      <c r="P264" s="26">
        <v>0</v>
      </c>
      <c r="Q264" s="26">
        <v>0</v>
      </c>
      <c r="R264" s="26">
        <v>0</v>
      </c>
      <c r="S264" s="28">
        <v>0.9</v>
      </c>
      <c r="T264" s="26">
        <v>0</v>
      </c>
      <c r="U264" s="26">
        <v>0.5</v>
      </c>
      <c r="V264" s="26">
        <v>0.8</v>
      </c>
      <c r="W264" s="26">
        <v>0.55555555555555602</v>
      </c>
      <c r="X264" s="28">
        <v>0.92</v>
      </c>
      <c r="Y264" s="28">
        <v>0</v>
      </c>
      <c r="Z264" s="28">
        <v>0</v>
      </c>
      <c r="AA264" s="28">
        <v>0</v>
      </c>
      <c r="AB264" s="28">
        <v>0.5</v>
      </c>
      <c r="AC264" s="28">
        <v>0.92</v>
      </c>
      <c r="AD264" s="26">
        <v>0.99839957321952499</v>
      </c>
      <c r="AE264" s="26">
        <v>0.99793814432989703</v>
      </c>
      <c r="AF264" s="26">
        <v>0.96255863539445596</v>
      </c>
      <c r="AG264" s="26">
        <v>0.97731765906336998</v>
      </c>
      <c r="AH264" s="28">
        <v>0.92</v>
      </c>
      <c r="AI264" s="26">
        <v>0</v>
      </c>
      <c r="AJ264" s="26">
        <v>0.33333333333333298</v>
      </c>
      <c r="AK264" s="26">
        <v>1</v>
      </c>
      <c r="AL264" s="26">
        <v>0.63636363636363602</v>
      </c>
      <c r="AM264" s="25">
        <v>0.99</v>
      </c>
      <c r="AN264" s="30">
        <v>1</v>
      </c>
      <c r="AO264" s="30">
        <v>1</v>
      </c>
      <c r="AP264" s="30">
        <v>1</v>
      </c>
      <c r="AQ264" s="30">
        <v>1</v>
      </c>
      <c r="AR264" s="50">
        <v>9.2228725701943806E-2</v>
      </c>
      <c r="AS264" s="34">
        <v>0</v>
      </c>
      <c r="AT264" s="34">
        <v>0</v>
      </c>
      <c r="AU264" s="34">
        <v>0</v>
      </c>
      <c r="AV264" s="34">
        <v>0</v>
      </c>
      <c r="AW264" s="10"/>
      <c r="AX264" s="8"/>
    </row>
    <row r="265" spans="1:50">
      <c r="A265" s="7"/>
      <c r="B265" s="10"/>
      <c r="C265" s="54" t="s">
        <v>284</v>
      </c>
      <c r="D265" s="23" t="s">
        <v>15</v>
      </c>
      <c r="E265" s="55" t="s">
        <v>311</v>
      </c>
      <c r="F265" s="55" t="s">
        <v>311</v>
      </c>
      <c r="G265" s="55" t="s">
        <v>311</v>
      </c>
      <c r="H265" s="55" t="s">
        <v>311</v>
      </c>
      <c r="I265" s="25">
        <v>0.9</v>
      </c>
      <c r="J265" s="26">
        <v>0</v>
      </c>
      <c r="K265" s="26">
        <v>0</v>
      </c>
      <c r="L265" s="27">
        <v>0</v>
      </c>
      <c r="M265" s="26">
        <v>0</v>
      </c>
      <c r="N265" s="28">
        <v>0.9</v>
      </c>
      <c r="O265" s="26">
        <v>0.75</v>
      </c>
      <c r="P265" s="26">
        <v>1</v>
      </c>
      <c r="Q265" s="26">
        <v>0</v>
      </c>
      <c r="R265" s="26">
        <v>0.35714285714285698</v>
      </c>
      <c r="S265" s="28">
        <v>0.9</v>
      </c>
      <c r="T265" s="26">
        <v>0</v>
      </c>
      <c r="U265" s="26">
        <v>0</v>
      </c>
      <c r="V265" s="26">
        <v>0</v>
      </c>
      <c r="W265" s="26">
        <v>0.14285714285714299</v>
      </c>
      <c r="X265" s="28">
        <v>0.92</v>
      </c>
      <c r="Y265" s="28">
        <v>0</v>
      </c>
      <c r="Z265" s="28">
        <v>0</v>
      </c>
      <c r="AA265" s="28">
        <v>0</v>
      </c>
      <c r="AB265" s="28">
        <v>0</v>
      </c>
      <c r="AC265" s="28">
        <v>0.92</v>
      </c>
      <c r="AD265" s="26">
        <v>0.99951763641845004</v>
      </c>
      <c r="AE265" s="26">
        <v>0.99927861938849105</v>
      </c>
      <c r="AF265" s="26">
        <v>0.94789433229499598</v>
      </c>
      <c r="AG265" s="26">
        <v>0.97429670107265698</v>
      </c>
      <c r="AH265" s="28">
        <v>0.92</v>
      </c>
      <c r="AI265" s="26">
        <v>0.5</v>
      </c>
      <c r="AJ265" s="26">
        <v>0</v>
      </c>
      <c r="AK265" s="26">
        <v>0</v>
      </c>
      <c r="AL265" s="26">
        <v>0.266666666666667</v>
      </c>
      <c r="AM265" s="25">
        <v>0.99</v>
      </c>
      <c r="AN265" s="30">
        <v>1</v>
      </c>
      <c r="AO265" s="30">
        <v>1</v>
      </c>
      <c r="AP265" s="30">
        <v>1</v>
      </c>
      <c r="AQ265" s="30">
        <v>1</v>
      </c>
      <c r="AR265" s="50">
        <v>9.2228725701943806E-2</v>
      </c>
      <c r="AS265" s="34">
        <v>0</v>
      </c>
      <c r="AT265" s="34">
        <v>0</v>
      </c>
      <c r="AU265" s="34">
        <v>0</v>
      </c>
      <c r="AV265" s="34">
        <v>0</v>
      </c>
      <c r="AW265" s="10"/>
      <c r="AX265" s="8"/>
    </row>
    <row r="266" spans="1:50">
      <c r="A266" s="7"/>
      <c r="B266" s="10"/>
      <c r="C266" s="54" t="s">
        <v>284</v>
      </c>
      <c r="D266" s="23" t="s">
        <v>15</v>
      </c>
      <c r="E266" s="55" t="s">
        <v>312</v>
      </c>
      <c r="F266" s="55" t="s">
        <v>312</v>
      </c>
      <c r="G266" s="55" t="s">
        <v>312</v>
      </c>
      <c r="H266" s="55" t="s">
        <v>312</v>
      </c>
      <c r="I266" s="25">
        <v>0.9</v>
      </c>
      <c r="J266" s="26">
        <v>0</v>
      </c>
      <c r="K266" s="26">
        <v>0</v>
      </c>
      <c r="L266" s="27">
        <v>0</v>
      </c>
      <c r="M266" s="26">
        <v>0</v>
      </c>
      <c r="N266" s="28">
        <v>0.9</v>
      </c>
      <c r="O266" s="26">
        <v>0</v>
      </c>
      <c r="P266" s="26">
        <v>0</v>
      </c>
      <c r="Q266" s="26">
        <v>0</v>
      </c>
      <c r="R266" s="26">
        <v>0</v>
      </c>
      <c r="S266" s="28">
        <v>0.9</v>
      </c>
      <c r="T266" s="26">
        <v>0</v>
      </c>
      <c r="U266" s="26">
        <v>0</v>
      </c>
      <c r="V266" s="26">
        <v>0</v>
      </c>
      <c r="W266" s="26">
        <v>0</v>
      </c>
      <c r="X266" s="28">
        <v>0.92</v>
      </c>
      <c r="Y266" s="28">
        <v>0</v>
      </c>
      <c r="Z266" s="28">
        <v>0</v>
      </c>
      <c r="AA266" s="28">
        <v>0</v>
      </c>
      <c r="AB266" s="28">
        <v>0</v>
      </c>
      <c r="AC266" s="28">
        <v>0.92</v>
      </c>
      <c r="AD266" s="26">
        <v>1</v>
      </c>
      <c r="AE266" s="26">
        <v>0.88524590163934402</v>
      </c>
      <c r="AF266" s="26">
        <v>1</v>
      </c>
      <c r="AG266" s="26">
        <v>0.96676514032496297</v>
      </c>
      <c r="AH266" s="28">
        <v>0.92</v>
      </c>
      <c r="AI266" s="26">
        <v>0</v>
      </c>
      <c r="AJ266" s="26">
        <v>0</v>
      </c>
      <c r="AK266" s="26">
        <v>0</v>
      </c>
      <c r="AL266" s="26">
        <v>0</v>
      </c>
      <c r="AM266" s="25">
        <v>0.99</v>
      </c>
      <c r="AN266" s="30">
        <v>0</v>
      </c>
      <c r="AO266" s="30">
        <v>0</v>
      </c>
      <c r="AP266" s="30">
        <v>1</v>
      </c>
      <c r="AQ266" s="30">
        <v>1</v>
      </c>
      <c r="AR266" s="50">
        <v>9.2228725701943806E-2</v>
      </c>
      <c r="AS266" s="34">
        <v>0</v>
      </c>
      <c r="AT266" s="34">
        <v>0</v>
      </c>
      <c r="AU266" s="34">
        <v>0</v>
      </c>
      <c r="AV266" s="34">
        <v>0</v>
      </c>
      <c r="AW266" s="10"/>
      <c r="AX266" s="8"/>
    </row>
    <row r="267" spans="1:50">
      <c r="A267" s="7"/>
      <c r="B267" s="10"/>
      <c r="C267" s="54" t="s">
        <v>284</v>
      </c>
      <c r="D267" s="23" t="s">
        <v>15</v>
      </c>
      <c r="E267" s="55" t="s">
        <v>313</v>
      </c>
      <c r="F267" s="55" t="s">
        <v>313</v>
      </c>
      <c r="G267" s="55" t="s">
        <v>313</v>
      </c>
      <c r="H267" s="55" t="s">
        <v>313</v>
      </c>
      <c r="I267" s="25">
        <v>0.9</v>
      </c>
      <c r="J267" s="26">
        <v>0.99130434782608701</v>
      </c>
      <c r="K267" s="26">
        <v>0.97499999999999998</v>
      </c>
      <c r="L267" s="27">
        <v>0.92452830188679203</v>
      </c>
      <c r="M267" s="26">
        <v>0.96739130434782605</v>
      </c>
      <c r="N267" s="28">
        <v>0.9</v>
      </c>
      <c r="O267" s="26">
        <v>0.96902510596674296</v>
      </c>
      <c r="P267" s="26">
        <v>0.96633982145470498</v>
      </c>
      <c r="Q267" s="26">
        <v>0.95131470829909603</v>
      </c>
      <c r="R267" s="26">
        <v>0.962562888428529</v>
      </c>
      <c r="S267" s="28">
        <v>0.9</v>
      </c>
      <c r="T267" s="26">
        <v>0.94131072709488095</v>
      </c>
      <c r="U267" s="26">
        <v>0.93941167861846897</v>
      </c>
      <c r="V267" s="26">
        <v>0.92173377156943304</v>
      </c>
      <c r="W267" s="26">
        <v>0.93373779224622699</v>
      </c>
      <c r="X267" s="28">
        <v>0.92</v>
      </c>
      <c r="Y267" s="28">
        <v>0.96064176485334696</v>
      </c>
      <c r="Z267" s="28">
        <v>0.97549111318989701</v>
      </c>
      <c r="AA267" s="28">
        <v>0.97426784191071902</v>
      </c>
      <c r="AB267" s="28">
        <v>0.97206429423738305</v>
      </c>
      <c r="AC267" s="28">
        <v>0.92</v>
      </c>
      <c r="AD267" s="26">
        <v>0.99639095529203803</v>
      </c>
      <c r="AE267" s="26">
        <v>0.98526315789473695</v>
      </c>
      <c r="AF267" s="26">
        <v>0.98461810466761002</v>
      </c>
      <c r="AG267" s="26">
        <v>0.96508876504738905</v>
      </c>
      <c r="AH267" s="28">
        <v>0.92</v>
      </c>
      <c r="AI267" s="26">
        <v>0.97629395495851401</v>
      </c>
      <c r="AJ267" s="26">
        <v>0.984562325505009</v>
      </c>
      <c r="AK267" s="26">
        <v>0.98168836623267497</v>
      </c>
      <c r="AL267" s="26">
        <v>0.98153915304844797</v>
      </c>
      <c r="AM267" s="25">
        <v>0.99</v>
      </c>
      <c r="AN267" s="30">
        <v>1</v>
      </c>
      <c r="AO267" s="30">
        <v>1</v>
      </c>
      <c r="AP267" s="30">
        <v>1</v>
      </c>
      <c r="AQ267" s="30">
        <v>1</v>
      </c>
      <c r="AR267" s="50">
        <v>9.2228725701943806E-2</v>
      </c>
      <c r="AS267" s="34">
        <v>4.1666666666666699E-2</v>
      </c>
      <c r="AT267" s="34">
        <v>0.15384615384615399</v>
      </c>
      <c r="AU267" s="34">
        <v>8.6956521739130405E-2</v>
      </c>
      <c r="AV267" s="34">
        <v>9.2105263157894704E-2</v>
      </c>
      <c r="AW267" s="10"/>
      <c r="AX267" s="8"/>
    </row>
    <row r="268" spans="1:50">
      <c r="A268" s="7"/>
      <c r="B268" s="10"/>
      <c r="C268" s="54" t="s">
        <v>284</v>
      </c>
      <c r="D268" s="23" t="s">
        <v>15</v>
      </c>
      <c r="E268" s="55" t="s">
        <v>314</v>
      </c>
      <c r="F268" s="55" t="s">
        <v>314</v>
      </c>
      <c r="G268" s="55" t="s">
        <v>314</v>
      </c>
      <c r="H268" s="55" t="s">
        <v>314</v>
      </c>
      <c r="I268" s="25">
        <v>0.9</v>
      </c>
      <c r="J268" s="26">
        <v>0.95614035087719296</v>
      </c>
      <c r="K268" s="26">
        <v>0.93693693693693703</v>
      </c>
      <c r="L268" s="27">
        <v>0.91743119266055095</v>
      </c>
      <c r="M268" s="26">
        <v>0.92733017377567095</v>
      </c>
      <c r="N268" s="28">
        <v>0.9</v>
      </c>
      <c r="O268" s="26">
        <v>0.98843032291486799</v>
      </c>
      <c r="P268" s="26">
        <v>0.98232323232323204</v>
      </c>
      <c r="Q268" s="26">
        <v>0.98172757475083094</v>
      </c>
      <c r="R268" s="26">
        <v>0.98698535080956096</v>
      </c>
      <c r="S268" s="28">
        <v>0.9</v>
      </c>
      <c r="T268" s="26">
        <v>0.95648419962010001</v>
      </c>
      <c r="U268" s="26">
        <v>0.94886363636363602</v>
      </c>
      <c r="V268" s="26">
        <v>0.95681063122923604</v>
      </c>
      <c r="W268" s="26">
        <v>0.95762528912875899</v>
      </c>
      <c r="X268" s="28">
        <v>0.92</v>
      </c>
      <c r="Y268" s="28">
        <v>0.94579673776662498</v>
      </c>
      <c r="Z268" s="28">
        <v>0.96540052651372699</v>
      </c>
      <c r="AA268" s="28">
        <v>0.97142857142857097</v>
      </c>
      <c r="AB268" s="28">
        <v>0.965930732877195</v>
      </c>
      <c r="AC268" s="28">
        <v>0.92</v>
      </c>
      <c r="AD268" s="26">
        <v>0.923204237007613</v>
      </c>
      <c r="AE268" s="26">
        <v>0.96827371695178899</v>
      </c>
      <c r="AF268" s="26">
        <v>0.96016928055762996</v>
      </c>
      <c r="AG268" s="26">
        <v>0.96527392772541698</v>
      </c>
      <c r="AH268" s="28">
        <v>0.92</v>
      </c>
      <c r="AI268" s="26">
        <v>0.96942114951932901</v>
      </c>
      <c r="AJ268" s="26">
        <v>0.978033293289858</v>
      </c>
      <c r="AK268" s="26">
        <v>0.97882097890436104</v>
      </c>
      <c r="AL268" s="26">
        <v>0.97854875059632496</v>
      </c>
      <c r="AM268" s="25">
        <v>0.99</v>
      </c>
      <c r="AN268" s="30">
        <v>1</v>
      </c>
      <c r="AO268" s="30">
        <v>1</v>
      </c>
      <c r="AP268" s="30">
        <v>0.99270072992700698</v>
      </c>
      <c r="AQ268" s="30">
        <v>0.99841269841269797</v>
      </c>
      <c r="AR268" s="50">
        <v>9.2228725701943806E-2</v>
      </c>
      <c r="AS268" s="34">
        <v>6.0606060606060601E-2</v>
      </c>
      <c r="AT268" s="34">
        <v>5.8823529411764698E-2</v>
      </c>
      <c r="AU268" s="34">
        <v>7.4999999999999997E-2</v>
      </c>
      <c r="AV268" s="34">
        <v>4.85436893203883E-2</v>
      </c>
      <c r="AW268" s="10"/>
      <c r="AX268" s="8"/>
    </row>
    <row r="269" spans="1:50">
      <c r="A269" s="7"/>
      <c r="B269" s="10"/>
      <c r="C269" s="54" t="s">
        <v>284</v>
      </c>
      <c r="D269" s="23" t="s">
        <v>15</v>
      </c>
      <c r="E269" s="55" t="s">
        <v>315</v>
      </c>
      <c r="F269" s="55" t="s">
        <v>315</v>
      </c>
      <c r="G269" s="55" t="s">
        <v>315</v>
      </c>
      <c r="H269" s="55" t="s">
        <v>315</v>
      </c>
      <c r="I269" s="25">
        <v>0.9</v>
      </c>
      <c r="J269" s="26">
        <v>0</v>
      </c>
      <c r="K269" s="26">
        <v>0</v>
      </c>
      <c r="L269" s="27">
        <v>0</v>
      </c>
      <c r="M269" s="26">
        <v>0</v>
      </c>
      <c r="N269" s="28">
        <v>0.9</v>
      </c>
      <c r="O269" s="26">
        <v>0</v>
      </c>
      <c r="P269" s="26">
        <v>0</v>
      </c>
      <c r="Q269" s="26">
        <v>0</v>
      </c>
      <c r="R269" s="26">
        <v>0</v>
      </c>
      <c r="S269" s="28">
        <v>0.9</v>
      </c>
      <c r="T269" s="26">
        <v>0</v>
      </c>
      <c r="U269" s="26">
        <v>0</v>
      </c>
      <c r="V269" s="26">
        <v>0</v>
      </c>
      <c r="W269" s="26">
        <v>0.5</v>
      </c>
      <c r="X269" s="28">
        <v>0.92</v>
      </c>
      <c r="Y269" s="28">
        <v>0</v>
      </c>
      <c r="Z269" s="28">
        <v>0</v>
      </c>
      <c r="AA269" s="28">
        <v>1</v>
      </c>
      <c r="AB269" s="28">
        <v>0.66666666666666696</v>
      </c>
      <c r="AC269" s="28">
        <v>0.92</v>
      </c>
      <c r="AD269" s="26">
        <v>0.99777393024981498</v>
      </c>
      <c r="AE269" s="26">
        <v>0.99652198107957701</v>
      </c>
      <c r="AF269" s="26">
        <v>0.99268007027132499</v>
      </c>
      <c r="AG269" s="26">
        <v>0.99506149141214295</v>
      </c>
      <c r="AH269" s="28">
        <v>0.92</v>
      </c>
      <c r="AI269" s="26">
        <v>0</v>
      </c>
      <c r="AJ269" s="26">
        <v>0</v>
      </c>
      <c r="AK269" s="26">
        <v>0.66666666666666696</v>
      </c>
      <c r="AL269" s="26">
        <v>0.61538461538461497</v>
      </c>
      <c r="AM269" s="25">
        <v>0.99</v>
      </c>
      <c r="AN269" s="30">
        <v>1</v>
      </c>
      <c r="AO269" s="30">
        <v>1</v>
      </c>
      <c r="AP269" s="30">
        <v>1</v>
      </c>
      <c r="AQ269" s="30">
        <v>1</v>
      </c>
      <c r="AR269" s="50">
        <v>9.2228725701943806E-2</v>
      </c>
      <c r="AS269" s="34">
        <v>0</v>
      </c>
      <c r="AT269" s="34">
        <v>0</v>
      </c>
      <c r="AU269" s="34">
        <v>0</v>
      </c>
      <c r="AV269" s="34">
        <v>0</v>
      </c>
      <c r="AW269" s="10"/>
      <c r="AX269" s="8"/>
    </row>
    <row r="270" spans="1:50">
      <c r="A270" s="7"/>
      <c r="B270" s="10"/>
      <c r="C270" s="54" t="s">
        <v>284</v>
      </c>
      <c r="D270" s="23" t="s">
        <v>15</v>
      </c>
      <c r="E270" s="55" t="s">
        <v>316</v>
      </c>
      <c r="F270" s="55" t="s">
        <v>316</v>
      </c>
      <c r="G270" s="55" t="s">
        <v>316</v>
      </c>
      <c r="H270" s="55" t="s">
        <v>316</v>
      </c>
      <c r="I270" s="25">
        <v>0.9</v>
      </c>
      <c r="J270" s="26">
        <v>0.84375</v>
      </c>
      <c r="K270" s="26">
        <v>0.89516129032258096</v>
      </c>
      <c r="L270" s="27">
        <v>0.91869918699187003</v>
      </c>
      <c r="M270" s="26">
        <v>0.866760168302945</v>
      </c>
      <c r="N270" s="28">
        <v>0.9</v>
      </c>
      <c r="O270" s="26">
        <v>0.90387899487679901</v>
      </c>
      <c r="P270" s="26">
        <v>0.69216757741347901</v>
      </c>
      <c r="Q270" s="26">
        <v>0.93264411027568905</v>
      </c>
      <c r="R270" s="26">
        <v>0.85963479641601404</v>
      </c>
      <c r="S270" s="28">
        <v>0.9</v>
      </c>
      <c r="T270" s="26">
        <v>0.933520370822152</v>
      </c>
      <c r="U270" s="26">
        <v>0.89328190292510401</v>
      </c>
      <c r="V270" s="26">
        <v>0.93076441102756902</v>
      </c>
      <c r="W270" s="26">
        <v>0.91604854258818202</v>
      </c>
      <c r="X270" s="28">
        <v>0.92</v>
      </c>
      <c r="Y270" s="28">
        <v>0.97767308480131099</v>
      </c>
      <c r="Z270" s="28">
        <v>0.97445518833886602</v>
      </c>
      <c r="AA270" s="28">
        <v>0.96215257244234198</v>
      </c>
      <c r="AB270" s="28">
        <v>0.96980676328502402</v>
      </c>
      <c r="AC270" s="28">
        <v>0.92</v>
      </c>
      <c r="AD270" s="26">
        <v>0.985994942618168</v>
      </c>
      <c r="AE270" s="26">
        <v>0.97682177348551402</v>
      </c>
      <c r="AF270" s="26">
        <v>0.96841453344343498</v>
      </c>
      <c r="AG270" s="26">
        <v>0.968724895426466</v>
      </c>
      <c r="AH270" s="28">
        <v>0.92</v>
      </c>
      <c r="AI270" s="26">
        <v>0.98379452683075996</v>
      </c>
      <c r="AJ270" s="26">
        <v>0.98401573834993195</v>
      </c>
      <c r="AK270" s="26">
        <v>0.97560975609756095</v>
      </c>
      <c r="AL270" s="26">
        <v>0.98115645661092199</v>
      </c>
      <c r="AM270" s="25">
        <v>0.99</v>
      </c>
      <c r="AN270" s="30">
        <v>1</v>
      </c>
      <c r="AO270" s="30">
        <v>1</v>
      </c>
      <c r="AP270" s="30">
        <v>1</v>
      </c>
      <c r="AQ270" s="30">
        <v>1</v>
      </c>
      <c r="AR270" s="50">
        <v>9.2228725701943806E-2</v>
      </c>
      <c r="AS270" s="34">
        <v>0.14285714285714299</v>
      </c>
      <c r="AT270" s="34">
        <v>7.69230769230769E-2</v>
      </c>
      <c r="AU270" s="34">
        <v>3.8461538461538498E-2</v>
      </c>
      <c r="AV270" s="34">
        <v>9.45945945945946E-2</v>
      </c>
      <c r="AW270" s="10"/>
      <c r="AX270" s="8"/>
    </row>
    <row r="271" spans="1:50">
      <c r="A271" s="7"/>
      <c r="B271" s="10"/>
      <c r="C271" s="54" t="s">
        <v>284</v>
      </c>
      <c r="D271" s="23" t="s">
        <v>15</v>
      </c>
      <c r="E271" s="55" t="s">
        <v>317</v>
      </c>
      <c r="F271" s="55" t="s">
        <v>317</v>
      </c>
      <c r="G271" s="55" t="s">
        <v>317</v>
      </c>
      <c r="H271" s="55" t="s">
        <v>317</v>
      </c>
      <c r="I271" s="25">
        <v>0.9</v>
      </c>
      <c r="J271" s="26">
        <v>0.984732824427481</v>
      </c>
      <c r="K271" s="26">
        <v>0.94890510948905105</v>
      </c>
      <c r="L271" s="27">
        <v>0.95488721804511301</v>
      </c>
      <c r="M271" s="26">
        <v>0.95850066934404299</v>
      </c>
      <c r="N271" s="28">
        <v>0.9</v>
      </c>
      <c r="O271" s="26">
        <v>0.96548264097933001</v>
      </c>
      <c r="P271" s="26">
        <v>0.96362975086379299</v>
      </c>
      <c r="Q271" s="26">
        <v>0.98385416666666703</v>
      </c>
      <c r="R271" s="26">
        <v>0.97308614716966801</v>
      </c>
      <c r="S271" s="28">
        <v>0.9</v>
      </c>
      <c r="T271" s="26">
        <v>0.93006221151916502</v>
      </c>
      <c r="U271" s="26">
        <v>0.93817057646844904</v>
      </c>
      <c r="V271" s="26">
        <v>0.95885416666666701</v>
      </c>
      <c r="W271" s="26">
        <v>0.93775933609958495</v>
      </c>
      <c r="X271" s="28">
        <v>0.92</v>
      </c>
      <c r="Y271" s="28">
        <v>0.98276433543254904</v>
      </c>
      <c r="Z271" s="28">
        <v>0.99152747518760598</v>
      </c>
      <c r="AA271" s="28">
        <v>0.98858138184633204</v>
      </c>
      <c r="AB271" s="28">
        <v>0.98667351273134596</v>
      </c>
      <c r="AC271" s="28">
        <v>0.92</v>
      </c>
      <c r="AD271" s="26">
        <v>0.99615255938440905</v>
      </c>
      <c r="AE271" s="26">
        <v>0.99752428108931601</v>
      </c>
      <c r="AF271" s="26">
        <v>0.99781945050152598</v>
      </c>
      <c r="AG271" s="26">
        <v>0.99676365883079798</v>
      </c>
      <c r="AH271" s="28">
        <v>0.92</v>
      </c>
      <c r="AI271" s="26">
        <v>0.98318855071557998</v>
      </c>
      <c r="AJ271" s="26">
        <v>0.99392586439622099</v>
      </c>
      <c r="AK271" s="26">
        <v>0.99211767971135201</v>
      </c>
      <c r="AL271" s="26">
        <v>0.99048128230126498</v>
      </c>
      <c r="AM271" s="25">
        <v>0.99</v>
      </c>
      <c r="AN271" s="30">
        <v>1</v>
      </c>
      <c r="AO271" s="30">
        <v>1</v>
      </c>
      <c r="AP271" s="30">
        <v>1</v>
      </c>
      <c r="AQ271" s="30">
        <v>1</v>
      </c>
      <c r="AR271" s="50">
        <v>9.2228725701943806E-2</v>
      </c>
      <c r="AS271" s="34">
        <v>0.10344827586206901</v>
      </c>
      <c r="AT271" s="34">
        <v>7.1428571428571397E-2</v>
      </c>
      <c r="AU271" s="34">
        <v>3.4482758620689703E-2</v>
      </c>
      <c r="AV271" s="34">
        <v>0.113861386138614</v>
      </c>
      <c r="AW271" s="10"/>
      <c r="AX271" s="8"/>
    </row>
    <row r="272" spans="1:50">
      <c r="A272" s="7"/>
      <c r="B272" s="10"/>
      <c r="C272" s="54" t="s">
        <v>284</v>
      </c>
      <c r="D272" s="23" t="s">
        <v>15</v>
      </c>
      <c r="E272" s="55" t="s">
        <v>318</v>
      </c>
      <c r="F272" s="55" t="s">
        <v>318</v>
      </c>
      <c r="G272" s="55" t="s">
        <v>318</v>
      </c>
      <c r="H272" s="55" t="s">
        <v>318</v>
      </c>
      <c r="I272" s="25">
        <v>0.9</v>
      </c>
      <c r="J272" s="26">
        <v>0.97014925373134298</v>
      </c>
      <c r="K272" s="26">
        <v>0.98536585365853702</v>
      </c>
      <c r="L272" s="27">
        <v>0.96354166666666696</v>
      </c>
      <c r="M272" s="26">
        <v>0.98021582733812995</v>
      </c>
      <c r="N272" s="28">
        <v>0.9</v>
      </c>
      <c r="O272" s="26">
        <v>0.96439847577572102</v>
      </c>
      <c r="P272" s="26">
        <v>0.97411313518696097</v>
      </c>
      <c r="Q272" s="26">
        <v>0.96974766485431496</v>
      </c>
      <c r="R272" s="26">
        <v>0.97266187050359698</v>
      </c>
      <c r="S272" s="28">
        <v>0.9</v>
      </c>
      <c r="T272" s="26">
        <v>0.94458356015242195</v>
      </c>
      <c r="U272" s="26">
        <v>0.95282837967401701</v>
      </c>
      <c r="V272" s="26">
        <v>0.938658859612436</v>
      </c>
      <c r="W272" s="26">
        <v>0.95012638537818395</v>
      </c>
      <c r="X272" s="28">
        <v>0.92</v>
      </c>
      <c r="Y272" s="28">
        <v>0.98704534130543098</v>
      </c>
      <c r="Z272" s="28">
        <v>0.99441141498216401</v>
      </c>
      <c r="AA272" s="28">
        <v>0.99330730619074203</v>
      </c>
      <c r="AB272" s="28">
        <v>0.99203159961642096</v>
      </c>
      <c r="AC272" s="28">
        <v>0.92</v>
      </c>
      <c r="AD272" s="26">
        <v>0.99919581825492598</v>
      </c>
      <c r="AE272" s="26">
        <v>0.996857816182247</v>
      </c>
      <c r="AF272" s="26">
        <v>0.96213971665852505</v>
      </c>
      <c r="AG272" s="26">
        <v>0.98368240075023405</v>
      </c>
      <c r="AH272" s="28">
        <v>0.92</v>
      </c>
      <c r="AI272" s="26">
        <v>0.99164803367091903</v>
      </c>
      <c r="AJ272" s="26">
        <v>0.99628489544634302</v>
      </c>
      <c r="AK272" s="26">
        <v>0.99559495929519304</v>
      </c>
      <c r="AL272" s="26">
        <v>0.99506551318662895</v>
      </c>
      <c r="AM272" s="25">
        <v>0.99</v>
      </c>
      <c r="AN272" s="30">
        <v>1</v>
      </c>
      <c r="AO272" s="30">
        <v>1</v>
      </c>
      <c r="AP272" s="30">
        <v>1</v>
      </c>
      <c r="AQ272" s="30">
        <v>1</v>
      </c>
      <c r="AR272" s="50">
        <v>9.2228725701943806E-2</v>
      </c>
      <c r="AS272" s="34">
        <v>0.107142857142857</v>
      </c>
      <c r="AT272" s="34">
        <v>0</v>
      </c>
      <c r="AU272" s="34">
        <v>9.0909090909090898E-2</v>
      </c>
      <c r="AV272" s="34">
        <v>0.121546961325967</v>
      </c>
      <c r="AW272" s="10"/>
      <c r="AX272" s="8"/>
    </row>
    <row r="273" spans="1:50">
      <c r="A273" s="7"/>
      <c r="B273" s="10"/>
      <c r="C273" s="54" t="s">
        <v>284</v>
      </c>
      <c r="D273" s="23" t="s">
        <v>15</v>
      </c>
      <c r="E273" s="55" t="s">
        <v>319</v>
      </c>
      <c r="F273" s="55" t="s">
        <v>319</v>
      </c>
      <c r="G273" s="55" t="s">
        <v>319</v>
      </c>
      <c r="H273" s="55" t="s">
        <v>319</v>
      </c>
      <c r="I273" s="25">
        <v>0.9</v>
      </c>
      <c r="J273" s="26">
        <v>0.98095238095238102</v>
      </c>
      <c r="K273" s="26">
        <v>0.97321428571428603</v>
      </c>
      <c r="L273" s="27">
        <v>0.99056603773584895</v>
      </c>
      <c r="M273" s="26">
        <v>0.97226753670473098</v>
      </c>
      <c r="N273" s="28">
        <v>0.9</v>
      </c>
      <c r="O273" s="26">
        <v>0.97590510317558399</v>
      </c>
      <c r="P273" s="26">
        <v>0.96639554794520499</v>
      </c>
      <c r="Q273" s="26">
        <v>0.97174301011302799</v>
      </c>
      <c r="R273" s="26">
        <v>0.97389275336796699</v>
      </c>
      <c r="S273" s="28">
        <v>0.9</v>
      </c>
      <c r="T273" s="26">
        <v>0.968367725194613</v>
      </c>
      <c r="U273" s="26">
        <v>0.96318493150684903</v>
      </c>
      <c r="V273" s="26">
        <v>0.96728138013087495</v>
      </c>
      <c r="W273" s="26">
        <v>0.96546182970854999</v>
      </c>
      <c r="X273" s="28">
        <v>0.92</v>
      </c>
      <c r="Y273" s="28">
        <v>0.98817267888823201</v>
      </c>
      <c r="Z273" s="28">
        <v>0.99568903578100298</v>
      </c>
      <c r="AA273" s="28">
        <v>0.99654788418708196</v>
      </c>
      <c r="AB273" s="28">
        <v>0.99398364645718795</v>
      </c>
      <c r="AC273" s="28">
        <v>0.92</v>
      </c>
      <c r="AD273" s="26">
        <v>0.99207852591699697</v>
      </c>
      <c r="AE273" s="26">
        <v>0.99212460623031196</v>
      </c>
      <c r="AF273" s="26">
        <v>0.99491536332625297</v>
      </c>
      <c r="AG273" s="26">
        <v>0.97997956275042397</v>
      </c>
      <c r="AH273" s="28">
        <v>0.92</v>
      </c>
      <c r="AI273" s="26">
        <v>0.99020426759814695</v>
      </c>
      <c r="AJ273" s="26">
        <v>0.99717895253280997</v>
      </c>
      <c r="AK273" s="26">
        <v>0.99758038841133401</v>
      </c>
      <c r="AL273" s="26">
        <v>0.99572019070147399</v>
      </c>
      <c r="AM273" s="25">
        <v>0.99</v>
      </c>
      <c r="AN273" s="30">
        <v>1</v>
      </c>
      <c r="AO273" s="30">
        <v>1</v>
      </c>
      <c r="AP273" s="30">
        <v>1</v>
      </c>
      <c r="AQ273" s="30">
        <v>1</v>
      </c>
      <c r="AR273" s="50">
        <v>9.2228725701943806E-2</v>
      </c>
      <c r="AS273" s="34">
        <v>7.1428571428571397E-2</v>
      </c>
      <c r="AT273" s="34">
        <v>0.115384615384615</v>
      </c>
      <c r="AU273" s="34">
        <v>0.13793103448275901</v>
      </c>
      <c r="AV273" s="34">
        <v>9.4674556213017694E-2</v>
      </c>
      <c r="AW273" s="10"/>
      <c r="AX273" s="8"/>
    </row>
    <row r="274" spans="1:50">
      <c r="A274" s="7"/>
      <c r="B274" s="10"/>
      <c r="C274" s="54" t="s">
        <v>284</v>
      </c>
      <c r="D274" s="23" t="s">
        <v>15</v>
      </c>
      <c r="E274" s="55" t="s">
        <v>320</v>
      </c>
      <c r="F274" s="55" t="s">
        <v>320</v>
      </c>
      <c r="G274" s="55" t="s">
        <v>320</v>
      </c>
      <c r="H274" s="55" t="s">
        <v>320</v>
      </c>
      <c r="I274" s="25">
        <v>0.9</v>
      </c>
      <c r="J274" s="26">
        <v>0.98</v>
      </c>
      <c r="K274" s="26">
        <v>0.98969072164948502</v>
      </c>
      <c r="L274" s="27">
        <v>0.98876404494381998</v>
      </c>
      <c r="M274" s="26">
        <v>0.98515769944341403</v>
      </c>
      <c r="N274" s="28">
        <v>0.9</v>
      </c>
      <c r="O274" s="26">
        <v>0.97849111943946598</v>
      </c>
      <c r="P274" s="26">
        <v>0.98379731919281199</v>
      </c>
      <c r="Q274" s="26">
        <v>0.95880823835232998</v>
      </c>
      <c r="R274" s="26">
        <v>0.97545130676885305</v>
      </c>
      <c r="S274" s="28">
        <v>0.9</v>
      </c>
      <c r="T274" s="26">
        <v>0.96512954212155799</v>
      </c>
      <c r="U274" s="26">
        <v>0.96567977610841105</v>
      </c>
      <c r="V274" s="26">
        <v>0.95700859828034401</v>
      </c>
      <c r="W274" s="26">
        <v>0.96069215339939495</v>
      </c>
      <c r="X274" s="28">
        <v>0.92</v>
      </c>
      <c r="Y274" s="28">
        <v>0.98395431057927696</v>
      </c>
      <c r="Z274" s="28">
        <v>0.99403731486824398</v>
      </c>
      <c r="AA274" s="28">
        <v>0.99327856609410003</v>
      </c>
      <c r="AB274" s="28">
        <v>0.99102240688529497</v>
      </c>
      <c r="AC274" s="28">
        <v>0.92</v>
      </c>
      <c r="AD274" s="26">
        <v>0.99662257247396602</v>
      </c>
      <c r="AE274" s="26">
        <v>0.99775569092657901</v>
      </c>
      <c r="AF274" s="26">
        <v>0.99411548363368896</v>
      </c>
      <c r="AG274" s="26">
        <v>0.99109344181459602</v>
      </c>
      <c r="AH274" s="28">
        <v>0.92</v>
      </c>
      <c r="AI274" s="26">
        <v>0.98757257818070698</v>
      </c>
      <c r="AJ274" s="26">
        <v>0.996247185389042</v>
      </c>
      <c r="AK274" s="26">
        <v>0.99504231130865906</v>
      </c>
      <c r="AL274" s="26">
        <v>0.99357371184391396</v>
      </c>
      <c r="AM274" s="25">
        <v>0.99</v>
      </c>
      <c r="AN274" s="30">
        <v>1</v>
      </c>
      <c r="AO274" s="30">
        <v>1</v>
      </c>
      <c r="AP274" s="30">
        <v>1</v>
      </c>
      <c r="AQ274" s="30">
        <v>1</v>
      </c>
      <c r="AR274" s="50">
        <v>9.2228725701943806E-2</v>
      </c>
      <c r="AS274" s="34">
        <v>3.8461538461538498E-2</v>
      </c>
      <c r="AT274" s="34">
        <v>7.1428571428571397E-2</v>
      </c>
      <c r="AU274" s="34">
        <v>0.17647058823529399</v>
      </c>
      <c r="AV274" s="34">
        <v>0.12711864406779699</v>
      </c>
      <c r="AW274" s="10"/>
      <c r="AX274" s="8"/>
    </row>
    <row r="275" spans="1:50">
      <c r="A275" s="7"/>
      <c r="B275" s="10"/>
      <c r="C275" s="54" t="s">
        <v>284</v>
      </c>
      <c r="D275" s="23" t="s">
        <v>15</v>
      </c>
      <c r="E275" s="55" t="s">
        <v>321</v>
      </c>
      <c r="F275" s="55" t="s">
        <v>321</v>
      </c>
      <c r="G275" s="55" t="s">
        <v>321</v>
      </c>
      <c r="H275" s="55" t="s">
        <v>321</v>
      </c>
      <c r="I275" s="25">
        <v>0.9</v>
      </c>
      <c r="J275" s="26">
        <v>0.93902439024390205</v>
      </c>
      <c r="K275" s="26">
        <v>0.97674418604651203</v>
      </c>
      <c r="L275" s="27">
        <v>0.92771084337349397</v>
      </c>
      <c r="M275" s="26">
        <v>0.936708860759494</v>
      </c>
      <c r="N275" s="28">
        <v>0.9</v>
      </c>
      <c r="O275" s="26">
        <v>0.97140566541956197</v>
      </c>
      <c r="P275" s="26">
        <v>0.97552365262414698</v>
      </c>
      <c r="Q275" s="26">
        <v>0.97958489282068695</v>
      </c>
      <c r="R275" s="26">
        <v>0.97921842155551297</v>
      </c>
      <c r="S275" s="28">
        <v>0.9</v>
      </c>
      <c r="T275" s="26">
        <v>0.948690539818279</v>
      </c>
      <c r="U275" s="26">
        <v>0.95669569310425995</v>
      </c>
      <c r="V275" s="26">
        <v>0.95474651241918995</v>
      </c>
      <c r="W275" s="26">
        <v>0.95537932352379096</v>
      </c>
      <c r="X275" s="28">
        <v>0.92</v>
      </c>
      <c r="Y275" s="28">
        <v>0.98231511254019299</v>
      </c>
      <c r="Z275" s="28">
        <v>0.99058756417569904</v>
      </c>
      <c r="AA275" s="28">
        <v>0.98995852433966403</v>
      </c>
      <c r="AB275" s="28">
        <v>0.98866370782311097</v>
      </c>
      <c r="AC275" s="28">
        <v>0.92</v>
      </c>
      <c r="AD275" s="26">
        <v>1</v>
      </c>
      <c r="AE275" s="26">
        <v>0.99608865710560601</v>
      </c>
      <c r="AF275" s="26">
        <v>0.98003327787021599</v>
      </c>
      <c r="AG275" s="26">
        <v>0.98471615720523997</v>
      </c>
      <c r="AH275" s="28">
        <v>0.92</v>
      </c>
      <c r="AI275" s="26">
        <v>0.98747993579454296</v>
      </c>
      <c r="AJ275" s="26">
        <v>0.99381124290871603</v>
      </c>
      <c r="AK275" s="26">
        <v>0.992157384022332</v>
      </c>
      <c r="AL275" s="26">
        <v>0.99228052472250206</v>
      </c>
      <c r="AM275" s="25">
        <v>0.99</v>
      </c>
      <c r="AN275" s="30">
        <v>1</v>
      </c>
      <c r="AO275" s="30">
        <v>1</v>
      </c>
      <c r="AP275" s="30">
        <v>1</v>
      </c>
      <c r="AQ275" s="30">
        <v>1</v>
      </c>
      <c r="AR275" s="50">
        <v>9.2228725701943806E-2</v>
      </c>
      <c r="AS275" s="34">
        <v>0.18181818181818199</v>
      </c>
      <c r="AT275" s="34">
        <v>0</v>
      </c>
      <c r="AU275" s="34">
        <v>0.14285714285714299</v>
      </c>
      <c r="AV275" s="34">
        <v>0.116666666666667</v>
      </c>
      <c r="AW275" s="10"/>
      <c r="AX275" s="8"/>
    </row>
    <row r="276" spans="1:50">
      <c r="A276" s="7"/>
      <c r="B276" s="10"/>
      <c r="C276" s="54" t="s">
        <v>284</v>
      </c>
      <c r="D276" s="23" t="s">
        <v>15</v>
      </c>
      <c r="E276" s="55" t="s">
        <v>322</v>
      </c>
      <c r="F276" s="55" t="s">
        <v>322</v>
      </c>
      <c r="G276" s="55" t="s">
        <v>322</v>
      </c>
      <c r="H276" s="55" t="s">
        <v>322</v>
      </c>
      <c r="I276" s="25">
        <v>0.9</v>
      </c>
      <c r="J276" s="26">
        <v>0.93377483443708598</v>
      </c>
      <c r="K276" s="26">
        <v>0.917721518987342</v>
      </c>
      <c r="L276" s="27">
        <v>0.90476190476190499</v>
      </c>
      <c r="M276" s="26">
        <v>0.91686182669789196</v>
      </c>
      <c r="N276" s="28">
        <v>0.9</v>
      </c>
      <c r="O276" s="26">
        <v>0.86969809223930405</v>
      </c>
      <c r="P276" s="26">
        <v>0.64752156995432197</v>
      </c>
      <c r="Q276" s="26">
        <v>0.93001119820828704</v>
      </c>
      <c r="R276" s="26">
        <v>0.84009595613433896</v>
      </c>
      <c r="S276" s="28">
        <v>0.9</v>
      </c>
      <c r="T276" s="26">
        <v>0.90090757547694</v>
      </c>
      <c r="U276" s="26">
        <v>0.89840974454406997</v>
      </c>
      <c r="V276" s="26">
        <v>0.92172452407614802</v>
      </c>
      <c r="W276" s="26">
        <v>0.91329677861548997</v>
      </c>
      <c r="X276" s="28">
        <v>0.92</v>
      </c>
      <c r="Y276" s="28">
        <v>0.97319184585311402</v>
      </c>
      <c r="Z276" s="28">
        <v>0.97993951612903196</v>
      </c>
      <c r="AA276" s="28">
        <v>0.97591045502473805</v>
      </c>
      <c r="AB276" s="28">
        <v>0.97990865750570899</v>
      </c>
      <c r="AC276" s="28">
        <v>0.92</v>
      </c>
      <c r="AD276" s="26">
        <v>0.76960498151391299</v>
      </c>
      <c r="AE276" s="26">
        <v>0.96334336816008503</v>
      </c>
      <c r="AF276" s="26">
        <v>0.98641136504014804</v>
      </c>
      <c r="AG276" s="26">
        <v>0.93887054161162498</v>
      </c>
      <c r="AH276" s="28">
        <v>0.92</v>
      </c>
      <c r="AI276" s="26">
        <v>0.980239786856128</v>
      </c>
      <c r="AJ276" s="26">
        <v>0.98417954378219297</v>
      </c>
      <c r="AK276" s="26">
        <v>0.98222347629796802</v>
      </c>
      <c r="AL276" s="26">
        <v>0.98536360280546298</v>
      </c>
      <c r="AM276" s="25">
        <v>0.99</v>
      </c>
      <c r="AN276" s="30">
        <v>1</v>
      </c>
      <c r="AO276" s="30">
        <v>1</v>
      </c>
      <c r="AP276" s="30">
        <v>1</v>
      </c>
      <c r="AQ276" s="30">
        <v>1</v>
      </c>
      <c r="AR276" s="50">
        <v>9.2228725701943806E-2</v>
      </c>
      <c r="AS276" s="34">
        <v>8.3333333333333301E-2</v>
      </c>
      <c r="AT276" s="34">
        <v>0.11111111111111099</v>
      </c>
      <c r="AU276" s="34">
        <v>0</v>
      </c>
      <c r="AV276" s="34">
        <v>8.0745341614906804E-2</v>
      </c>
      <c r="AW276" s="10"/>
      <c r="AX276" s="8"/>
    </row>
    <row r="277" spans="1:50">
      <c r="A277" s="7"/>
      <c r="B277" s="10"/>
      <c r="C277" s="54" t="s">
        <v>284</v>
      </c>
      <c r="D277" s="23" t="s">
        <v>15</v>
      </c>
      <c r="E277" s="55" t="s">
        <v>323</v>
      </c>
      <c r="F277" s="55" t="s">
        <v>323</v>
      </c>
      <c r="G277" s="55" t="s">
        <v>323</v>
      </c>
      <c r="H277" s="55" t="s">
        <v>323</v>
      </c>
      <c r="I277" s="25">
        <v>0.9</v>
      </c>
      <c r="J277" s="26">
        <v>0</v>
      </c>
      <c r="K277" s="26">
        <v>0</v>
      </c>
      <c r="L277" s="27">
        <v>0</v>
      </c>
      <c r="M277" s="26">
        <v>0</v>
      </c>
      <c r="N277" s="28">
        <v>0.9</v>
      </c>
      <c r="O277" s="26">
        <v>0</v>
      </c>
      <c r="P277" s="26">
        <v>0</v>
      </c>
      <c r="Q277" s="26">
        <v>0</v>
      </c>
      <c r="R277" s="26">
        <v>0</v>
      </c>
      <c r="S277" s="28">
        <v>0.9</v>
      </c>
      <c r="T277" s="26">
        <v>0</v>
      </c>
      <c r="U277" s="26">
        <v>0</v>
      </c>
      <c r="V277" s="26">
        <v>0</v>
      </c>
      <c r="W277" s="26">
        <v>0</v>
      </c>
      <c r="X277" s="28">
        <v>0.92</v>
      </c>
      <c r="Y277" s="28">
        <v>0</v>
      </c>
      <c r="Z277" s="28">
        <v>0</v>
      </c>
      <c r="AA277" s="28">
        <v>0</v>
      </c>
      <c r="AB277" s="28">
        <v>0</v>
      </c>
      <c r="AC277" s="28">
        <v>0.92</v>
      </c>
      <c r="AD277" s="26">
        <v>0.91435185185185197</v>
      </c>
      <c r="AE277" s="26">
        <v>0.86446886446886495</v>
      </c>
      <c r="AF277" s="26">
        <v>0.87906976744186005</v>
      </c>
      <c r="AG277" s="26">
        <v>0.84685565330726598</v>
      </c>
      <c r="AH277" s="28">
        <v>0.92</v>
      </c>
      <c r="AI277" s="26">
        <v>0</v>
      </c>
      <c r="AJ277" s="26">
        <v>0</v>
      </c>
      <c r="AK277" s="26">
        <v>0</v>
      </c>
      <c r="AL277" s="26">
        <v>0</v>
      </c>
      <c r="AM277" s="25">
        <v>0.99</v>
      </c>
      <c r="AN277" s="30">
        <v>1</v>
      </c>
      <c r="AO277" s="30">
        <v>1</v>
      </c>
      <c r="AP277" s="30">
        <v>1</v>
      </c>
      <c r="AQ277" s="30">
        <v>1</v>
      </c>
      <c r="AR277" s="50">
        <v>9.2228725701943806E-2</v>
      </c>
      <c r="AS277" s="34">
        <v>0</v>
      </c>
      <c r="AT277" s="34">
        <v>0</v>
      </c>
      <c r="AU277" s="34">
        <v>0</v>
      </c>
      <c r="AV277" s="34">
        <v>0</v>
      </c>
      <c r="AW277" s="10"/>
      <c r="AX277" s="8"/>
    </row>
    <row r="278" spans="1:50">
      <c r="A278" s="7"/>
      <c r="B278" s="10"/>
      <c r="C278" s="54" t="s">
        <v>284</v>
      </c>
      <c r="D278" s="23" t="s">
        <v>15</v>
      </c>
      <c r="E278" s="55" t="s">
        <v>324</v>
      </c>
      <c r="F278" s="55" t="s">
        <v>324</v>
      </c>
      <c r="G278" s="55" t="s">
        <v>324</v>
      </c>
      <c r="H278" s="55" t="s">
        <v>324</v>
      </c>
      <c r="I278" s="25">
        <v>0.9</v>
      </c>
      <c r="J278" s="26">
        <v>0</v>
      </c>
      <c r="K278" s="26">
        <v>0</v>
      </c>
      <c r="L278" s="27">
        <v>0</v>
      </c>
      <c r="M278" s="26">
        <v>0</v>
      </c>
      <c r="N278" s="28">
        <v>0.9</v>
      </c>
      <c r="O278" s="26">
        <v>0</v>
      </c>
      <c r="P278" s="26">
        <v>0</v>
      </c>
      <c r="Q278" s="26">
        <v>0</v>
      </c>
      <c r="R278" s="26">
        <v>0</v>
      </c>
      <c r="S278" s="28">
        <v>0.9</v>
      </c>
      <c r="T278" s="26">
        <v>0</v>
      </c>
      <c r="U278" s="26">
        <v>0</v>
      </c>
      <c r="V278" s="26">
        <v>0</v>
      </c>
      <c r="W278" s="26">
        <v>0</v>
      </c>
      <c r="X278" s="28">
        <v>0.92</v>
      </c>
      <c r="Y278" s="28">
        <v>0</v>
      </c>
      <c r="Z278" s="28">
        <v>0</v>
      </c>
      <c r="AA278" s="28">
        <v>0</v>
      </c>
      <c r="AB278" s="28">
        <v>0</v>
      </c>
      <c r="AC278" s="28">
        <v>0.92</v>
      </c>
      <c r="AD278" s="26">
        <v>1</v>
      </c>
      <c r="AE278" s="26">
        <v>0.72983354673495504</v>
      </c>
      <c r="AF278" s="26">
        <v>0.70826010544815499</v>
      </c>
      <c r="AG278" s="26">
        <v>0.73278688524590196</v>
      </c>
      <c r="AH278" s="28">
        <v>0.92</v>
      </c>
      <c r="AI278" s="26">
        <v>0</v>
      </c>
      <c r="AJ278" s="26">
        <v>0</v>
      </c>
      <c r="AK278" s="26">
        <v>0</v>
      </c>
      <c r="AL278" s="26">
        <v>0</v>
      </c>
      <c r="AM278" s="25">
        <v>0.99</v>
      </c>
      <c r="AN278" s="30">
        <v>0</v>
      </c>
      <c r="AO278" s="30">
        <v>1</v>
      </c>
      <c r="AP278" s="30">
        <v>0</v>
      </c>
      <c r="AQ278" s="30">
        <v>1</v>
      </c>
      <c r="AR278" s="50">
        <v>9.2228725701943806E-2</v>
      </c>
      <c r="AS278" s="34">
        <v>0</v>
      </c>
      <c r="AT278" s="34">
        <v>0</v>
      </c>
      <c r="AU278" s="34">
        <v>0</v>
      </c>
      <c r="AV278" s="34">
        <v>0</v>
      </c>
      <c r="AW278" s="10"/>
      <c r="AX278" s="8"/>
    </row>
    <row r="279" spans="1:50">
      <c r="A279" s="7"/>
      <c r="B279" s="10"/>
      <c r="C279" s="54" t="s">
        <v>284</v>
      </c>
      <c r="D279" s="23" t="s">
        <v>15</v>
      </c>
      <c r="E279" s="55" t="s">
        <v>325</v>
      </c>
      <c r="F279" s="55" t="s">
        <v>325</v>
      </c>
      <c r="G279" s="55" t="s">
        <v>325</v>
      </c>
      <c r="H279" s="55" t="s">
        <v>325</v>
      </c>
      <c r="I279" s="25">
        <v>0.9</v>
      </c>
      <c r="J279" s="26">
        <v>0</v>
      </c>
      <c r="K279" s="26">
        <v>0</v>
      </c>
      <c r="L279" s="27">
        <v>0</v>
      </c>
      <c r="M279" s="26">
        <v>0</v>
      </c>
      <c r="N279" s="28">
        <v>0.9</v>
      </c>
      <c r="O279" s="26">
        <v>0</v>
      </c>
      <c r="P279" s="26">
        <v>0</v>
      </c>
      <c r="Q279" s="26">
        <v>0</v>
      </c>
      <c r="R279" s="26">
        <v>0</v>
      </c>
      <c r="S279" s="28">
        <v>0.9</v>
      </c>
      <c r="T279" s="26">
        <v>0</v>
      </c>
      <c r="U279" s="26">
        <v>0</v>
      </c>
      <c r="V279" s="26">
        <v>0</v>
      </c>
      <c r="W279" s="26">
        <v>0</v>
      </c>
      <c r="X279" s="28">
        <v>0.92</v>
      </c>
      <c r="Y279" s="28">
        <v>0</v>
      </c>
      <c r="Z279" s="28">
        <v>0</v>
      </c>
      <c r="AA279" s="28">
        <v>0</v>
      </c>
      <c r="AB279" s="28">
        <v>0</v>
      </c>
      <c r="AC279" s="28">
        <v>0.92</v>
      </c>
      <c r="AD279" s="26">
        <v>1</v>
      </c>
      <c r="AE279" s="26">
        <v>0.995398773006135</v>
      </c>
      <c r="AF279" s="26">
        <v>0.99055330634278005</v>
      </c>
      <c r="AG279" s="26">
        <v>0.89220055710306401</v>
      </c>
      <c r="AH279" s="28">
        <v>0.92</v>
      </c>
      <c r="AI279" s="26">
        <v>0</v>
      </c>
      <c r="AJ279" s="26">
        <v>0</v>
      </c>
      <c r="AK279" s="26">
        <v>0</v>
      </c>
      <c r="AL279" s="26">
        <v>0</v>
      </c>
      <c r="AM279" s="25">
        <v>0.99</v>
      </c>
      <c r="AN279" s="30">
        <v>0</v>
      </c>
      <c r="AO279" s="30">
        <v>1</v>
      </c>
      <c r="AP279" s="30">
        <v>0</v>
      </c>
      <c r="AQ279" s="30">
        <v>1</v>
      </c>
      <c r="AR279" s="50">
        <v>9.2228725701943806E-2</v>
      </c>
      <c r="AS279" s="34">
        <v>0</v>
      </c>
      <c r="AT279" s="34">
        <v>0</v>
      </c>
      <c r="AU279" s="34">
        <v>0</v>
      </c>
      <c r="AV279" s="34">
        <v>0</v>
      </c>
      <c r="AW279" s="10"/>
      <c r="AX279" s="8"/>
    </row>
    <row r="280" spans="1:50">
      <c r="A280" s="7"/>
      <c r="B280" s="10"/>
      <c r="C280" s="54" t="s">
        <v>284</v>
      </c>
      <c r="D280" s="23" t="s">
        <v>15</v>
      </c>
      <c r="E280" s="55" t="s">
        <v>326</v>
      </c>
      <c r="F280" s="55" t="s">
        <v>326</v>
      </c>
      <c r="G280" s="55" t="s">
        <v>326</v>
      </c>
      <c r="H280" s="55" t="s">
        <v>326</v>
      </c>
      <c r="I280" s="25">
        <v>0.9</v>
      </c>
      <c r="J280" s="26">
        <v>0</v>
      </c>
      <c r="K280" s="26">
        <v>0</v>
      </c>
      <c r="L280" s="27">
        <v>0</v>
      </c>
      <c r="M280" s="26">
        <v>0</v>
      </c>
      <c r="N280" s="28">
        <v>0.9</v>
      </c>
      <c r="O280" s="26">
        <v>0</v>
      </c>
      <c r="P280" s="26">
        <v>0</v>
      </c>
      <c r="Q280" s="26">
        <v>0</v>
      </c>
      <c r="R280" s="26">
        <v>0</v>
      </c>
      <c r="S280" s="28">
        <v>0.9</v>
      </c>
      <c r="T280" s="26">
        <v>0</v>
      </c>
      <c r="U280" s="26">
        <v>0</v>
      </c>
      <c r="V280" s="26">
        <v>0</v>
      </c>
      <c r="W280" s="26">
        <v>0</v>
      </c>
      <c r="X280" s="28">
        <v>0.92</v>
      </c>
      <c r="Y280" s="28">
        <v>0</v>
      </c>
      <c r="Z280" s="28">
        <v>0</v>
      </c>
      <c r="AA280" s="28">
        <v>0</v>
      </c>
      <c r="AB280" s="28">
        <v>0</v>
      </c>
      <c r="AC280" s="28">
        <v>0.92</v>
      </c>
      <c r="AD280" s="26">
        <v>0.95930232558139505</v>
      </c>
      <c r="AE280" s="26">
        <v>0.91666666666666696</v>
      </c>
      <c r="AF280" s="26">
        <v>0.89230769230769202</v>
      </c>
      <c r="AG280" s="26">
        <v>0.78118161925601703</v>
      </c>
      <c r="AH280" s="28">
        <v>0.92</v>
      </c>
      <c r="AI280" s="26">
        <v>0</v>
      </c>
      <c r="AJ280" s="26">
        <v>0</v>
      </c>
      <c r="AK280" s="26">
        <v>0</v>
      </c>
      <c r="AL280" s="26">
        <v>0</v>
      </c>
      <c r="AM280" s="25">
        <v>0.99</v>
      </c>
      <c r="AN280" s="30">
        <v>1</v>
      </c>
      <c r="AO280" s="30">
        <v>1</v>
      </c>
      <c r="AP280" s="30">
        <v>1</v>
      </c>
      <c r="AQ280" s="30">
        <v>1</v>
      </c>
      <c r="AR280" s="50">
        <v>9.2228725701943806E-2</v>
      </c>
      <c r="AS280" s="34">
        <v>0</v>
      </c>
      <c r="AT280" s="34">
        <v>0</v>
      </c>
      <c r="AU280" s="34">
        <v>0</v>
      </c>
      <c r="AV280" s="34">
        <v>0</v>
      </c>
      <c r="AW280" s="10"/>
      <c r="AX280" s="8"/>
    </row>
    <row r="281" spans="1:50">
      <c r="A281" s="7"/>
      <c r="B281" s="10"/>
      <c r="C281" s="54" t="s">
        <v>284</v>
      </c>
      <c r="D281" s="23" t="s">
        <v>15</v>
      </c>
      <c r="E281" s="55" t="s">
        <v>327</v>
      </c>
      <c r="F281" s="55" t="s">
        <v>327</v>
      </c>
      <c r="G281" s="55" t="s">
        <v>327</v>
      </c>
      <c r="H281" s="55" t="s">
        <v>327</v>
      </c>
      <c r="I281" s="25">
        <v>0.9</v>
      </c>
      <c r="J281" s="26">
        <v>0.88235294117647101</v>
      </c>
      <c r="K281" s="26">
        <v>0.82352941176470595</v>
      </c>
      <c r="L281" s="27">
        <v>0.9375</v>
      </c>
      <c r="M281" s="26">
        <v>0.89108910891089099</v>
      </c>
      <c r="N281" s="28">
        <v>0.9</v>
      </c>
      <c r="O281" s="26">
        <v>0.98144593730006402</v>
      </c>
      <c r="P281" s="26">
        <v>0.99063779988297296</v>
      </c>
      <c r="Q281" s="26">
        <v>0.94487577639751597</v>
      </c>
      <c r="R281" s="26">
        <v>0.97977897954385096</v>
      </c>
      <c r="S281" s="28">
        <v>0.9</v>
      </c>
      <c r="T281" s="26">
        <v>0.93730006397952703</v>
      </c>
      <c r="U281" s="26">
        <v>0.93739028671737901</v>
      </c>
      <c r="V281" s="26">
        <v>0.89285714285714302</v>
      </c>
      <c r="W281" s="26">
        <v>0.92628732659299295</v>
      </c>
      <c r="X281" s="28">
        <v>0.92</v>
      </c>
      <c r="Y281" s="28">
        <v>0.97600767754318596</v>
      </c>
      <c r="Z281" s="28">
        <v>0.98453209590100499</v>
      </c>
      <c r="AA281" s="28">
        <v>0.98536260811709897</v>
      </c>
      <c r="AB281" s="28">
        <v>0.98366062059661197</v>
      </c>
      <c r="AC281" s="28">
        <v>0.92</v>
      </c>
      <c r="AD281" s="26">
        <v>0.99946638207043803</v>
      </c>
      <c r="AE281" s="26">
        <v>0.79088424579035499</v>
      </c>
      <c r="AF281" s="26">
        <v>0.85404151549396301</v>
      </c>
      <c r="AG281" s="26">
        <v>0.92668864417479102</v>
      </c>
      <c r="AH281" s="28">
        <v>0.92</v>
      </c>
      <c r="AI281" s="26">
        <v>0.98234165067178503</v>
      </c>
      <c r="AJ281" s="26">
        <v>0.990682196339434</v>
      </c>
      <c r="AK281" s="26">
        <v>0.99032951289398297</v>
      </c>
      <c r="AL281" s="26">
        <v>0.98946120405743598</v>
      </c>
      <c r="AM281" s="25">
        <v>0.99</v>
      </c>
      <c r="AN281" s="30">
        <v>1</v>
      </c>
      <c r="AO281" s="30">
        <v>1</v>
      </c>
      <c r="AP281" s="30">
        <v>1</v>
      </c>
      <c r="AQ281" s="30">
        <v>1</v>
      </c>
      <c r="AR281" s="50">
        <v>9.2228725701943806E-2</v>
      </c>
      <c r="AS281" s="34">
        <v>0.5</v>
      </c>
      <c r="AT281" s="34">
        <v>0</v>
      </c>
      <c r="AU281" s="34">
        <v>0.25</v>
      </c>
      <c r="AV281" s="34">
        <v>0.14285714285714299</v>
      </c>
      <c r="AW281" s="10"/>
      <c r="AX281" s="8"/>
    </row>
    <row r="282" spans="1:50">
      <c r="A282" s="7"/>
      <c r="B282" s="10"/>
      <c r="C282" s="54" t="s">
        <v>284</v>
      </c>
      <c r="D282" s="23" t="s">
        <v>15</v>
      </c>
      <c r="E282" s="55" t="s">
        <v>328</v>
      </c>
      <c r="F282" s="55" t="s">
        <v>328</v>
      </c>
      <c r="G282" s="55" t="s">
        <v>328</v>
      </c>
      <c r="H282" s="55" t="s">
        <v>328</v>
      </c>
      <c r="I282" s="25">
        <v>0.9</v>
      </c>
      <c r="J282" s="26">
        <v>0</v>
      </c>
      <c r="K282" s="26">
        <v>0</v>
      </c>
      <c r="L282" s="27">
        <v>0</v>
      </c>
      <c r="M282" s="26">
        <v>0</v>
      </c>
      <c r="N282" s="28">
        <v>0.9</v>
      </c>
      <c r="O282" s="26">
        <v>0</v>
      </c>
      <c r="P282" s="26">
        <v>0</v>
      </c>
      <c r="Q282" s="26">
        <v>0</v>
      </c>
      <c r="R282" s="26">
        <v>0</v>
      </c>
      <c r="S282" s="28">
        <v>0.9</v>
      </c>
      <c r="T282" s="26">
        <v>0</v>
      </c>
      <c r="U282" s="26">
        <v>0</v>
      </c>
      <c r="V282" s="26">
        <v>0</v>
      </c>
      <c r="W282" s="26">
        <v>0</v>
      </c>
      <c r="X282" s="28">
        <v>0.92</v>
      </c>
      <c r="Y282" s="28">
        <v>0</v>
      </c>
      <c r="Z282" s="28">
        <v>0</v>
      </c>
      <c r="AA282" s="28">
        <v>0</v>
      </c>
      <c r="AB282" s="28">
        <v>0</v>
      </c>
      <c r="AC282" s="28">
        <v>0.92</v>
      </c>
      <c r="AD282" s="26">
        <v>0.99891774891774898</v>
      </c>
      <c r="AE282" s="26">
        <v>0.99691358024691401</v>
      </c>
      <c r="AF282" s="26">
        <v>0.99965343961185205</v>
      </c>
      <c r="AG282" s="26">
        <v>0.99772950100624402</v>
      </c>
      <c r="AH282" s="28">
        <v>0.92</v>
      </c>
      <c r="AI282" s="26">
        <v>0</v>
      </c>
      <c r="AJ282" s="26">
        <v>0</v>
      </c>
      <c r="AK282" s="26">
        <v>0</v>
      </c>
      <c r="AL282" s="26">
        <v>0</v>
      </c>
      <c r="AM282" s="25">
        <v>0.99</v>
      </c>
      <c r="AN282" s="30">
        <v>0</v>
      </c>
      <c r="AO282" s="30">
        <v>1</v>
      </c>
      <c r="AP282" s="30">
        <v>1</v>
      </c>
      <c r="AQ282" s="30">
        <v>1</v>
      </c>
      <c r="AR282" s="50">
        <v>9.2228725701943806E-2</v>
      </c>
      <c r="AS282" s="34">
        <v>0</v>
      </c>
      <c r="AT282" s="34">
        <v>0</v>
      </c>
      <c r="AU282" s="34">
        <v>0</v>
      </c>
      <c r="AV282" s="34">
        <v>0</v>
      </c>
      <c r="AW282" s="10"/>
      <c r="AX282" s="8"/>
    </row>
    <row r="283" spans="1:50" s="2" customFormat="1">
      <c r="A283" s="7"/>
      <c r="B283" s="4"/>
      <c r="C283" s="54" t="s">
        <v>284</v>
      </c>
      <c r="D283" s="23" t="s">
        <v>15</v>
      </c>
      <c r="E283" s="55" t="s">
        <v>329</v>
      </c>
      <c r="F283" s="55" t="s">
        <v>329</v>
      </c>
      <c r="G283" s="55" t="s">
        <v>329</v>
      </c>
      <c r="H283" s="55" t="s">
        <v>329</v>
      </c>
      <c r="I283" s="25">
        <v>0.9</v>
      </c>
      <c r="J283" s="26">
        <v>0.99397590361445798</v>
      </c>
      <c r="K283" s="26">
        <v>0.98203592814371299</v>
      </c>
      <c r="L283" s="27">
        <v>0.98742138364779897</v>
      </c>
      <c r="M283" s="26">
        <v>0.98172043010752696</v>
      </c>
      <c r="N283" s="28">
        <v>0.9</v>
      </c>
      <c r="O283" s="26">
        <v>0.95688706611983598</v>
      </c>
      <c r="P283" s="26">
        <v>0.90739378333639897</v>
      </c>
      <c r="Q283" s="26">
        <v>0.96219018715225102</v>
      </c>
      <c r="R283" s="26">
        <v>0.932249372170183</v>
      </c>
      <c r="S283" s="28">
        <v>0.9</v>
      </c>
      <c r="T283" s="26">
        <v>0.92347704311293399</v>
      </c>
      <c r="U283" s="26">
        <v>0.91291153209490505</v>
      </c>
      <c r="V283" s="26">
        <v>0.93032372281234199</v>
      </c>
      <c r="W283" s="26">
        <v>0.91346030465785599</v>
      </c>
      <c r="X283" s="28">
        <v>0.92</v>
      </c>
      <c r="Y283" s="28">
        <v>0.97708568662255901</v>
      </c>
      <c r="Z283" s="28">
        <v>0.98429752066115705</v>
      </c>
      <c r="AA283" s="28">
        <v>0.97756261055767601</v>
      </c>
      <c r="AB283" s="28">
        <v>0.97568341108331602</v>
      </c>
      <c r="AC283" s="28">
        <v>0.92</v>
      </c>
      <c r="AD283" s="26">
        <v>0.99720187380136405</v>
      </c>
      <c r="AE283" s="26">
        <v>0.99178977352062303</v>
      </c>
      <c r="AF283" s="26">
        <v>0.94910680120032997</v>
      </c>
      <c r="AG283" s="26">
        <v>0.98299684556863498</v>
      </c>
      <c r="AH283" s="28">
        <v>0.92</v>
      </c>
      <c r="AI283" s="26">
        <v>0.98339301148289904</v>
      </c>
      <c r="AJ283" s="26">
        <v>0.99033491833781295</v>
      </c>
      <c r="AK283" s="26">
        <v>0.98407762826355005</v>
      </c>
      <c r="AL283" s="26">
        <v>0.984962557982072</v>
      </c>
      <c r="AM283" s="25">
        <v>0.99</v>
      </c>
      <c r="AN283" s="30">
        <v>1</v>
      </c>
      <c r="AO283" s="30">
        <v>1</v>
      </c>
      <c r="AP283" s="30">
        <v>1</v>
      </c>
      <c r="AQ283" s="30">
        <v>1</v>
      </c>
      <c r="AR283" s="50">
        <v>9.2228725701943806E-2</v>
      </c>
      <c r="AS283" s="34">
        <v>5.0847457627118599E-2</v>
      </c>
      <c r="AT283" s="34">
        <v>6.4516129032258104E-2</v>
      </c>
      <c r="AU283" s="34">
        <v>0</v>
      </c>
      <c r="AV283" s="34">
        <v>6.9264069264069306E-2</v>
      </c>
      <c r="AW283" s="4"/>
      <c r="AX283" s="8"/>
    </row>
    <row r="284" spans="1:50" s="2" customFormat="1">
      <c r="A284" s="7"/>
      <c r="B284" s="4"/>
      <c r="C284" s="54" t="s">
        <v>284</v>
      </c>
      <c r="D284" s="23" t="s">
        <v>15</v>
      </c>
      <c r="E284" s="55" t="s">
        <v>330</v>
      </c>
      <c r="F284" s="55" t="s">
        <v>330</v>
      </c>
      <c r="G284" s="55" t="s">
        <v>330</v>
      </c>
      <c r="H284" s="55" t="s">
        <v>330</v>
      </c>
      <c r="I284" s="25">
        <v>0.9</v>
      </c>
      <c r="J284" s="26">
        <v>0.93333333333333302</v>
      </c>
      <c r="K284" s="26">
        <v>0.891891891891892</v>
      </c>
      <c r="L284" s="27">
        <v>0.87323943661971803</v>
      </c>
      <c r="M284" s="26">
        <v>0.89593908629441599</v>
      </c>
      <c r="N284" s="28">
        <v>0.9</v>
      </c>
      <c r="O284" s="26">
        <v>0.97184442853734199</v>
      </c>
      <c r="P284" s="26">
        <v>0.96045591998139102</v>
      </c>
      <c r="Q284" s="26">
        <v>0.97763674826231495</v>
      </c>
      <c r="R284" s="26">
        <v>0.96936212958312395</v>
      </c>
      <c r="S284" s="28">
        <v>0.9</v>
      </c>
      <c r="T284" s="26">
        <v>0.93247434979718402</v>
      </c>
      <c r="U284" s="26">
        <v>0.92091183996278203</v>
      </c>
      <c r="V284" s="26">
        <v>0.93502568751888804</v>
      </c>
      <c r="W284" s="26">
        <v>0.93150997671339197</v>
      </c>
      <c r="X284" s="28">
        <v>0.92</v>
      </c>
      <c r="Y284" s="28">
        <v>0.97024851242562105</v>
      </c>
      <c r="Z284" s="28">
        <v>0.99539669645274798</v>
      </c>
      <c r="AA284" s="28">
        <v>0.99597286986011002</v>
      </c>
      <c r="AB284" s="28">
        <v>0.98974599208827796</v>
      </c>
      <c r="AC284" s="28">
        <v>0.92</v>
      </c>
      <c r="AD284" s="26">
        <v>0.94799054373522496</v>
      </c>
      <c r="AE284" s="26">
        <v>0.99777929620772099</v>
      </c>
      <c r="AF284" s="26">
        <v>0.99780004888780205</v>
      </c>
      <c r="AG284" s="26">
        <v>0.98724405174753505</v>
      </c>
      <c r="AH284" s="28">
        <v>0.92</v>
      </c>
      <c r="AI284" s="26">
        <v>0.98183881952326901</v>
      </c>
      <c r="AJ284" s="26">
        <v>0.99512073063930895</v>
      </c>
      <c r="AK284" s="26">
        <v>0.99564080209241501</v>
      </c>
      <c r="AL284" s="26">
        <v>0.99214551467548595</v>
      </c>
      <c r="AM284" s="25">
        <v>0.99</v>
      </c>
      <c r="AN284" s="30">
        <v>1</v>
      </c>
      <c r="AO284" s="30">
        <v>1</v>
      </c>
      <c r="AP284" s="30">
        <v>1</v>
      </c>
      <c r="AQ284" s="30">
        <v>1</v>
      </c>
      <c r="AR284" s="50">
        <v>9.2228725701943806E-2</v>
      </c>
      <c r="AS284" s="34">
        <v>0</v>
      </c>
      <c r="AT284" s="34">
        <v>7.1428571428571397E-2</v>
      </c>
      <c r="AU284" s="34">
        <v>0</v>
      </c>
      <c r="AV284" s="34">
        <v>2.7777777777777801E-2</v>
      </c>
      <c r="AW284" s="4"/>
      <c r="AX284" s="8"/>
    </row>
    <row r="285" spans="1:50" s="2" customFormat="1">
      <c r="A285" s="7"/>
      <c r="B285" s="4"/>
      <c r="C285" s="54" t="s">
        <v>284</v>
      </c>
      <c r="D285" s="23" t="s">
        <v>15</v>
      </c>
      <c r="E285" s="55" t="s">
        <v>331</v>
      </c>
      <c r="F285" s="55" t="s">
        <v>331</v>
      </c>
      <c r="G285" s="55" t="s">
        <v>331</v>
      </c>
      <c r="H285" s="55" t="s">
        <v>331</v>
      </c>
      <c r="I285" s="25">
        <v>0.9</v>
      </c>
      <c r="J285" s="26">
        <v>0.94957983193277296</v>
      </c>
      <c r="K285" s="26">
        <v>0.921875</v>
      </c>
      <c r="L285" s="27">
        <v>0.91935483870967705</v>
      </c>
      <c r="M285" s="26">
        <v>0.91081871345029197</v>
      </c>
      <c r="N285" s="28">
        <v>0.9</v>
      </c>
      <c r="O285" s="26">
        <v>0.94444444444444398</v>
      </c>
      <c r="P285" s="26">
        <v>0.86417564434746996</v>
      </c>
      <c r="Q285" s="26">
        <v>0.95507637017071001</v>
      </c>
      <c r="R285" s="26">
        <v>0.92563063303290505</v>
      </c>
      <c r="S285" s="28">
        <v>0.9</v>
      </c>
      <c r="T285" s="26">
        <v>0.93005181347150301</v>
      </c>
      <c r="U285" s="26">
        <v>0.92786035728896799</v>
      </c>
      <c r="V285" s="26">
        <v>0.92093441150044897</v>
      </c>
      <c r="W285" s="26">
        <v>0.922697456135673</v>
      </c>
      <c r="X285" s="28">
        <v>0.92</v>
      </c>
      <c r="Y285" s="28">
        <v>0.98298513891880201</v>
      </c>
      <c r="Z285" s="28">
        <v>0.99309921791136302</v>
      </c>
      <c r="AA285" s="28">
        <v>0.99458097038437299</v>
      </c>
      <c r="AB285" s="28">
        <v>0.98844864370618701</v>
      </c>
      <c r="AC285" s="28">
        <v>0.92</v>
      </c>
      <c r="AD285" s="26">
        <v>0.996557000765111</v>
      </c>
      <c r="AE285" s="26">
        <v>0.83294663573085803</v>
      </c>
      <c r="AF285" s="26">
        <v>0.92616033755274296</v>
      </c>
      <c r="AG285" s="26">
        <v>0.873607719340044</v>
      </c>
      <c r="AH285" s="28">
        <v>0.92</v>
      </c>
      <c r="AI285" s="26">
        <v>0.98964803312629401</v>
      </c>
      <c r="AJ285" s="26">
        <v>0.995380728978708</v>
      </c>
      <c r="AK285" s="26">
        <v>0.99592652940305104</v>
      </c>
      <c r="AL285" s="26">
        <v>0.99281864592369296</v>
      </c>
      <c r="AM285" s="25">
        <v>0.99</v>
      </c>
      <c r="AN285" s="30">
        <v>1</v>
      </c>
      <c r="AO285" s="30">
        <v>1</v>
      </c>
      <c r="AP285" s="30">
        <v>1</v>
      </c>
      <c r="AQ285" s="30">
        <v>1</v>
      </c>
      <c r="AR285" s="50">
        <v>9.2228725701943806E-2</v>
      </c>
      <c r="AS285" s="34">
        <v>0.105263157894737</v>
      </c>
      <c r="AT285" s="34">
        <v>0</v>
      </c>
      <c r="AU285" s="34">
        <v>0</v>
      </c>
      <c r="AV285" s="34">
        <v>7.03125E-2</v>
      </c>
      <c r="AW285" s="4"/>
      <c r="AX285" s="8"/>
    </row>
    <row r="286" spans="1:50" s="2" customFormat="1">
      <c r="A286" s="7"/>
      <c r="B286" s="4"/>
      <c r="C286" s="54" t="s">
        <v>284</v>
      </c>
      <c r="D286" s="23" t="s">
        <v>15</v>
      </c>
      <c r="E286" s="55" t="s">
        <v>332</v>
      </c>
      <c r="F286" s="55" t="s">
        <v>332</v>
      </c>
      <c r="G286" s="55" t="s">
        <v>332</v>
      </c>
      <c r="H286" s="55" t="s">
        <v>332</v>
      </c>
      <c r="I286" s="25">
        <v>0.9</v>
      </c>
      <c r="J286" s="26">
        <v>0.90825688073394495</v>
      </c>
      <c r="K286" s="26">
        <v>0.92660550458715596</v>
      </c>
      <c r="L286" s="27">
        <v>0.84693877551020402</v>
      </c>
      <c r="M286" s="26">
        <v>0.88127090301003297</v>
      </c>
      <c r="N286" s="28">
        <v>0.9</v>
      </c>
      <c r="O286" s="26">
        <v>0.94143700787401596</v>
      </c>
      <c r="P286" s="26">
        <v>0.87106184364060701</v>
      </c>
      <c r="Q286" s="26">
        <v>0.93186857488409602</v>
      </c>
      <c r="R286" s="26">
        <v>0.907885680083795</v>
      </c>
      <c r="S286" s="28">
        <v>0.9</v>
      </c>
      <c r="T286" s="26">
        <v>0.93274278215223105</v>
      </c>
      <c r="U286" s="26">
        <v>0.91073512252041999</v>
      </c>
      <c r="V286" s="26">
        <v>0.92340253981052201</v>
      </c>
      <c r="W286" s="26">
        <v>0.92880442914858596</v>
      </c>
      <c r="X286" s="28">
        <v>0.92</v>
      </c>
      <c r="Y286" s="28">
        <v>0.95819267722669399</v>
      </c>
      <c r="Z286" s="28">
        <v>0.97826086956521696</v>
      </c>
      <c r="AA286" s="28">
        <v>0.97121034077555801</v>
      </c>
      <c r="AB286" s="28">
        <v>0.971080456550662</v>
      </c>
      <c r="AC286" s="28">
        <v>0.92</v>
      </c>
      <c r="AD286" s="26">
        <v>0.99756690997566899</v>
      </c>
      <c r="AE286" s="26">
        <v>0.99218194740582799</v>
      </c>
      <c r="AF286" s="26">
        <v>0.99442299442299398</v>
      </c>
      <c r="AG286" s="26">
        <v>0.99039280068101698</v>
      </c>
      <c r="AH286" s="28">
        <v>0.92</v>
      </c>
      <c r="AI286" s="26">
        <v>0.97386146576857302</v>
      </c>
      <c r="AJ286" s="26">
        <v>0.98548749198204</v>
      </c>
      <c r="AK286" s="26">
        <v>0.97910650586036996</v>
      </c>
      <c r="AL286" s="26">
        <v>0.98114455305009796</v>
      </c>
      <c r="AM286" s="25">
        <v>0.99</v>
      </c>
      <c r="AN286" s="30">
        <v>1</v>
      </c>
      <c r="AO286" s="30">
        <v>1</v>
      </c>
      <c r="AP286" s="30">
        <v>1</v>
      </c>
      <c r="AQ286" s="30">
        <v>1</v>
      </c>
      <c r="AR286" s="50">
        <v>9.2228725701943806E-2</v>
      </c>
      <c r="AS286" s="34">
        <v>0</v>
      </c>
      <c r="AT286" s="34">
        <v>5.2631578947368397E-2</v>
      </c>
      <c r="AU286" s="34">
        <v>9.0909090909090898E-2</v>
      </c>
      <c r="AV286" s="34">
        <v>5.3571428571428603E-2</v>
      </c>
      <c r="AW286" s="4"/>
      <c r="AX286" s="8"/>
    </row>
    <row r="287" spans="1:50" s="2" customFormat="1">
      <c r="A287" s="7"/>
      <c r="B287" s="4"/>
      <c r="C287" s="54" t="s">
        <v>284</v>
      </c>
      <c r="D287" s="23" t="s">
        <v>15</v>
      </c>
      <c r="E287" s="55" t="s">
        <v>333</v>
      </c>
      <c r="F287" s="55" t="s">
        <v>333</v>
      </c>
      <c r="G287" s="55" t="s">
        <v>333</v>
      </c>
      <c r="H287" s="55" t="s">
        <v>333</v>
      </c>
      <c r="I287" s="25">
        <v>0.9</v>
      </c>
      <c r="J287" s="26">
        <v>0.94642857142857095</v>
      </c>
      <c r="K287" s="26">
        <v>0.97368421052631604</v>
      </c>
      <c r="L287" s="27">
        <v>0.92727272727272703</v>
      </c>
      <c r="M287" s="26">
        <v>0.92663476874003203</v>
      </c>
      <c r="N287" s="28">
        <v>0.9</v>
      </c>
      <c r="O287" s="26">
        <v>0.93168880455407999</v>
      </c>
      <c r="P287" s="26">
        <v>0.84292893036611605</v>
      </c>
      <c r="Q287" s="26">
        <v>0.94243902439024396</v>
      </c>
      <c r="R287" s="26">
        <v>0.91325567207971403</v>
      </c>
      <c r="S287" s="28">
        <v>0.9</v>
      </c>
      <c r="T287" s="26">
        <v>0.92979127134724904</v>
      </c>
      <c r="U287" s="26">
        <v>0.92203876525484596</v>
      </c>
      <c r="V287" s="26">
        <v>0.91141463414634105</v>
      </c>
      <c r="W287" s="26">
        <v>0.92414955117218101</v>
      </c>
      <c r="X287" s="28">
        <v>0.92</v>
      </c>
      <c r="Y287" s="28">
        <v>0.97386759581881499</v>
      </c>
      <c r="Z287" s="28">
        <v>0.97304781244231098</v>
      </c>
      <c r="AA287" s="28">
        <v>0.97875053123671896</v>
      </c>
      <c r="AB287" s="28">
        <v>0.97280371530098897</v>
      </c>
      <c r="AC287" s="28">
        <v>0.92</v>
      </c>
      <c r="AD287" s="26">
        <v>0.99661399548532703</v>
      </c>
      <c r="AE287" s="26">
        <v>0.98076394613904905</v>
      </c>
      <c r="AF287" s="26">
        <v>0.99726512226512198</v>
      </c>
      <c r="AG287" s="26">
        <v>0.99010177052837001</v>
      </c>
      <c r="AH287" s="28">
        <v>0.92</v>
      </c>
      <c r="AI287" s="26">
        <v>0.98211177721910703</v>
      </c>
      <c r="AJ287" s="26">
        <v>0.98384752059441105</v>
      </c>
      <c r="AK287" s="26">
        <v>0.98498030203545595</v>
      </c>
      <c r="AL287" s="26">
        <v>0.98246786305205502</v>
      </c>
      <c r="AM287" s="25">
        <v>0.99</v>
      </c>
      <c r="AN287" s="30">
        <v>1</v>
      </c>
      <c r="AO287" s="30">
        <v>1</v>
      </c>
      <c r="AP287" s="30">
        <v>1</v>
      </c>
      <c r="AQ287" s="30">
        <v>1</v>
      </c>
      <c r="AR287" s="50">
        <v>9.2228725701943806E-2</v>
      </c>
      <c r="AS287" s="34">
        <v>0.11111111111111099</v>
      </c>
      <c r="AT287" s="34">
        <v>3.03030303030303E-2</v>
      </c>
      <c r="AU287" s="34">
        <v>0</v>
      </c>
      <c r="AV287" s="34">
        <v>8.9552238805970102E-2</v>
      </c>
      <c r="AW287" s="4"/>
      <c r="AX287" s="8"/>
    </row>
    <row r="288" spans="1:50" s="2" customFormat="1">
      <c r="A288" s="7"/>
      <c r="B288" s="4"/>
      <c r="C288" s="54" t="s">
        <v>284</v>
      </c>
      <c r="D288" s="23" t="s">
        <v>15</v>
      </c>
      <c r="E288" s="55" t="s">
        <v>334</v>
      </c>
      <c r="F288" s="55" t="s">
        <v>334</v>
      </c>
      <c r="G288" s="55" t="s">
        <v>334</v>
      </c>
      <c r="H288" s="55" t="s">
        <v>334</v>
      </c>
      <c r="I288" s="25">
        <v>0.9</v>
      </c>
      <c r="J288" s="26">
        <v>0.96153846153846201</v>
      </c>
      <c r="K288" s="26">
        <v>0.97391304347826102</v>
      </c>
      <c r="L288" s="27">
        <v>0.93396226415094297</v>
      </c>
      <c r="M288" s="26">
        <v>0.96905537459283397</v>
      </c>
      <c r="N288" s="28">
        <v>0.9</v>
      </c>
      <c r="O288" s="26">
        <v>0.90774318622419903</v>
      </c>
      <c r="P288" s="26">
        <v>0.84479667893197496</v>
      </c>
      <c r="Q288" s="26">
        <v>0.945690259285214</v>
      </c>
      <c r="R288" s="26">
        <v>0.87588939365652296</v>
      </c>
      <c r="S288" s="28">
        <v>0.9</v>
      </c>
      <c r="T288" s="26">
        <v>0.93625270840460695</v>
      </c>
      <c r="U288" s="26">
        <v>0.939711293518256</v>
      </c>
      <c r="V288" s="26">
        <v>0.92203924316748398</v>
      </c>
      <c r="W288" s="26">
        <v>0.94019540730599305</v>
      </c>
      <c r="X288" s="28">
        <v>0.92</v>
      </c>
      <c r="Y288" s="28">
        <v>0.96335634625597499</v>
      </c>
      <c r="Z288" s="28">
        <v>0.97428479588556705</v>
      </c>
      <c r="AA288" s="28">
        <v>0.97465712581991604</v>
      </c>
      <c r="AB288" s="28">
        <v>0.97279556066860695</v>
      </c>
      <c r="AC288" s="28">
        <v>0.92</v>
      </c>
      <c r="AD288" s="26">
        <v>0.99839021249195103</v>
      </c>
      <c r="AE288" s="26">
        <v>0.98390804597701198</v>
      </c>
      <c r="AF288" s="26">
        <v>0.99483985765124605</v>
      </c>
      <c r="AG288" s="26">
        <v>0.99068073229575704</v>
      </c>
      <c r="AH288" s="28">
        <v>0.92</v>
      </c>
      <c r="AI288" s="26">
        <v>0.97915884340968795</v>
      </c>
      <c r="AJ288" s="26">
        <v>0.98504741064916101</v>
      </c>
      <c r="AK288" s="26">
        <v>0.98124034429485796</v>
      </c>
      <c r="AL288" s="26">
        <v>0.98379107794888099</v>
      </c>
      <c r="AM288" s="25">
        <v>0.99</v>
      </c>
      <c r="AN288" s="30">
        <v>1</v>
      </c>
      <c r="AO288" s="30">
        <v>1</v>
      </c>
      <c r="AP288" s="30">
        <v>1</v>
      </c>
      <c r="AQ288" s="30">
        <v>1</v>
      </c>
      <c r="AR288" s="50">
        <v>9.2228725701943806E-2</v>
      </c>
      <c r="AS288" s="34">
        <v>5.5555555555555601E-2</v>
      </c>
      <c r="AT288" s="34">
        <v>0</v>
      </c>
      <c r="AU288" s="34">
        <v>4.5454545454545497E-2</v>
      </c>
      <c r="AV288" s="34">
        <v>4.3165467625899297E-2</v>
      </c>
      <c r="AW288" s="4"/>
      <c r="AX288" s="8"/>
    </row>
    <row r="289" spans="1:50" s="2" customFormat="1">
      <c r="A289" s="7"/>
      <c r="B289" s="4"/>
      <c r="C289" s="54" t="s">
        <v>284</v>
      </c>
      <c r="D289" s="23" t="s">
        <v>15</v>
      </c>
      <c r="E289" s="55" t="s">
        <v>335</v>
      </c>
      <c r="F289" s="55" t="s">
        <v>335</v>
      </c>
      <c r="G289" s="55" t="s">
        <v>335</v>
      </c>
      <c r="H289" s="55" t="s">
        <v>335</v>
      </c>
      <c r="I289" s="25">
        <v>0.9</v>
      </c>
      <c r="J289" s="26">
        <v>0.93203883495145601</v>
      </c>
      <c r="K289" s="26">
        <v>0.92452830188679203</v>
      </c>
      <c r="L289" s="27">
        <v>0.92857142857142905</v>
      </c>
      <c r="M289" s="26">
        <v>0.93695271453590201</v>
      </c>
      <c r="N289" s="28">
        <v>0.9</v>
      </c>
      <c r="O289" s="26">
        <v>0.90555477822862696</v>
      </c>
      <c r="P289" s="26">
        <v>0.90522875816993498</v>
      </c>
      <c r="Q289" s="26">
        <v>0.95547819714181004</v>
      </c>
      <c r="R289" s="26">
        <v>0.90404080656730701</v>
      </c>
      <c r="S289" s="28">
        <v>0.9</v>
      </c>
      <c r="T289" s="26">
        <v>0.94165384077235204</v>
      </c>
      <c r="U289" s="26">
        <v>0.92849673202614402</v>
      </c>
      <c r="V289" s="26">
        <v>0.93953829241480402</v>
      </c>
      <c r="W289" s="26">
        <v>0.93549586886639602</v>
      </c>
      <c r="X289" s="28">
        <v>0.92</v>
      </c>
      <c r="Y289" s="28">
        <v>0.97854821235102896</v>
      </c>
      <c r="Z289" s="28">
        <v>0.98550724637681197</v>
      </c>
      <c r="AA289" s="28">
        <v>0.98328189300411495</v>
      </c>
      <c r="AB289" s="28">
        <v>0.98109998109998098</v>
      </c>
      <c r="AC289" s="28">
        <v>0.92</v>
      </c>
      <c r="AD289" s="26">
        <v>0.99876756223810703</v>
      </c>
      <c r="AE289" s="26">
        <v>0.97204453920871803</v>
      </c>
      <c r="AF289" s="26">
        <v>0.99839287921869202</v>
      </c>
      <c r="AG289" s="26">
        <v>0.99250000000000005</v>
      </c>
      <c r="AH289" s="28">
        <v>0.92</v>
      </c>
      <c r="AI289" s="26">
        <v>0.98376264558361004</v>
      </c>
      <c r="AJ289" s="26">
        <v>0.99018759018758995</v>
      </c>
      <c r="AK289" s="26">
        <v>0.98813841039589001</v>
      </c>
      <c r="AL289" s="26">
        <v>0.98759276604942703</v>
      </c>
      <c r="AM289" s="25">
        <v>0.99</v>
      </c>
      <c r="AN289" s="30">
        <v>1</v>
      </c>
      <c r="AO289" s="30">
        <v>1</v>
      </c>
      <c r="AP289" s="30">
        <v>1</v>
      </c>
      <c r="AQ289" s="30">
        <v>1</v>
      </c>
      <c r="AR289" s="50">
        <v>9.2228725701943806E-2</v>
      </c>
      <c r="AS289" s="34">
        <v>4.3478260869565202E-2</v>
      </c>
      <c r="AT289" s="34">
        <v>0</v>
      </c>
      <c r="AU289" s="34">
        <v>0</v>
      </c>
      <c r="AV289" s="34">
        <v>7.6388888888888895E-2</v>
      </c>
      <c r="AW289" s="4"/>
      <c r="AX289" s="8"/>
    </row>
    <row r="290" spans="1:50" s="2" customFormat="1">
      <c r="A290" s="7"/>
      <c r="B290" s="4"/>
      <c r="C290" s="54" t="s">
        <v>284</v>
      </c>
      <c r="D290" s="23" t="s">
        <v>15</v>
      </c>
      <c r="E290" s="55" t="s">
        <v>336</v>
      </c>
      <c r="F290" s="55" t="s">
        <v>336</v>
      </c>
      <c r="G290" s="55" t="s">
        <v>336</v>
      </c>
      <c r="H290" s="55" t="s">
        <v>336</v>
      </c>
      <c r="I290" s="25">
        <v>0.9</v>
      </c>
      <c r="J290" s="26">
        <v>0</v>
      </c>
      <c r="K290" s="26">
        <v>0</v>
      </c>
      <c r="L290" s="27">
        <v>0</v>
      </c>
      <c r="M290" s="26">
        <v>0</v>
      </c>
      <c r="N290" s="28">
        <v>0.9</v>
      </c>
      <c r="O290" s="26">
        <v>0</v>
      </c>
      <c r="P290" s="26">
        <v>0</v>
      </c>
      <c r="Q290" s="26">
        <v>0</v>
      </c>
      <c r="R290" s="26">
        <v>0</v>
      </c>
      <c r="S290" s="28">
        <v>0.9</v>
      </c>
      <c r="T290" s="26">
        <v>0</v>
      </c>
      <c r="U290" s="26">
        <v>0</v>
      </c>
      <c r="V290" s="26">
        <v>0</v>
      </c>
      <c r="W290" s="26">
        <v>0</v>
      </c>
      <c r="X290" s="28">
        <v>0.92</v>
      </c>
      <c r="Y290" s="28">
        <v>0</v>
      </c>
      <c r="Z290" s="28">
        <v>0</v>
      </c>
      <c r="AA290" s="28">
        <v>0</v>
      </c>
      <c r="AB290" s="28">
        <v>0</v>
      </c>
      <c r="AC290" s="28">
        <v>0.92</v>
      </c>
      <c r="AD290" s="26">
        <v>1</v>
      </c>
      <c r="AE290" s="26">
        <v>0.97680412371133996</v>
      </c>
      <c r="AF290" s="26">
        <v>0.99005964214711695</v>
      </c>
      <c r="AG290" s="26">
        <v>0.99176776429809399</v>
      </c>
      <c r="AH290" s="28">
        <v>0.92</v>
      </c>
      <c r="AI290" s="26">
        <v>0</v>
      </c>
      <c r="AJ290" s="26">
        <v>0</v>
      </c>
      <c r="AK290" s="26">
        <v>0</v>
      </c>
      <c r="AL290" s="26">
        <v>0</v>
      </c>
      <c r="AM290" s="25">
        <v>0.99</v>
      </c>
      <c r="AN290" s="30">
        <v>1</v>
      </c>
      <c r="AO290" s="30">
        <v>0</v>
      </c>
      <c r="AP290" s="30">
        <v>1</v>
      </c>
      <c r="AQ290" s="30">
        <v>1</v>
      </c>
      <c r="AR290" s="50">
        <v>9.2228725701943806E-2</v>
      </c>
      <c r="AS290" s="34">
        <v>0</v>
      </c>
      <c r="AT290" s="34">
        <v>0</v>
      </c>
      <c r="AU290" s="34">
        <v>0</v>
      </c>
      <c r="AV290" s="34">
        <v>0</v>
      </c>
      <c r="AW290" s="4"/>
      <c r="AX290" s="8"/>
    </row>
    <row r="291" spans="1:50" s="2" customFormat="1">
      <c r="A291" s="7"/>
      <c r="B291" s="4"/>
      <c r="C291" s="54" t="s">
        <v>284</v>
      </c>
      <c r="D291" s="23" t="s">
        <v>15</v>
      </c>
      <c r="E291" s="55" t="s">
        <v>337</v>
      </c>
      <c r="F291" s="55" t="s">
        <v>337</v>
      </c>
      <c r="G291" s="55" t="s">
        <v>337</v>
      </c>
      <c r="H291" s="55" t="s">
        <v>337</v>
      </c>
      <c r="I291" s="25">
        <v>0.9</v>
      </c>
      <c r="J291" s="26">
        <v>0</v>
      </c>
      <c r="K291" s="26">
        <v>0</v>
      </c>
      <c r="L291" s="27">
        <v>0</v>
      </c>
      <c r="M291" s="26">
        <v>0</v>
      </c>
      <c r="N291" s="28">
        <v>0.9</v>
      </c>
      <c r="O291" s="26">
        <v>0.5</v>
      </c>
      <c r="P291" s="26">
        <v>1</v>
      </c>
      <c r="Q291" s="26">
        <v>0</v>
      </c>
      <c r="R291" s="26">
        <v>0.66666666666666696</v>
      </c>
      <c r="S291" s="28">
        <v>0.9</v>
      </c>
      <c r="T291" s="26">
        <v>1</v>
      </c>
      <c r="U291" s="26">
        <v>1</v>
      </c>
      <c r="V291" s="26">
        <v>0</v>
      </c>
      <c r="W291" s="26">
        <v>1</v>
      </c>
      <c r="X291" s="28">
        <v>0.92</v>
      </c>
      <c r="Y291" s="28">
        <v>0</v>
      </c>
      <c r="Z291" s="28">
        <v>0</v>
      </c>
      <c r="AA291" s="28">
        <v>0</v>
      </c>
      <c r="AB291" s="28">
        <v>0</v>
      </c>
      <c r="AC291" s="28">
        <v>0.92</v>
      </c>
      <c r="AD291" s="26">
        <v>0.99603174603174605</v>
      </c>
      <c r="AE291" s="26">
        <v>0.99941486249268596</v>
      </c>
      <c r="AF291" s="26">
        <v>0.99752387690130895</v>
      </c>
      <c r="AG291" s="26">
        <v>0.99731770315915003</v>
      </c>
      <c r="AH291" s="28">
        <v>0.92</v>
      </c>
      <c r="AI291" s="26">
        <v>1</v>
      </c>
      <c r="AJ291" s="26">
        <v>1</v>
      </c>
      <c r="AK291" s="26">
        <v>0</v>
      </c>
      <c r="AL291" s="26">
        <v>1</v>
      </c>
      <c r="AM291" s="25">
        <v>0.99</v>
      </c>
      <c r="AN291" s="30">
        <v>1</v>
      </c>
      <c r="AO291" s="30">
        <v>0</v>
      </c>
      <c r="AP291" s="30">
        <v>1</v>
      </c>
      <c r="AQ291" s="30">
        <v>1</v>
      </c>
      <c r="AR291" s="50">
        <v>9.2228725701943806E-2</v>
      </c>
      <c r="AS291" s="34">
        <v>0</v>
      </c>
      <c r="AT291" s="34">
        <v>0</v>
      </c>
      <c r="AU291" s="34">
        <v>0</v>
      </c>
      <c r="AV291" s="34">
        <v>0</v>
      </c>
      <c r="AW291" s="4"/>
      <c r="AX291" s="8"/>
    </row>
    <row r="292" spans="1:50" s="2" customFormat="1">
      <c r="A292" s="7"/>
      <c r="B292" s="4"/>
      <c r="C292" s="54" t="s">
        <v>284</v>
      </c>
      <c r="D292" s="23" t="s">
        <v>15</v>
      </c>
      <c r="E292" s="55" t="s">
        <v>338</v>
      </c>
      <c r="F292" s="55" t="s">
        <v>338</v>
      </c>
      <c r="G292" s="55" t="s">
        <v>338</v>
      </c>
      <c r="H292" s="55" t="s">
        <v>338</v>
      </c>
      <c r="I292" s="25">
        <v>0.9</v>
      </c>
      <c r="J292" s="26">
        <v>0</v>
      </c>
      <c r="K292" s="26">
        <v>0</v>
      </c>
      <c r="L292" s="27">
        <v>0</v>
      </c>
      <c r="M292" s="26">
        <v>0</v>
      </c>
      <c r="N292" s="28">
        <v>0.9</v>
      </c>
      <c r="O292" s="26">
        <v>0</v>
      </c>
      <c r="P292" s="26">
        <v>0.5</v>
      </c>
      <c r="Q292" s="26">
        <v>0</v>
      </c>
      <c r="R292" s="26">
        <v>0.13043478260869601</v>
      </c>
      <c r="S292" s="28">
        <v>0.9</v>
      </c>
      <c r="T292" s="26">
        <v>0.36363636363636398</v>
      </c>
      <c r="U292" s="26">
        <v>0.5</v>
      </c>
      <c r="V292" s="26">
        <v>0</v>
      </c>
      <c r="W292" s="26">
        <v>0.34782608695652201</v>
      </c>
      <c r="X292" s="28">
        <v>0.92</v>
      </c>
      <c r="Y292" s="28">
        <v>0</v>
      </c>
      <c r="Z292" s="28">
        <v>0</v>
      </c>
      <c r="AA292" s="28">
        <v>0</v>
      </c>
      <c r="AB292" s="28">
        <v>0</v>
      </c>
      <c r="AC292" s="28">
        <v>0.92</v>
      </c>
      <c r="AD292" s="26">
        <v>0.98790384320930902</v>
      </c>
      <c r="AE292" s="26">
        <v>0.95035460992907805</v>
      </c>
      <c r="AF292" s="26">
        <v>0.95898548306357401</v>
      </c>
      <c r="AG292" s="26">
        <v>0.90846835785334801</v>
      </c>
      <c r="AH292" s="28">
        <v>0.92</v>
      </c>
      <c r="AI292" s="26">
        <v>0.26086956521739102</v>
      </c>
      <c r="AJ292" s="26">
        <v>0.4</v>
      </c>
      <c r="AK292" s="26">
        <v>0</v>
      </c>
      <c r="AL292" s="26">
        <v>0.27500000000000002</v>
      </c>
      <c r="AM292" s="25">
        <v>0.99</v>
      </c>
      <c r="AN292" s="30">
        <v>1</v>
      </c>
      <c r="AO292" s="30">
        <v>1</v>
      </c>
      <c r="AP292" s="30">
        <v>1</v>
      </c>
      <c r="AQ292" s="30">
        <v>1</v>
      </c>
      <c r="AR292" s="50">
        <v>9.2228725701943806E-2</v>
      </c>
      <c r="AS292" s="34">
        <v>0</v>
      </c>
      <c r="AT292" s="34">
        <v>0</v>
      </c>
      <c r="AU292" s="34">
        <v>0</v>
      </c>
      <c r="AV292" s="34">
        <v>0</v>
      </c>
      <c r="AW292" s="4"/>
      <c r="AX292" s="8"/>
    </row>
    <row r="293" spans="1:50" s="2" customFormat="1">
      <c r="A293" s="7"/>
      <c r="B293" s="4"/>
      <c r="C293" s="54" t="s">
        <v>284</v>
      </c>
      <c r="D293" s="23" t="s">
        <v>15</v>
      </c>
      <c r="E293" s="55" t="s">
        <v>339</v>
      </c>
      <c r="F293" s="55" t="s">
        <v>339</v>
      </c>
      <c r="G293" s="55" t="s">
        <v>339</v>
      </c>
      <c r="H293" s="55" t="s">
        <v>339</v>
      </c>
      <c r="I293" s="25">
        <v>0.9</v>
      </c>
      <c r="J293" s="26">
        <v>0</v>
      </c>
      <c r="K293" s="26">
        <v>0</v>
      </c>
      <c r="L293" s="27">
        <v>0</v>
      </c>
      <c r="M293" s="26">
        <v>0</v>
      </c>
      <c r="N293" s="28">
        <v>0.9</v>
      </c>
      <c r="O293" s="26">
        <v>0</v>
      </c>
      <c r="P293" s="26">
        <v>0</v>
      </c>
      <c r="Q293" s="26">
        <v>0</v>
      </c>
      <c r="R293" s="26">
        <v>0</v>
      </c>
      <c r="S293" s="28">
        <v>0.9</v>
      </c>
      <c r="T293" s="26">
        <v>0</v>
      </c>
      <c r="U293" s="26">
        <v>0</v>
      </c>
      <c r="V293" s="26">
        <v>0</v>
      </c>
      <c r="W293" s="26">
        <v>1</v>
      </c>
      <c r="X293" s="28">
        <v>0.92</v>
      </c>
      <c r="Y293" s="28">
        <v>0</v>
      </c>
      <c r="Z293" s="28">
        <v>0</v>
      </c>
      <c r="AA293" s="28">
        <v>0</v>
      </c>
      <c r="AB293" s="28">
        <v>0</v>
      </c>
      <c r="AC293" s="28">
        <v>0.92</v>
      </c>
      <c r="AD293" s="26">
        <v>1</v>
      </c>
      <c r="AE293" s="26">
        <v>0.99760765550239205</v>
      </c>
      <c r="AF293" s="26">
        <v>1</v>
      </c>
      <c r="AG293" s="26">
        <v>0.99616270145817298</v>
      </c>
      <c r="AH293" s="28">
        <v>0.92</v>
      </c>
      <c r="AI293" s="26">
        <v>0</v>
      </c>
      <c r="AJ293" s="26">
        <v>0</v>
      </c>
      <c r="AK293" s="26">
        <v>0</v>
      </c>
      <c r="AL293" s="26">
        <v>1</v>
      </c>
      <c r="AM293" s="25">
        <v>0.99</v>
      </c>
      <c r="AN293" s="30">
        <v>0</v>
      </c>
      <c r="AO293" s="30">
        <v>0</v>
      </c>
      <c r="AP293" s="30">
        <v>0</v>
      </c>
      <c r="AQ293" s="30">
        <v>0</v>
      </c>
      <c r="AR293" s="50">
        <v>9.2228725701943806E-2</v>
      </c>
      <c r="AS293" s="34">
        <v>0</v>
      </c>
      <c r="AT293" s="34">
        <v>0</v>
      </c>
      <c r="AU293" s="34">
        <v>0</v>
      </c>
      <c r="AV293" s="34">
        <v>0</v>
      </c>
      <c r="AW293" s="4"/>
      <c r="AX293" s="8"/>
    </row>
    <row r="294" spans="1:50" s="2" customFormat="1">
      <c r="A294" s="7"/>
      <c r="B294" s="4"/>
      <c r="C294" s="54" t="s">
        <v>284</v>
      </c>
      <c r="D294" s="23" t="s">
        <v>15</v>
      </c>
      <c r="E294" s="55" t="s">
        <v>340</v>
      </c>
      <c r="F294" s="55" t="s">
        <v>340</v>
      </c>
      <c r="G294" s="55" t="s">
        <v>340</v>
      </c>
      <c r="H294" s="55" t="s">
        <v>340</v>
      </c>
      <c r="I294" s="25">
        <v>0.9</v>
      </c>
      <c r="J294" s="26">
        <v>0</v>
      </c>
      <c r="K294" s="26">
        <v>0</v>
      </c>
      <c r="L294" s="27">
        <v>0</v>
      </c>
      <c r="M294" s="26">
        <v>0</v>
      </c>
      <c r="N294" s="28">
        <v>0.9</v>
      </c>
      <c r="O294" s="26">
        <v>0</v>
      </c>
      <c r="P294" s="26">
        <v>0</v>
      </c>
      <c r="Q294" s="26">
        <v>0</v>
      </c>
      <c r="R294" s="26">
        <v>0</v>
      </c>
      <c r="S294" s="28">
        <v>0.9</v>
      </c>
      <c r="T294" s="26">
        <v>0</v>
      </c>
      <c r="U294" s="26">
        <v>0</v>
      </c>
      <c r="V294" s="26">
        <v>0</v>
      </c>
      <c r="W294" s="26">
        <v>0</v>
      </c>
      <c r="X294" s="28">
        <v>0.92</v>
      </c>
      <c r="Y294" s="28">
        <v>0</v>
      </c>
      <c r="Z294" s="28">
        <v>0</v>
      </c>
      <c r="AA294" s="28">
        <v>0</v>
      </c>
      <c r="AB294" s="28">
        <v>0</v>
      </c>
      <c r="AC294" s="28">
        <v>0.92</v>
      </c>
      <c r="AD294" s="26">
        <v>0.99797570850202399</v>
      </c>
      <c r="AE294" s="26">
        <v>1</v>
      </c>
      <c r="AF294" s="26">
        <v>1</v>
      </c>
      <c r="AG294" s="26">
        <v>0.95543175487465204</v>
      </c>
      <c r="AH294" s="28">
        <v>0.92</v>
      </c>
      <c r="AI294" s="26">
        <v>0</v>
      </c>
      <c r="AJ294" s="26">
        <v>0</v>
      </c>
      <c r="AK294" s="26">
        <v>0</v>
      </c>
      <c r="AL294" s="26">
        <v>0</v>
      </c>
      <c r="AM294" s="25">
        <v>0.99</v>
      </c>
      <c r="AN294" s="30">
        <v>1</v>
      </c>
      <c r="AO294" s="30">
        <v>1</v>
      </c>
      <c r="AP294" s="30">
        <v>1</v>
      </c>
      <c r="AQ294" s="30">
        <v>1</v>
      </c>
      <c r="AR294" s="50">
        <v>9.2228725701943806E-2</v>
      </c>
      <c r="AS294" s="34">
        <v>0</v>
      </c>
      <c r="AT294" s="34">
        <v>0</v>
      </c>
      <c r="AU294" s="34">
        <v>0</v>
      </c>
      <c r="AV294" s="34">
        <v>0</v>
      </c>
      <c r="AW294" s="4"/>
      <c r="AX294" s="8"/>
    </row>
    <row r="295" spans="1:50" s="2" customFormat="1">
      <c r="A295" s="7"/>
      <c r="B295" s="4"/>
      <c r="C295" s="54" t="s">
        <v>284</v>
      </c>
      <c r="D295" s="23" t="s">
        <v>15</v>
      </c>
      <c r="E295" s="55" t="s">
        <v>341</v>
      </c>
      <c r="F295" s="55" t="s">
        <v>341</v>
      </c>
      <c r="G295" s="55" t="s">
        <v>341</v>
      </c>
      <c r="H295" s="55" t="s">
        <v>341</v>
      </c>
      <c r="I295" s="25">
        <v>0.9</v>
      </c>
      <c r="J295" s="26">
        <v>0</v>
      </c>
      <c r="K295" s="26">
        <v>0</v>
      </c>
      <c r="L295" s="27">
        <v>0</v>
      </c>
      <c r="M295" s="26">
        <v>0</v>
      </c>
      <c r="N295" s="28">
        <v>0.9</v>
      </c>
      <c r="O295" s="26">
        <v>0</v>
      </c>
      <c r="P295" s="26">
        <v>0</v>
      </c>
      <c r="Q295" s="26">
        <v>0</v>
      </c>
      <c r="R295" s="26">
        <v>0</v>
      </c>
      <c r="S295" s="28">
        <v>0.9</v>
      </c>
      <c r="T295" s="26">
        <v>0</v>
      </c>
      <c r="U295" s="26">
        <v>0</v>
      </c>
      <c r="V295" s="26">
        <v>0</v>
      </c>
      <c r="W295" s="26">
        <v>0.8</v>
      </c>
      <c r="X295" s="28">
        <v>0.92</v>
      </c>
      <c r="Y295" s="28">
        <v>0</v>
      </c>
      <c r="Z295" s="28">
        <v>0</v>
      </c>
      <c r="AA295" s="28">
        <v>0</v>
      </c>
      <c r="AB295" s="28">
        <v>1</v>
      </c>
      <c r="AC295" s="28">
        <v>0.92</v>
      </c>
      <c r="AD295" s="26">
        <v>1</v>
      </c>
      <c r="AE295" s="26">
        <v>0.976818096840531</v>
      </c>
      <c r="AF295" s="26">
        <v>0.99988154465766399</v>
      </c>
      <c r="AG295" s="26">
        <v>0.98355252733322795</v>
      </c>
      <c r="AH295" s="28">
        <v>0.92</v>
      </c>
      <c r="AI295" s="26">
        <v>0</v>
      </c>
      <c r="AJ295" s="26">
        <v>0</v>
      </c>
      <c r="AK295" s="26">
        <v>0</v>
      </c>
      <c r="AL295" s="26">
        <v>0.83333333333333304</v>
      </c>
      <c r="AM295" s="25">
        <v>0.99</v>
      </c>
      <c r="AN295" s="30">
        <v>0</v>
      </c>
      <c r="AO295" s="30">
        <v>0</v>
      </c>
      <c r="AP295" s="30">
        <v>0</v>
      </c>
      <c r="AQ295" s="30">
        <v>0</v>
      </c>
      <c r="AR295" s="50">
        <v>9.2228725701943806E-2</v>
      </c>
      <c r="AS295" s="34">
        <v>0</v>
      </c>
      <c r="AT295" s="34">
        <v>0</v>
      </c>
      <c r="AU295" s="34">
        <v>0</v>
      </c>
      <c r="AV295" s="34">
        <v>0</v>
      </c>
      <c r="AW295" s="4"/>
      <c r="AX295" s="8"/>
    </row>
    <row r="296" spans="1:50" s="2" customFormat="1">
      <c r="A296" s="7"/>
      <c r="B296" s="4"/>
      <c r="C296" s="54" t="s">
        <v>284</v>
      </c>
      <c r="D296" s="23" t="s">
        <v>15</v>
      </c>
      <c r="E296" s="55" t="s">
        <v>342</v>
      </c>
      <c r="F296" s="55" t="s">
        <v>342</v>
      </c>
      <c r="G296" s="55" t="s">
        <v>342</v>
      </c>
      <c r="H296" s="55" t="s">
        <v>342</v>
      </c>
      <c r="I296" s="25">
        <v>0.9</v>
      </c>
      <c r="J296" s="26">
        <v>0.97222222222222199</v>
      </c>
      <c r="K296" s="26">
        <v>0.96581196581196604</v>
      </c>
      <c r="L296" s="27">
        <v>0.94791666666666696</v>
      </c>
      <c r="M296" s="26">
        <v>0.95673076923076905</v>
      </c>
      <c r="N296" s="28">
        <v>0.9</v>
      </c>
      <c r="O296" s="26">
        <v>0.94506172839506197</v>
      </c>
      <c r="P296" s="26">
        <v>0.71462854757929895</v>
      </c>
      <c r="Q296" s="26">
        <v>0.92355093394954701</v>
      </c>
      <c r="R296" s="26">
        <v>0.84909639237205503</v>
      </c>
      <c r="S296" s="28">
        <v>0.9</v>
      </c>
      <c r="T296" s="26">
        <v>0.84197530864197501</v>
      </c>
      <c r="U296" s="26">
        <v>0.81030884808013404</v>
      </c>
      <c r="V296" s="26">
        <v>0.87020989793953396</v>
      </c>
      <c r="W296" s="26">
        <v>0.84329153533933499</v>
      </c>
      <c r="X296" s="28">
        <v>0.92</v>
      </c>
      <c r="Y296" s="28">
        <v>0.91909196740395804</v>
      </c>
      <c r="Z296" s="28">
        <v>0.92666184971098298</v>
      </c>
      <c r="AA296" s="28">
        <v>0.94431319608504904</v>
      </c>
      <c r="AB296" s="28">
        <v>0.93297034802442802</v>
      </c>
      <c r="AC296" s="28">
        <v>0.92</v>
      </c>
      <c r="AD296" s="26">
        <v>0.99316939890710398</v>
      </c>
      <c r="AE296" s="26">
        <v>0.97727272727272696</v>
      </c>
      <c r="AF296" s="26">
        <v>1</v>
      </c>
      <c r="AG296" s="26">
        <v>0.98965952080706199</v>
      </c>
      <c r="AH296" s="28">
        <v>0.92</v>
      </c>
      <c r="AI296" s="26">
        <v>0.95854552862090003</v>
      </c>
      <c r="AJ296" s="26">
        <v>0.96502590673575095</v>
      </c>
      <c r="AK296" s="26">
        <v>0.96212771172937905</v>
      </c>
      <c r="AL296" s="26">
        <v>0.96469609525295097</v>
      </c>
      <c r="AM296" s="25">
        <v>0.99</v>
      </c>
      <c r="AN296" s="30">
        <v>1</v>
      </c>
      <c r="AO296" s="30">
        <v>1</v>
      </c>
      <c r="AP296" s="30">
        <v>1</v>
      </c>
      <c r="AQ296" s="30">
        <v>1</v>
      </c>
      <c r="AR296" s="50">
        <v>9.2228725701943806E-2</v>
      </c>
      <c r="AS296" s="34">
        <v>0</v>
      </c>
      <c r="AT296" s="34">
        <v>0</v>
      </c>
      <c r="AU296" s="34">
        <v>0</v>
      </c>
      <c r="AV296" s="34">
        <v>4.5454545454545497E-2</v>
      </c>
      <c r="AW296" s="4"/>
      <c r="AX296" s="8"/>
    </row>
    <row r="297" spans="1:50" s="2" customFormat="1">
      <c r="A297" s="7"/>
      <c r="B297" s="4"/>
      <c r="C297" s="54" t="s">
        <v>284</v>
      </c>
      <c r="D297" s="23" t="s">
        <v>15</v>
      </c>
      <c r="E297" s="56" t="s">
        <v>343</v>
      </c>
      <c r="F297" s="56" t="s">
        <v>343</v>
      </c>
      <c r="G297" s="56" t="s">
        <v>343</v>
      </c>
      <c r="H297" s="56" t="s">
        <v>343</v>
      </c>
      <c r="I297" s="25">
        <v>0.9</v>
      </c>
      <c r="J297" s="26">
        <v>0</v>
      </c>
      <c r="K297" s="26">
        <v>0</v>
      </c>
      <c r="L297" s="27">
        <v>0</v>
      </c>
      <c r="M297" s="26">
        <v>0</v>
      </c>
      <c r="N297" s="28">
        <v>0.9</v>
      </c>
      <c r="O297" s="26">
        <v>0</v>
      </c>
      <c r="P297" s="26">
        <v>0</v>
      </c>
      <c r="Q297" s="26">
        <v>0</v>
      </c>
      <c r="R297" s="26">
        <v>0</v>
      </c>
      <c r="S297" s="28">
        <v>0.9</v>
      </c>
      <c r="T297" s="26">
        <v>0</v>
      </c>
      <c r="U297" s="26">
        <v>0</v>
      </c>
      <c r="V297" s="26">
        <v>0</v>
      </c>
      <c r="W297" s="26">
        <v>0</v>
      </c>
      <c r="X297" s="28">
        <v>0.92</v>
      </c>
      <c r="Y297" s="28">
        <v>0</v>
      </c>
      <c r="Z297" s="28">
        <v>0</v>
      </c>
      <c r="AA297" s="28">
        <v>0</v>
      </c>
      <c r="AB297" s="28">
        <v>0</v>
      </c>
      <c r="AC297" s="28">
        <v>0.92</v>
      </c>
      <c r="AD297" s="26">
        <v>0</v>
      </c>
      <c r="AE297" s="26">
        <v>0</v>
      </c>
      <c r="AF297" s="26">
        <v>0</v>
      </c>
      <c r="AG297" s="26">
        <v>0</v>
      </c>
      <c r="AH297" s="28">
        <v>0.92</v>
      </c>
      <c r="AI297" s="26">
        <v>0</v>
      </c>
      <c r="AJ297" s="26">
        <v>0</v>
      </c>
      <c r="AK297" s="26">
        <v>0</v>
      </c>
      <c r="AL297" s="26">
        <v>0</v>
      </c>
      <c r="AM297" s="25">
        <v>0.99</v>
      </c>
      <c r="AN297" s="30">
        <v>0</v>
      </c>
      <c r="AO297" s="30">
        <v>0</v>
      </c>
      <c r="AP297" s="30">
        <v>0</v>
      </c>
      <c r="AQ297" s="30">
        <v>0</v>
      </c>
      <c r="AR297" s="50">
        <v>9.2228725701943806E-2</v>
      </c>
      <c r="AS297" s="34">
        <v>0</v>
      </c>
      <c r="AT297" s="34">
        <v>0</v>
      </c>
      <c r="AU297" s="34">
        <v>0</v>
      </c>
      <c r="AV297" s="34">
        <v>0</v>
      </c>
      <c r="AW297" s="4"/>
      <c r="AX297" s="8"/>
    </row>
    <row r="298" spans="1:50" s="2" customFormat="1">
      <c r="A298" s="7"/>
      <c r="B298" s="4"/>
      <c r="C298" s="54" t="s">
        <v>284</v>
      </c>
      <c r="D298" s="23" t="s">
        <v>15</v>
      </c>
      <c r="E298" s="55" t="s">
        <v>344</v>
      </c>
      <c r="F298" s="55" t="s">
        <v>344</v>
      </c>
      <c r="G298" s="55" t="s">
        <v>344</v>
      </c>
      <c r="H298" s="55" t="s">
        <v>344</v>
      </c>
      <c r="I298" s="25">
        <v>0.9</v>
      </c>
      <c r="J298" s="26">
        <v>0.96240601503759404</v>
      </c>
      <c r="K298" s="26">
        <v>0.97887323943661997</v>
      </c>
      <c r="L298" s="27">
        <v>0.94696969696969702</v>
      </c>
      <c r="M298" s="26">
        <v>0.95058517555266597</v>
      </c>
      <c r="N298" s="28">
        <v>0.9</v>
      </c>
      <c r="O298" s="26">
        <v>0.94446460980036295</v>
      </c>
      <c r="P298" s="26">
        <v>0.87787247815298297</v>
      </c>
      <c r="Q298" s="26">
        <v>0.94215125037661995</v>
      </c>
      <c r="R298" s="26">
        <v>0.90477033365784598</v>
      </c>
      <c r="S298" s="28">
        <v>0.9</v>
      </c>
      <c r="T298" s="26">
        <v>0.91736237144585597</v>
      </c>
      <c r="U298" s="26">
        <v>0.90516776351278405</v>
      </c>
      <c r="V298" s="26">
        <v>0.90870744200060305</v>
      </c>
      <c r="W298" s="26">
        <v>0.90786795291618705</v>
      </c>
      <c r="X298" s="28">
        <v>0.92</v>
      </c>
      <c r="Y298" s="28">
        <v>0.96877938687229603</v>
      </c>
      <c r="Z298" s="28">
        <v>0.99154214829433296</v>
      </c>
      <c r="AA298" s="28">
        <v>0.97434805747738196</v>
      </c>
      <c r="AB298" s="28">
        <v>0.97511738334615505</v>
      </c>
      <c r="AC298" s="28">
        <v>0.92</v>
      </c>
      <c r="AD298" s="26">
        <v>0.99172540606803505</v>
      </c>
      <c r="AE298" s="26">
        <v>0.98805505063619803</v>
      </c>
      <c r="AF298" s="26">
        <v>0.93421307975936396</v>
      </c>
      <c r="AG298" s="26">
        <v>0.94451975213013195</v>
      </c>
      <c r="AH298" s="28">
        <v>0.92</v>
      </c>
      <c r="AI298" s="26">
        <v>0.98034162862612295</v>
      </c>
      <c r="AJ298" s="26">
        <v>0.99352236616964096</v>
      </c>
      <c r="AK298" s="26">
        <v>0.981917944880908</v>
      </c>
      <c r="AL298" s="26">
        <v>0.98370541906381503</v>
      </c>
      <c r="AM298" s="25">
        <v>0.99</v>
      </c>
      <c r="AN298" s="30">
        <v>1</v>
      </c>
      <c r="AO298" s="30">
        <v>1</v>
      </c>
      <c r="AP298" s="30">
        <v>1</v>
      </c>
      <c r="AQ298" s="30">
        <v>1</v>
      </c>
      <c r="AR298" s="50">
        <v>9.2228725701943806E-2</v>
      </c>
      <c r="AS298" s="34">
        <v>1.03092783505155E-2</v>
      </c>
      <c r="AT298" s="34">
        <v>8.8235294117647106E-2</v>
      </c>
      <c r="AU298" s="34">
        <v>7.4074074074074098E-2</v>
      </c>
      <c r="AV298" s="34">
        <v>2.8225806451612899E-2</v>
      </c>
      <c r="AW298" s="4"/>
      <c r="AX298" s="8"/>
    </row>
    <row r="299" spans="1:50" s="2" customFormat="1">
      <c r="A299" s="7"/>
      <c r="B299" s="4"/>
      <c r="C299" s="54" t="s">
        <v>284</v>
      </c>
      <c r="D299" s="23" t="s">
        <v>15</v>
      </c>
      <c r="E299" s="55" t="s">
        <v>345</v>
      </c>
      <c r="F299" s="55" t="s">
        <v>345</v>
      </c>
      <c r="G299" s="55" t="s">
        <v>345</v>
      </c>
      <c r="H299" s="55" t="s">
        <v>345</v>
      </c>
      <c r="I299" s="25">
        <v>0.9</v>
      </c>
      <c r="J299" s="26">
        <v>0.98529411764705899</v>
      </c>
      <c r="K299" s="26">
        <v>0.935960591133005</v>
      </c>
      <c r="L299" s="27">
        <v>0.97837837837837804</v>
      </c>
      <c r="M299" s="26">
        <v>0.96633303002729798</v>
      </c>
      <c r="N299" s="28">
        <v>0.9</v>
      </c>
      <c r="O299" s="26">
        <v>0.93638031984619396</v>
      </c>
      <c r="P299" s="26">
        <v>0.91856652092442204</v>
      </c>
      <c r="Q299" s="26">
        <v>0.93915401301518397</v>
      </c>
      <c r="R299" s="26">
        <v>0.91422674474416799</v>
      </c>
      <c r="S299" s="28">
        <v>0.9</v>
      </c>
      <c r="T299" s="26">
        <v>0.91680503364502297</v>
      </c>
      <c r="U299" s="26">
        <v>0.91895690193628998</v>
      </c>
      <c r="V299" s="26">
        <v>0.91409978308025996</v>
      </c>
      <c r="W299" s="26">
        <v>0.91481872580077395</v>
      </c>
      <c r="X299" s="28">
        <v>0.92</v>
      </c>
      <c r="Y299" s="28">
        <v>0.95963524205444595</v>
      </c>
      <c r="Z299" s="28">
        <v>0.98533782445016804</v>
      </c>
      <c r="AA299" s="28">
        <v>0.97937899976297704</v>
      </c>
      <c r="AB299" s="28">
        <v>0.97730163012062099</v>
      </c>
      <c r="AC299" s="28">
        <v>0.92</v>
      </c>
      <c r="AD299" s="26">
        <v>0.99548347361938005</v>
      </c>
      <c r="AE299" s="26">
        <v>0.97995217951075997</v>
      </c>
      <c r="AF299" s="26">
        <v>0.972517259691981</v>
      </c>
      <c r="AG299" s="26">
        <v>0.98740679370339701</v>
      </c>
      <c r="AH299" s="28">
        <v>0.92</v>
      </c>
      <c r="AI299" s="26">
        <v>0.97455430354970096</v>
      </c>
      <c r="AJ299" s="26">
        <v>0.98978388998035405</v>
      </c>
      <c r="AK299" s="26">
        <v>0.98492048985560199</v>
      </c>
      <c r="AL299" s="26">
        <v>0.98452193672434896</v>
      </c>
      <c r="AM299" s="25">
        <v>0.99</v>
      </c>
      <c r="AN299" s="30">
        <v>1</v>
      </c>
      <c r="AO299" s="30">
        <v>1</v>
      </c>
      <c r="AP299" s="30">
        <v>1</v>
      </c>
      <c r="AQ299" s="30">
        <v>1</v>
      </c>
      <c r="AR299" s="50">
        <v>9.2228725701943806E-2</v>
      </c>
      <c r="AS299" s="34">
        <v>3.8759689922480599E-2</v>
      </c>
      <c r="AT299" s="34">
        <v>0.10309278350515499</v>
      </c>
      <c r="AU299" s="34">
        <v>8.0645161290322606E-2</v>
      </c>
      <c r="AV299" s="34">
        <v>9.5634095634095598E-2</v>
      </c>
      <c r="AW299" s="4"/>
      <c r="AX299" s="8"/>
    </row>
    <row r="300" spans="1:50" s="2" customFormat="1">
      <c r="A300" s="7"/>
      <c r="B300" s="4"/>
      <c r="C300" s="54" t="s">
        <v>284</v>
      </c>
      <c r="D300" s="23" t="s">
        <v>15</v>
      </c>
      <c r="E300" s="55" t="s">
        <v>346</v>
      </c>
      <c r="F300" s="55" t="s">
        <v>346</v>
      </c>
      <c r="G300" s="55" t="s">
        <v>346</v>
      </c>
      <c r="H300" s="55" t="s">
        <v>346</v>
      </c>
      <c r="I300" s="25">
        <v>0.9</v>
      </c>
      <c r="J300" s="26">
        <v>0</v>
      </c>
      <c r="K300" s="26">
        <v>0</v>
      </c>
      <c r="L300" s="27">
        <v>0</v>
      </c>
      <c r="M300" s="26">
        <v>0</v>
      </c>
      <c r="N300" s="28">
        <v>0.9</v>
      </c>
      <c r="O300" s="26">
        <v>0</v>
      </c>
      <c r="P300" s="26">
        <v>0</v>
      </c>
      <c r="Q300" s="26">
        <v>0</v>
      </c>
      <c r="R300" s="26">
        <v>0</v>
      </c>
      <c r="S300" s="28">
        <v>0.9</v>
      </c>
      <c r="T300" s="26">
        <v>0</v>
      </c>
      <c r="U300" s="26">
        <v>0</v>
      </c>
      <c r="V300" s="26">
        <v>0</v>
      </c>
      <c r="W300" s="26">
        <v>0</v>
      </c>
      <c r="X300" s="28">
        <v>0.92</v>
      </c>
      <c r="Y300" s="28">
        <v>0</v>
      </c>
      <c r="Z300" s="28">
        <v>0</v>
      </c>
      <c r="AA300" s="28">
        <v>0</v>
      </c>
      <c r="AB300" s="28">
        <v>0</v>
      </c>
      <c r="AC300" s="28">
        <v>0.92</v>
      </c>
      <c r="AD300" s="26">
        <v>0.95647668393782403</v>
      </c>
      <c r="AE300" s="26">
        <v>0.98410896708286</v>
      </c>
      <c r="AF300" s="26">
        <v>0.96660482374768097</v>
      </c>
      <c r="AG300" s="26">
        <v>0.975198963538775</v>
      </c>
      <c r="AH300" s="28">
        <v>0.92</v>
      </c>
      <c r="AI300" s="26">
        <v>0</v>
      </c>
      <c r="AJ300" s="26">
        <v>0</v>
      </c>
      <c r="AK300" s="26">
        <v>0</v>
      </c>
      <c r="AL300" s="26">
        <v>0</v>
      </c>
      <c r="AM300" s="25">
        <v>0.99</v>
      </c>
      <c r="AN300" s="30">
        <v>1</v>
      </c>
      <c r="AO300" s="30">
        <v>0</v>
      </c>
      <c r="AP300" s="30">
        <v>0</v>
      </c>
      <c r="AQ300" s="30">
        <v>1</v>
      </c>
      <c r="AR300" s="50">
        <v>9.2228725701943806E-2</v>
      </c>
      <c r="AS300" s="34">
        <v>0</v>
      </c>
      <c r="AT300" s="34">
        <v>0</v>
      </c>
      <c r="AU300" s="34">
        <v>0</v>
      </c>
      <c r="AV300" s="34">
        <v>0</v>
      </c>
      <c r="AW300" s="4"/>
      <c r="AX300" s="8"/>
    </row>
    <row r="301" spans="1:50" s="2" customFormat="1">
      <c r="A301" s="7"/>
      <c r="B301" s="4"/>
      <c r="C301" s="54" t="s">
        <v>284</v>
      </c>
      <c r="D301" s="23" t="s">
        <v>15</v>
      </c>
      <c r="E301" s="55" t="s">
        <v>347</v>
      </c>
      <c r="F301" s="55" t="s">
        <v>347</v>
      </c>
      <c r="G301" s="55" t="s">
        <v>347</v>
      </c>
      <c r="H301" s="55" t="s">
        <v>347</v>
      </c>
      <c r="I301" s="25">
        <v>0.9</v>
      </c>
      <c r="J301" s="26">
        <v>0</v>
      </c>
      <c r="K301" s="26">
        <v>0</v>
      </c>
      <c r="L301" s="27">
        <v>0</v>
      </c>
      <c r="M301" s="26">
        <v>0</v>
      </c>
      <c r="N301" s="28">
        <v>0.9</v>
      </c>
      <c r="O301" s="26">
        <v>0</v>
      </c>
      <c r="P301" s="26">
        <v>0</v>
      </c>
      <c r="Q301" s="26">
        <v>0</v>
      </c>
      <c r="R301" s="26">
        <v>0</v>
      </c>
      <c r="S301" s="28">
        <v>0.9</v>
      </c>
      <c r="T301" s="26">
        <v>0</v>
      </c>
      <c r="U301" s="26">
        <v>0</v>
      </c>
      <c r="V301" s="26">
        <v>0</v>
      </c>
      <c r="W301" s="26">
        <v>0</v>
      </c>
      <c r="X301" s="28">
        <v>0.92</v>
      </c>
      <c r="Y301" s="28">
        <v>0</v>
      </c>
      <c r="Z301" s="28">
        <v>0</v>
      </c>
      <c r="AA301" s="28">
        <v>0</v>
      </c>
      <c r="AB301" s="28">
        <v>0</v>
      </c>
      <c r="AC301" s="28">
        <v>0.92</v>
      </c>
      <c r="AD301" s="26">
        <v>0.99193548387096797</v>
      </c>
      <c r="AE301" s="26">
        <v>1</v>
      </c>
      <c r="AF301" s="26">
        <v>0.99573560767590596</v>
      </c>
      <c r="AG301" s="26">
        <v>0.99364613880742902</v>
      </c>
      <c r="AH301" s="28">
        <v>0.92</v>
      </c>
      <c r="AI301" s="26">
        <v>0</v>
      </c>
      <c r="AJ301" s="26">
        <v>0</v>
      </c>
      <c r="AK301" s="26">
        <v>0</v>
      </c>
      <c r="AL301" s="26">
        <v>0</v>
      </c>
      <c r="AM301" s="25">
        <v>0.99</v>
      </c>
      <c r="AN301" s="30">
        <v>1</v>
      </c>
      <c r="AO301" s="30">
        <v>0</v>
      </c>
      <c r="AP301" s="30">
        <v>0</v>
      </c>
      <c r="AQ301" s="30">
        <v>1</v>
      </c>
      <c r="AR301" s="50">
        <v>9.2228725701943806E-2</v>
      </c>
      <c r="AS301" s="34">
        <v>0</v>
      </c>
      <c r="AT301" s="34">
        <v>0</v>
      </c>
      <c r="AU301" s="34">
        <v>0</v>
      </c>
      <c r="AV301" s="34">
        <v>0</v>
      </c>
      <c r="AW301" s="4"/>
      <c r="AX301" s="8"/>
    </row>
    <row r="302" spans="1:50" s="2" customFormat="1">
      <c r="A302" s="7"/>
      <c r="B302" s="4"/>
      <c r="C302" s="54" t="s">
        <v>284</v>
      </c>
      <c r="D302" s="23" t="s">
        <v>15</v>
      </c>
      <c r="E302" s="55" t="s">
        <v>348</v>
      </c>
      <c r="F302" s="55" t="s">
        <v>348</v>
      </c>
      <c r="G302" s="55" t="s">
        <v>348</v>
      </c>
      <c r="H302" s="55" t="s">
        <v>348</v>
      </c>
      <c r="I302" s="25">
        <v>0.9</v>
      </c>
      <c r="J302" s="26">
        <v>0</v>
      </c>
      <c r="K302" s="26">
        <v>0</v>
      </c>
      <c r="L302" s="27">
        <v>0</v>
      </c>
      <c r="M302" s="26">
        <v>0</v>
      </c>
      <c r="N302" s="28">
        <v>0.9</v>
      </c>
      <c r="O302" s="26">
        <v>0</v>
      </c>
      <c r="P302" s="26">
        <v>0.95555555555555605</v>
      </c>
      <c r="Q302" s="26">
        <v>0.90476190476190499</v>
      </c>
      <c r="R302" s="26">
        <v>0.95652173913043503</v>
      </c>
      <c r="S302" s="28">
        <v>0.9</v>
      </c>
      <c r="T302" s="26">
        <v>0</v>
      </c>
      <c r="U302" s="26">
        <v>0.95555555555555605</v>
      </c>
      <c r="V302" s="26">
        <v>0.952380952380952</v>
      </c>
      <c r="W302" s="26">
        <v>0.97101449275362295</v>
      </c>
      <c r="X302" s="28">
        <v>0.92</v>
      </c>
      <c r="Y302" s="28">
        <v>0</v>
      </c>
      <c r="Z302" s="28">
        <v>1</v>
      </c>
      <c r="AA302" s="28">
        <v>0.94117647058823495</v>
      </c>
      <c r="AB302" s="28">
        <v>0.95652173913043503</v>
      </c>
      <c r="AC302" s="28">
        <v>0.92</v>
      </c>
      <c r="AD302" s="26">
        <v>0.99798792756539201</v>
      </c>
      <c r="AE302" s="26">
        <v>0.99698216735253797</v>
      </c>
      <c r="AF302" s="26">
        <v>0.99650837988826801</v>
      </c>
      <c r="AG302" s="26">
        <v>0.99673419683383102</v>
      </c>
      <c r="AH302" s="28">
        <v>0.92</v>
      </c>
      <c r="AI302" s="26">
        <v>0</v>
      </c>
      <c r="AJ302" s="26">
        <v>0.96721311475409799</v>
      </c>
      <c r="AK302" s="26">
        <v>0.94736842105263197</v>
      </c>
      <c r="AL302" s="26">
        <v>0.96846846846846801</v>
      </c>
      <c r="AM302" s="25">
        <v>0.99</v>
      </c>
      <c r="AN302" s="30">
        <v>0</v>
      </c>
      <c r="AO302" s="30">
        <v>1</v>
      </c>
      <c r="AP302" s="30">
        <v>1</v>
      </c>
      <c r="AQ302" s="30">
        <v>1</v>
      </c>
      <c r="AR302" s="50">
        <v>9.2228725701943806E-2</v>
      </c>
      <c r="AS302" s="34">
        <v>0</v>
      </c>
      <c r="AT302" s="34">
        <v>0</v>
      </c>
      <c r="AU302" s="34">
        <v>0</v>
      </c>
      <c r="AV302" s="34">
        <v>0</v>
      </c>
      <c r="AW302" s="4"/>
      <c r="AX302" s="8"/>
    </row>
    <row r="303" spans="1:50" s="2" customFormat="1">
      <c r="A303" s="7"/>
      <c r="B303" s="4"/>
      <c r="C303" s="54" t="s">
        <v>284</v>
      </c>
      <c r="D303" s="23" t="s">
        <v>15</v>
      </c>
      <c r="E303" s="55" t="s">
        <v>349</v>
      </c>
      <c r="F303" s="55" t="s">
        <v>349</v>
      </c>
      <c r="G303" s="55" t="s">
        <v>349</v>
      </c>
      <c r="H303" s="55" t="s">
        <v>349</v>
      </c>
      <c r="I303" s="25">
        <v>0.9</v>
      </c>
      <c r="J303" s="26">
        <v>0</v>
      </c>
      <c r="K303" s="26">
        <v>0</v>
      </c>
      <c r="L303" s="27">
        <v>0</v>
      </c>
      <c r="M303" s="26">
        <v>0</v>
      </c>
      <c r="N303" s="28">
        <v>0.9</v>
      </c>
      <c r="O303" s="26">
        <v>0</v>
      </c>
      <c r="P303" s="26">
        <v>0</v>
      </c>
      <c r="Q303" s="26">
        <v>0</v>
      </c>
      <c r="R303" s="26">
        <v>1</v>
      </c>
      <c r="S303" s="28">
        <v>0.9</v>
      </c>
      <c r="T303" s="26">
        <v>0</v>
      </c>
      <c r="U303" s="26">
        <v>0</v>
      </c>
      <c r="V303" s="26">
        <v>0</v>
      </c>
      <c r="W303" s="26">
        <v>0</v>
      </c>
      <c r="X303" s="28">
        <v>0.92</v>
      </c>
      <c r="Y303" s="28">
        <v>0</v>
      </c>
      <c r="Z303" s="28">
        <v>0</v>
      </c>
      <c r="AA303" s="28">
        <v>0</v>
      </c>
      <c r="AB303" s="28">
        <v>0</v>
      </c>
      <c r="AC303" s="28">
        <v>0.92</v>
      </c>
      <c r="AD303" s="26">
        <v>0.99980765531833005</v>
      </c>
      <c r="AE303" s="26">
        <v>0.99952107279693503</v>
      </c>
      <c r="AF303" s="26">
        <v>0.99934853420195402</v>
      </c>
      <c r="AG303" s="26">
        <v>0.98864012633402099</v>
      </c>
      <c r="AH303" s="28">
        <v>0.92</v>
      </c>
      <c r="AI303" s="26">
        <v>0</v>
      </c>
      <c r="AJ303" s="26">
        <v>0</v>
      </c>
      <c r="AK303" s="26">
        <v>0</v>
      </c>
      <c r="AL303" s="26">
        <v>0</v>
      </c>
      <c r="AM303" s="25">
        <v>0.99</v>
      </c>
      <c r="AN303" s="30">
        <v>1</v>
      </c>
      <c r="AO303" s="30">
        <v>1</v>
      </c>
      <c r="AP303" s="30">
        <v>0</v>
      </c>
      <c r="AQ303" s="30">
        <v>1</v>
      </c>
      <c r="AR303" s="50">
        <v>9.2228725701943806E-2</v>
      </c>
      <c r="AS303" s="34">
        <v>0</v>
      </c>
      <c r="AT303" s="34">
        <v>0</v>
      </c>
      <c r="AU303" s="34">
        <v>0</v>
      </c>
      <c r="AV303" s="34">
        <v>0</v>
      </c>
      <c r="AW303" s="4"/>
      <c r="AX303" s="8"/>
    </row>
    <row r="304" spans="1:50" s="2" customFormat="1">
      <c r="A304" s="7"/>
      <c r="B304" s="4"/>
      <c r="C304" s="54" t="s">
        <v>284</v>
      </c>
      <c r="D304" s="23" t="s">
        <v>15</v>
      </c>
      <c r="E304" s="55" t="s">
        <v>350</v>
      </c>
      <c r="F304" s="55" t="s">
        <v>350</v>
      </c>
      <c r="G304" s="55" t="s">
        <v>350</v>
      </c>
      <c r="H304" s="55" t="s">
        <v>350</v>
      </c>
      <c r="I304" s="25">
        <v>0.9</v>
      </c>
      <c r="J304" s="26">
        <v>0</v>
      </c>
      <c r="K304" s="26">
        <v>0</v>
      </c>
      <c r="L304" s="27">
        <v>0</v>
      </c>
      <c r="M304" s="26">
        <v>0</v>
      </c>
      <c r="N304" s="28">
        <v>0.9</v>
      </c>
      <c r="O304" s="26">
        <v>0</v>
      </c>
      <c r="P304" s="26">
        <v>0</v>
      </c>
      <c r="Q304" s="26">
        <v>0</v>
      </c>
      <c r="R304" s="26">
        <v>3.7037037037037E-2</v>
      </c>
      <c r="S304" s="28">
        <v>0.9</v>
      </c>
      <c r="T304" s="26">
        <v>0.66666666666666696</v>
      </c>
      <c r="U304" s="26">
        <v>0.33333333333333298</v>
      </c>
      <c r="V304" s="26">
        <v>0.5</v>
      </c>
      <c r="W304" s="26">
        <v>0.62962962962962998</v>
      </c>
      <c r="X304" s="28">
        <v>0.92</v>
      </c>
      <c r="Y304" s="28">
        <v>0.107142857142857</v>
      </c>
      <c r="Z304" s="28">
        <v>0</v>
      </c>
      <c r="AA304" s="28">
        <v>0</v>
      </c>
      <c r="AB304" s="28">
        <v>0.10344827586206901</v>
      </c>
      <c r="AC304" s="28">
        <v>0.92</v>
      </c>
      <c r="AD304" s="26">
        <v>0.98761958356781099</v>
      </c>
      <c r="AE304" s="26">
        <v>0.99205663961319301</v>
      </c>
      <c r="AF304" s="26">
        <v>0.993281545244594</v>
      </c>
      <c r="AG304" s="26">
        <v>0.982387256001795</v>
      </c>
      <c r="AH304" s="28">
        <v>0.92</v>
      </c>
      <c r="AI304" s="26">
        <v>0.30232558139534899</v>
      </c>
      <c r="AJ304" s="26">
        <v>0.25</v>
      </c>
      <c r="AK304" s="26">
        <v>0.5</v>
      </c>
      <c r="AL304" s="26">
        <v>0.30496453900709197</v>
      </c>
      <c r="AM304" s="25">
        <v>0.99</v>
      </c>
      <c r="AN304" s="30">
        <v>1</v>
      </c>
      <c r="AO304" s="30">
        <v>1</v>
      </c>
      <c r="AP304" s="30">
        <v>1</v>
      </c>
      <c r="AQ304" s="30">
        <v>1</v>
      </c>
      <c r="AR304" s="50">
        <v>9.2228725701943806E-2</v>
      </c>
      <c r="AS304" s="34">
        <v>0</v>
      </c>
      <c r="AT304" s="34">
        <v>0</v>
      </c>
      <c r="AU304" s="34">
        <v>0</v>
      </c>
      <c r="AV304" s="34">
        <v>0</v>
      </c>
      <c r="AW304" s="4"/>
      <c r="AX304" s="8"/>
    </row>
    <row r="305" spans="1:50" s="2" customFormat="1">
      <c r="A305" s="7"/>
      <c r="B305" s="4"/>
      <c r="C305" s="54" t="s">
        <v>284</v>
      </c>
      <c r="D305" s="23" t="s">
        <v>15</v>
      </c>
      <c r="E305" s="55" t="s">
        <v>351</v>
      </c>
      <c r="F305" s="55" t="s">
        <v>351</v>
      </c>
      <c r="G305" s="55" t="s">
        <v>351</v>
      </c>
      <c r="H305" s="55" t="s">
        <v>351</v>
      </c>
      <c r="I305" s="25">
        <v>0.9</v>
      </c>
      <c r="J305" s="26">
        <v>0</v>
      </c>
      <c r="K305" s="26">
        <v>0</v>
      </c>
      <c r="L305" s="27">
        <v>0</v>
      </c>
      <c r="M305" s="26">
        <v>0</v>
      </c>
      <c r="N305" s="28">
        <v>0.9</v>
      </c>
      <c r="O305" s="26">
        <v>0</v>
      </c>
      <c r="P305" s="26">
        <v>0</v>
      </c>
      <c r="Q305" s="26">
        <v>0</v>
      </c>
      <c r="R305" s="26">
        <v>0</v>
      </c>
      <c r="S305" s="28">
        <v>0.9</v>
      </c>
      <c r="T305" s="26">
        <v>0</v>
      </c>
      <c r="U305" s="26">
        <v>0</v>
      </c>
      <c r="V305" s="26">
        <v>0</v>
      </c>
      <c r="W305" s="26">
        <v>0</v>
      </c>
      <c r="X305" s="28">
        <v>0.92</v>
      </c>
      <c r="Y305" s="28">
        <v>0</v>
      </c>
      <c r="Z305" s="28">
        <v>0</v>
      </c>
      <c r="AA305" s="28">
        <v>0</v>
      </c>
      <c r="AB305" s="28">
        <v>0</v>
      </c>
      <c r="AC305" s="28">
        <v>0.92</v>
      </c>
      <c r="AD305" s="26">
        <v>0.99984433374844295</v>
      </c>
      <c r="AE305" s="26">
        <v>0.99919104759336697</v>
      </c>
      <c r="AF305" s="26">
        <v>0.99915006138445595</v>
      </c>
      <c r="AG305" s="26">
        <v>0.99648058533422901</v>
      </c>
      <c r="AH305" s="28">
        <v>0.92</v>
      </c>
      <c r="AI305" s="26">
        <v>0</v>
      </c>
      <c r="AJ305" s="26">
        <v>0</v>
      </c>
      <c r="AK305" s="26">
        <v>0</v>
      </c>
      <c r="AL305" s="26">
        <v>0</v>
      </c>
      <c r="AM305" s="25">
        <v>0.99</v>
      </c>
      <c r="AN305" s="30">
        <v>1</v>
      </c>
      <c r="AO305" s="30">
        <v>0</v>
      </c>
      <c r="AP305" s="30">
        <v>1</v>
      </c>
      <c r="AQ305" s="30">
        <v>1</v>
      </c>
      <c r="AR305" s="50">
        <v>9.2228725701943806E-2</v>
      </c>
      <c r="AS305" s="34">
        <v>0</v>
      </c>
      <c r="AT305" s="34">
        <v>0</v>
      </c>
      <c r="AU305" s="34">
        <v>0</v>
      </c>
      <c r="AV305" s="34">
        <v>0</v>
      </c>
      <c r="AW305" s="4"/>
      <c r="AX305" s="8"/>
    </row>
    <row r="306" spans="1:50" s="2" customFormat="1">
      <c r="A306" s="7"/>
      <c r="B306" s="4"/>
      <c r="C306" s="54" t="s">
        <v>284</v>
      </c>
      <c r="D306" s="23" t="s">
        <v>15</v>
      </c>
      <c r="E306" s="55" t="s">
        <v>352</v>
      </c>
      <c r="F306" s="55" t="s">
        <v>352</v>
      </c>
      <c r="G306" s="55" t="s">
        <v>352</v>
      </c>
      <c r="H306" s="55" t="s">
        <v>352</v>
      </c>
      <c r="I306" s="25">
        <v>0.9</v>
      </c>
      <c r="J306" s="26">
        <v>0</v>
      </c>
      <c r="K306" s="26">
        <v>0</v>
      </c>
      <c r="L306" s="27">
        <v>0</v>
      </c>
      <c r="M306" s="26">
        <v>0</v>
      </c>
      <c r="N306" s="28">
        <v>0.9</v>
      </c>
      <c r="O306" s="26">
        <v>0</v>
      </c>
      <c r="P306" s="26">
        <v>0</v>
      </c>
      <c r="Q306" s="26">
        <v>0</v>
      </c>
      <c r="R306" s="26">
        <v>0</v>
      </c>
      <c r="S306" s="28">
        <v>0.9</v>
      </c>
      <c r="T306" s="26">
        <v>0</v>
      </c>
      <c r="U306" s="26">
        <v>0</v>
      </c>
      <c r="V306" s="26">
        <v>0</v>
      </c>
      <c r="W306" s="26">
        <v>0</v>
      </c>
      <c r="X306" s="28">
        <v>0.92</v>
      </c>
      <c r="Y306" s="28">
        <v>0</v>
      </c>
      <c r="Z306" s="28">
        <v>0</v>
      </c>
      <c r="AA306" s="28">
        <v>0</v>
      </c>
      <c r="AB306" s="28">
        <v>0</v>
      </c>
      <c r="AC306" s="28">
        <v>0.92</v>
      </c>
      <c r="AD306" s="26">
        <v>0.94435612082670894</v>
      </c>
      <c r="AE306" s="26">
        <v>0.92868462757527703</v>
      </c>
      <c r="AF306" s="26">
        <v>0.88014527845036294</v>
      </c>
      <c r="AG306" s="26">
        <v>0.92871638762049702</v>
      </c>
      <c r="AH306" s="28">
        <v>0.92</v>
      </c>
      <c r="AI306" s="26">
        <v>0</v>
      </c>
      <c r="AJ306" s="26">
        <v>0</v>
      </c>
      <c r="AK306" s="26">
        <v>0</v>
      </c>
      <c r="AL306" s="26">
        <v>0</v>
      </c>
      <c r="AM306" s="25">
        <v>0.99</v>
      </c>
      <c r="AN306" s="30">
        <v>1</v>
      </c>
      <c r="AO306" s="30">
        <v>1</v>
      </c>
      <c r="AP306" s="30">
        <v>0</v>
      </c>
      <c r="AQ306" s="30">
        <v>1</v>
      </c>
      <c r="AR306" s="50">
        <v>9.2228725701943806E-2</v>
      </c>
      <c r="AS306" s="34">
        <v>0</v>
      </c>
      <c r="AT306" s="34">
        <v>0</v>
      </c>
      <c r="AU306" s="34">
        <v>0</v>
      </c>
      <c r="AV306" s="34">
        <v>0</v>
      </c>
      <c r="AW306" s="4"/>
      <c r="AX306" s="8"/>
    </row>
    <row r="307" spans="1:50" s="2" customFormat="1">
      <c r="A307" s="7"/>
      <c r="B307" s="4"/>
      <c r="C307" s="54" t="s">
        <v>284</v>
      </c>
      <c r="D307" s="23" t="s">
        <v>15</v>
      </c>
      <c r="E307" s="55" t="s">
        <v>353</v>
      </c>
      <c r="F307" s="55" t="s">
        <v>353</v>
      </c>
      <c r="G307" s="55" t="s">
        <v>353</v>
      </c>
      <c r="H307" s="55" t="s">
        <v>353</v>
      </c>
      <c r="I307" s="25">
        <v>0.9</v>
      </c>
      <c r="J307" s="26">
        <v>0.98245614035087703</v>
      </c>
      <c r="K307" s="26">
        <v>0.98305084745762705</v>
      </c>
      <c r="L307" s="27">
        <v>0.99115044247787598</v>
      </c>
      <c r="M307" s="26">
        <v>0.989180834621329</v>
      </c>
      <c r="N307" s="28">
        <v>0.9</v>
      </c>
      <c r="O307" s="26">
        <v>0.95724962630792199</v>
      </c>
      <c r="P307" s="26">
        <v>0.93325450006569399</v>
      </c>
      <c r="Q307" s="26">
        <v>0.97040470672134105</v>
      </c>
      <c r="R307" s="26">
        <v>0.95179426480873697</v>
      </c>
      <c r="S307" s="28">
        <v>0.9</v>
      </c>
      <c r="T307" s="26">
        <v>0.94484304932735397</v>
      </c>
      <c r="U307" s="26">
        <v>0.92734200499277397</v>
      </c>
      <c r="V307" s="26">
        <v>0.94651453021929</v>
      </c>
      <c r="W307" s="26">
        <v>0.93732178404261002</v>
      </c>
      <c r="X307" s="28">
        <v>0.92</v>
      </c>
      <c r="Y307" s="28">
        <v>0.98689751988769303</v>
      </c>
      <c r="Z307" s="28">
        <v>0.99086437104708402</v>
      </c>
      <c r="AA307" s="28">
        <v>0.98827713382507898</v>
      </c>
      <c r="AB307" s="28">
        <v>0.98410423452768703</v>
      </c>
      <c r="AC307" s="28">
        <v>0.92</v>
      </c>
      <c r="AD307" s="26">
        <v>0.99931444241316303</v>
      </c>
      <c r="AE307" s="26">
        <v>0.99583007557988001</v>
      </c>
      <c r="AF307" s="26">
        <v>0.99844170562402601</v>
      </c>
      <c r="AG307" s="26">
        <v>0.99257396565950295</v>
      </c>
      <c r="AH307" s="28">
        <v>0.92</v>
      </c>
      <c r="AI307" s="26">
        <v>0.98724257335520305</v>
      </c>
      <c r="AJ307" s="26">
        <v>0.99300909569270102</v>
      </c>
      <c r="AK307" s="26">
        <v>0.99151772190245402</v>
      </c>
      <c r="AL307" s="26">
        <v>0.98914500331394095</v>
      </c>
      <c r="AM307" s="25">
        <v>0.99</v>
      </c>
      <c r="AN307" s="30">
        <v>1</v>
      </c>
      <c r="AO307" s="30">
        <v>1</v>
      </c>
      <c r="AP307" s="30">
        <v>1</v>
      </c>
      <c r="AQ307" s="30">
        <v>1</v>
      </c>
      <c r="AR307" s="50">
        <v>9.2228725701943806E-2</v>
      </c>
      <c r="AS307" s="34">
        <v>8.3333333333333301E-2</v>
      </c>
      <c r="AT307" s="34">
        <v>6.8965517241379296E-2</v>
      </c>
      <c r="AU307" s="34">
        <v>3.03030303030303E-2</v>
      </c>
      <c r="AV307" s="34">
        <v>6.3725490196078399E-2</v>
      </c>
      <c r="AW307" s="4"/>
      <c r="AX307" s="8"/>
    </row>
    <row r="308" spans="1:50" s="2" customFormat="1">
      <c r="A308" s="7"/>
      <c r="B308" s="4"/>
      <c r="C308" s="54" t="s">
        <v>284</v>
      </c>
      <c r="D308" s="23" t="s">
        <v>15</v>
      </c>
      <c r="E308" s="55" t="s">
        <v>354</v>
      </c>
      <c r="F308" s="55" t="s">
        <v>354</v>
      </c>
      <c r="G308" s="55" t="s">
        <v>354</v>
      </c>
      <c r="H308" s="55" t="s">
        <v>354</v>
      </c>
      <c r="I308" s="25">
        <v>0.9</v>
      </c>
      <c r="J308" s="26">
        <v>0</v>
      </c>
      <c r="K308" s="26">
        <v>0</v>
      </c>
      <c r="L308" s="27">
        <v>0</v>
      </c>
      <c r="M308" s="26">
        <v>0</v>
      </c>
      <c r="N308" s="28">
        <v>0.9</v>
      </c>
      <c r="O308" s="26">
        <v>0</v>
      </c>
      <c r="P308" s="26">
        <v>0</v>
      </c>
      <c r="Q308" s="26">
        <v>0</v>
      </c>
      <c r="R308" s="26">
        <v>0</v>
      </c>
      <c r="S308" s="28">
        <v>0.9</v>
      </c>
      <c r="T308" s="26">
        <v>0</v>
      </c>
      <c r="U308" s="26">
        <v>1</v>
      </c>
      <c r="V308" s="26">
        <v>0</v>
      </c>
      <c r="W308" s="26">
        <v>1</v>
      </c>
      <c r="X308" s="28">
        <v>0.92</v>
      </c>
      <c r="Y308" s="28">
        <v>0</v>
      </c>
      <c r="Z308" s="28">
        <v>0</v>
      </c>
      <c r="AA308" s="28">
        <v>0</v>
      </c>
      <c r="AB308" s="28">
        <v>0</v>
      </c>
      <c r="AC308" s="28">
        <v>0.92</v>
      </c>
      <c r="AD308" s="26">
        <v>1</v>
      </c>
      <c r="AE308" s="26">
        <v>0.99635036496350404</v>
      </c>
      <c r="AF308" s="26">
        <v>1</v>
      </c>
      <c r="AG308" s="26">
        <v>0.99720670391061395</v>
      </c>
      <c r="AH308" s="28">
        <v>0.92</v>
      </c>
      <c r="AI308" s="26">
        <v>0</v>
      </c>
      <c r="AJ308" s="26">
        <v>1</v>
      </c>
      <c r="AK308" s="26">
        <v>0</v>
      </c>
      <c r="AL308" s="26">
        <v>1</v>
      </c>
      <c r="AM308" s="25">
        <v>0.99</v>
      </c>
      <c r="AN308" s="30">
        <v>1</v>
      </c>
      <c r="AO308" s="30">
        <v>1</v>
      </c>
      <c r="AP308" s="30">
        <v>1</v>
      </c>
      <c r="AQ308" s="30">
        <v>1</v>
      </c>
      <c r="AR308" s="50">
        <v>9.2228725701943806E-2</v>
      </c>
      <c r="AS308" s="34">
        <v>0</v>
      </c>
      <c r="AT308" s="34">
        <v>0</v>
      </c>
      <c r="AU308" s="34">
        <v>0</v>
      </c>
      <c r="AV308" s="34">
        <v>0</v>
      </c>
      <c r="AW308" s="4"/>
      <c r="AX308" s="8"/>
    </row>
    <row r="309" spans="1:50" s="2" customFormat="1">
      <c r="A309" s="7"/>
      <c r="B309" s="4"/>
      <c r="C309" s="54" t="s">
        <v>284</v>
      </c>
      <c r="D309" s="23" t="s">
        <v>15</v>
      </c>
      <c r="E309" s="55" t="s">
        <v>355</v>
      </c>
      <c r="F309" s="55" t="s">
        <v>355</v>
      </c>
      <c r="G309" s="55" t="s">
        <v>355</v>
      </c>
      <c r="H309" s="55" t="s">
        <v>355</v>
      </c>
      <c r="I309" s="25">
        <v>0.9</v>
      </c>
      <c r="J309" s="26">
        <v>0</v>
      </c>
      <c r="K309" s="26">
        <v>0</v>
      </c>
      <c r="L309" s="27">
        <v>0</v>
      </c>
      <c r="M309" s="26">
        <v>0</v>
      </c>
      <c r="N309" s="28">
        <v>0.9</v>
      </c>
      <c r="O309" s="26">
        <v>0</v>
      </c>
      <c r="P309" s="26">
        <v>1</v>
      </c>
      <c r="Q309" s="26">
        <v>0</v>
      </c>
      <c r="R309" s="26">
        <v>1</v>
      </c>
      <c r="S309" s="28">
        <v>0.9</v>
      </c>
      <c r="T309" s="26">
        <v>0</v>
      </c>
      <c r="U309" s="26">
        <v>1</v>
      </c>
      <c r="V309" s="26">
        <v>0</v>
      </c>
      <c r="W309" s="26">
        <v>1</v>
      </c>
      <c r="X309" s="28">
        <v>0.92</v>
      </c>
      <c r="Y309" s="28">
        <v>0</v>
      </c>
      <c r="Z309" s="28">
        <v>0</v>
      </c>
      <c r="AA309" s="28">
        <v>0</v>
      </c>
      <c r="AB309" s="28">
        <v>0</v>
      </c>
      <c r="AC309" s="28">
        <v>0.92</v>
      </c>
      <c r="AD309" s="26">
        <v>0.99971518086015398</v>
      </c>
      <c r="AE309" s="26">
        <v>0.99903400309118995</v>
      </c>
      <c r="AF309" s="26">
        <v>0.99651181227207897</v>
      </c>
      <c r="AG309" s="26">
        <v>0.99795954895292605</v>
      </c>
      <c r="AH309" s="28">
        <v>0.92</v>
      </c>
      <c r="AI309" s="26">
        <v>0</v>
      </c>
      <c r="AJ309" s="26">
        <v>1</v>
      </c>
      <c r="AK309" s="26">
        <v>1</v>
      </c>
      <c r="AL309" s="26">
        <v>0.72727272727272696</v>
      </c>
      <c r="AM309" s="25">
        <v>0.99</v>
      </c>
      <c r="AN309" s="30">
        <v>0</v>
      </c>
      <c r="AO309" s="30">
        <v>0</v>
      </c>
      <c r="AP309" s="30">
        <v>1</v>
      </c>
      <c r="AQ309" s="30">
        <v>1</v>
      </c>
      <c r="AR309" s="50">
        <v>9.2228725701943806E-2</v>
      </c>
      <c r="AS309" s="34">
        <v>0</v>
      </c>
      <c r="AT309" s="34">
        <v>0</v>
      </c>
      <c r="AU309" s="34">
        <v>0</v>
      </c>
      <c r="AV309" s="34">
        <v>0</v>
      </c>
      <c r="AW309" s="4"/>
      <c r="AX309" s="8"/>
    </row>
    <row r="310" spans="1:50" s="2" customFormat="1">
      <c r="A310" s="7"/>
      <c r="B310" s="4"/>
      <c r="C310" s="54" t="s">
        <v>284</v>
      </c>
      <c r="D310" s="23" t="s">
        <v>15</v>
      </c>
      <c r="E310" s="55" t="s">
        <v>356</v>
      </c>
      <c r="F310" s="55" t="s">
        <v>356</v>
      </c>
      <c r="G310" s="55" t="s">
        <v>356</v>
      </c>
      <c r="H310" s="55" t="s">
        <v>356</v>
      </c>
      <c r="I310" s="25">
        <v>0.9</v>
      </c>
      <c r="J310" s="26">
        <v>0.97701149425287404</v>
      </c>
      <c r="K310" s="26">
        <v>0.95604395604395598</v>
      </c>
      <c r="L310" s="27">
        <v>0.91463414634146301</v>
      </c>
      <c r="M310" s="26">
        <v>0.95546558704453399</v>
      </c>
      <c r="N310" s="28">
        <v>0.9</v>
      </c>
      <c r="O310" s="26">
        <v>0.96955318307631499</v>
      </c>
      <c r="P310" s="26">
        <v>0.90707734902232195</v>
      </c>
      <c r="Q310" s="26">
        <v>0.95317073170731703</v>
      </c>
      <c r="R310" s="26">
        <v>0.95476433165793795</v>
      </c>
      <c r="S310" s="28">
        <v>0.9</v>
      </c>
      <c r="T310" s="26">
        <v>0.94187425860023699</v>
      </c>
      <c r="U310" s="26">
        <v>0.903097421699256</v>
      </c>
      <c r="V310" s="26">
        <v>0.93097560975609805</v>
      </c>
      <c r="W310" s="26">
        <v>0.929457664053988</v>
      </c>
      <c r="X310" s="28">
        <v>0.92</v>
      </c>
      <c r="Y310" s="28">
        <v>0.97961019490254897</v>
      </c>
      <c r="Z310" s="28">
        <v>0.99310186249712595</v>
      </c>
      <c r="AA310" s="28">
        <v>0.99376490005501605</v>
      </c>
      <c r="AB310" s="28">
        <v>0.98846890165175205</v>
      </c>
      <c r="AC310" s="28">
        <v>0.92</v>
      </c>
      <c r="AD310" s="26">
        <v>0.99141161773891295</v>
      </c>
      <c r="AE310" s="26">
        <v>0.98060018187329501</v>
      </c>
      <c r="AF310" s="26">
        <v>0.90229739964655398</v>
      </c>
      <c r="AG310" s="26">
        <v>0.96708568496665004</v>
      </c>
      <c r="AH310" s="28">
        <v>0.92</v>
      </c>
      <c r="AI310" s="26">
        <v>0.98748957464553799</v>
      </c>
      <c r="AJ310" s="26">
        <v>0.99516240497581199</v>
      </c>
      <c r="AK310" s="26">
        <v>0.99560347534805804</v>
      </c>
      <c r="AL310" s="26">
        <v>0.992379904945206</v>
      </c>
      <c r="AM310" s="25">
        <v>0.99</v>
      </c>
      <c r="AN310" s="30">
        <v>1</v>
      </c>
      <c r="AO310" s="30">
        <v>1</v>
      </c>
      <c r="AP310" s="30">
        <v>1</v>
      </c>
      <c r="AQ310" s="30">
        <v>1</v>
      </c>
      <c r="AR310" s="50">
        <v>9.2228725701943806E-2</v>
      </c>
      <c r="AS310" s="34">
        <v>2.32558139534884E-2</v>
      </c>
      <c r="AT310" s="34">
        <v>5.2083333333333301E-2</v>
      </c>
      <c r="AU310" s="34">
        <v>7.1428571428571397E-2</v>
      </c>
      <c r="AV310" s="34">
        <v>9.1954022988505704E-2</v>
      </c>
      <c r="AW310" s="4"/>
      <c r="AX310" s="8"/>
    </row>
    <row r="311" spans="1:50" s="2" customFormat="1">
      <c r="A311" s="7"/>
      <c r="B311" s="4"/>
      <c r="C311" s="54" t="s">
        <v>284</v>
      </c>
      <c r="D311" s="23" t="s">
        <v>15</v>
      </c>
      <c r="E311" s="55" t="s">
        <v>357</v>
      </c>
      <c r="F311" s="55" t="s">
        <v>357</v>
      </c>
      <c r="G311" s="55" t="s">
        <v>357</v>
      </c>
      <c r="H311" s="55" t="s">
        <v>357</v>
      </c>
      <c r="I311" s="25">
        <v>0.9</v>
      </c>
      <c r="J311" s="26">
        <v>1</v>
      </c>
      <c r="K311" s="26">
        <v>0.96078431372549</v>
      </c>
      <c r="L311" s="27">
        <v>1</v>
      </c>
      <c r="M311" s="26">
        <v>0.98606271777003496</v>
      </c>
      <c r="N311" s="28">
        <v>0.9</v>
      </c>
      <c r="O311" s="26">
        <v>0.97052575677110997</v>
      </c>
      <c r="P311" s="26">
        <v>0.97299001576458199</v>
      </c>
      <c r="Q311" s="26">
        <v>0.93309661745468098</v>
      </c>
      <c r="R311" s="26">
        <v>0.96115291121657598</v>
      </c>
      <c r="S311" s="28">
        <v>0.9</v>
      </c>
      <c r="T311" s="26">
        <v>0.94211364843335099</v>
      </c>
      <c r="U311" s="26">
        <v>0.95007882291119305</v>
      </c>
      <c r="V311" s="26">
        <v>0.89740235470005603</v>
      </c>
      <c r="W311" s="26">
        <v>0.9286028475518</v>
      </c>
      <c r="X311" s="28">
        <v>0.92</v>
      </c>
      <c r="Y311" s="28">
        <v>0.94231835829173605</v>
      </c>
      <c r="Z311" s="28">
        <v>0.95854545454545503</v>
      </c>
      <c r="AA311" s="28">
        <v>0.95037593984962399</v>
      </c>
      <c r="AB311" s="28">
        <v>0.94500754798360997</v>
      </c>
      <c r="AC311" s="28">
        <v>0.92</v>
      </c>
      <c r="AD311" s="26">
        <v>0.98483699772555</v>
      </c>
      <c r="AE311" s="26">
        <v>0.96298882681564202</v>
      </c>
      <c r="AF311" s="26">
        <v>0.99030918320258399</v>
      </c>
      <c r="AG311" s="26">
        <v>0.97365684575389899</v>
      </c>
      <c r="AH311" s="28">
        <v>0.92</v>
      </c>
      <c r="AI311" s="26">
        <v>0.96958337795865901</v>
      </c>
      <c r="AJ311" s="26">
        <v>0.97904606604158195</v>
      </c>
      <c r="AK311" s="26">
        <v>0.96795758414015698</v>
      </c>
      <c r="AL311" s="26">
        <v>0.96948422563815295</v>
      </c>
      <c r="AM311" s="25">
        <v>0.99</v>
      </c>
      <c r="AN311" s="30">
        <v>1</v>
      </c>
      <c r="AO311" s="30">
        <v>1</v>
      </c>
      <c r="AP311" s="30">
        <v>1</v>
      </c>
      <c r="AQ311" s="30">
        <v>1</v>
      </c>
      <c r="AR311" s="50">
        <v>9.2228725701943806E-2</v>
      </c>
      <c r="AS311" s="34">
        <v>5.5555555555555601E-2</v>
      </c>
      <c r="AT311" s="34">
        <v>4.3478260869565202E-2</v>
      </c>
      <c r="AU311" s="34">
        <v>0</v>
      </c>
      <c r="AV311" s="34">
        <v>6.5088757396449703E-2</v>
      </c>
      <c r="AW311" s="4"/>
      <c r="AX311" s="8"/>
    </row>
    <row r="312" spans="1:50" s="2" customFormat="1">
      <c r="A312" s="7"/>
      <c r="B312" s="4"/>
      <c r="C312" s="54" t="s">
        <v>284</v>
      </c>
      <c r="D312" s="23" t="s">
        <v>15</v>
      </c>
      <c r="E312" s="55" t="s">
        <v>358</v>
      </c>
      <c r="F312" s="55" t="s">
        <v>358</v>
      </c>
      <c r="G312" s="55" t="s">
        <v>358</v>
      </c>
      <c r="H312" s="55" t="s">
        <v>358</v>
      </c>
      <c r="I312" s="25">
        <v>0.9</v>
      </c>
      <c r="J312" s="26">
        <v>0.97474747474747503</v>
      </c>
      <c r="K312" s="26">
        <v>0.97474747474747503</v>
      </c>
      <c r="L312" s="27">
        <v>0.96335078534031404</v>
      </c>
      <c r="M312" s="26">
        <v>0.97287184284377903</v>
      </c>
      <c r="N312" s="28">
        <v>0.9</v>
      </c>
      <c r="O312" s="26">
        <v>0.93407559331965995</v>
      </c>
      <c r="P312" s="26">
        <v>0.95987599645704202</v>
      </c>
      <c r="Q312" s="26">
        <v>0.92611495929031495</v>
      </c>
      <c r="R312" s="26">
        <v>0.94052984111835702</v>
      </c>
      <c r="S312" s="28">
        <v>0.9</v>
      </c>
      <c r="T312" s="26">
        <v>0.92010938568219602</v>
      </c>
      <c r="U312" s="26">
        <v>0.94765279007971703</v>
      </c>
      <c r="V312" s="26">
        <v>0.90606392028192995</v>
      </c>
      <c r="W312" s="26">
        <v>0.93842673594542503</v>
      </c>
      <c r="X312" s="28">
        <v>0.92</v>
      </c>
      <c r="Y312" s="28">
        <v>0.96979768786127196</v>
      </c>
      <c r="Z312" s="28">
        <v>0.97543290043289999</v>
      </c>
      <c r="AA312" s="28">
        <v>0.97686592367443403</v>
      </c>
      <c r="AB312" s="28">
        <v>0.97378005877240204</v>
      </c>
      <c r="AC312" s="28">
        <v>0.92</v>
      </c>
      <c r="AD312" s="26">
        <v>0.97912114590920096</v>
      </c>
      <c r="AE312" s="26">
        <v>0.99270542801973805</v>
      </c>
      <c r="AF312" s="26">
        <v>0.99446161772282304</v>
      </c>
      <c r="AG312" s="26">
        <v>0.98474539069359102</v>
      </c>
      <c r="AH312" s="28">
        <v>0.92</v>
      </c>
      <c r="AI312" s="26">
        <v>0.98240093240093196</v>
      </c>
      <c r="AJ312" s="26">
        <v>0.98582769200798703</v>
      </c>
      <c r="AK312" s="26">
        <v>0.98346695881679203</v>
      </c>
      <c r="AL312" s="26">
        <v>0.98415164106278397</v>
      </c>
      <c r="AM312" s="25">
        <v>0.99</v>
      </c>
      <c r="AN312" s="30">
        <v>1</v>
      </c>
      <c r="AO312" s="30">
        <v>1</v>
      </c>
      <c r="AP312" s="30">
        <v>1</v>
      </c>
      <c r="AQ312" s="30">
        <v>1</v>
      </c>
      <c r="AR312" s="50">
        <v>9.2228725701943806E-2</v>
      </c>
      <c r="AS312" s="34">
        <v>4.5454545454545497E-2</v>
      </c>
      <c r="AT312" s="34">
        <v>0</v>
      </c>
      <c r="AU312" s="34">
        <v>2.7777777777777801E-2</v>
      </c>
      <c r="AV312" s="34">
        <v>7.3732718894009203E-2</v>
      </c>
      <c r="AW312" s="4"/>
      <c r="AX312" s="8"/>
    </row>
    <row r="313" spans="1:50" s="2" customFormat="1">
      <c r="A313" s="7"/>
      <c r="B313" s="4"/>
      <c r="C313" s="54" t="s">
        <v>284</v>
      </c>
      <c r="D313" s="23" t="s">
        <v>15</v>
      </c>
      <c r="E313" s="55" t="s">
        <v>359</v>
      </c>
      <c r="F313" s="55" t="s">
        <v>359</v>
      </c>
      <c r="G313" s="55" t="s">
        <v>359</v>
      </c>
      <c r="H313" s="55" t="s">
        <v>359</v>
      </c>
      <c r="I313" s="25">
        <v>0.9</v>
      </c>
      <c r="J313" s="26">
        <v>0.96261682242990698</v>
      </c>
      <c r="K313" s="26">
        <v>0.99074074074074103</v>
      </c>
      <c r="L313" s="27">
        <v>1</v>
      </c>
      <c r="M313" s="26">
        <v>0.98489932885905995</v>
      </c>
      <c r="N313" s="28">
        <v>0.9</v>
      </c>
      <c r="O313" s="26">
        <v>0.98347268131440801</v>
      </c>
      <c r="P313" s="26">
        <v>0.97992957746478904</v>
      </c>
      <c r="Q313" s="26">
        <v>0.92591737825986598</v>
      </c>
      <c r="R313" s="26">
        <v>0.964926224126611</v>
      </c>
      <c r="S313" s="28">
        <v>0.9</v>
      </c>
      <c r="T313" s="26">
        <v>0.95527902002722098</v>
      </c>
      <c r="U313" s="26">
        <v>0.95721830985915501</v>
      </c>
      <c r="V313" s="26">
        <v>0.90999307639049198</v>
      </c>
      <c r="W313" s="26">
        <v>0.94567884170150995</v>
      </c>
      <c r="X313" s="28">
        <v>0.92</v>
      </c>
      <c r="Y313" s="28">
        <v>0.96832701678397404</v>
      </c>
      <c r="Z313" s="28">
        <v>0.98518668831168799</v>
      </c>
      <c r="AA313" s="28">
        <v>0.98185515407476898</v>
      </c>
      <c r="AB313" s="28">
        <v>0.97830650804758601</v>
      </c>
      <c r="AC313" s="28">
        <v>0.92</v>
      </c>
      <c r="AD313" s="26">
        <v>1</v>
      </c>
      <c r="AE313" s="26">
        <v>0.99856836077308497</v>
      </c>
      <c r="AF313" s="26">
        <v>0.99877600979192205</v>
      </c>
      <c r="AG313" s="26">
        <v>0.99899874843554404</v>
      </c>
      <c r="AH313" s="28">
        <v>0.92</v>
      </c>
      <c r="AI313" s="26">
        <v>0.98121534457394999</v>
      </c>
      <c r="AJ313" s="26">
        <v>0.98981900452488703</v>
      </c>
      <c r="AK313" s="26">
        <v>0.98750699235502504</v>
      </c>
      <c r="AL313" s="26">
        <v>0.98609866291086701</v>
      </c>
      <c r="AM313" s="25">
        <v>0.99</v>
      </c>
      <c r="AN313" s="30">
        <v>1</v>
      </c>
      <c r="AO313" s="30">
        <v>1</v>
      </c>
      <c r="AP313" s="30">
        <v>1</v>
      </c>
      <c r="AQ313" s="30">
        <v>1</v>
      </c>
      <c r="AR313" s="50">
        <v>9.2228725701943806E-2</v>
      </c>
      <c r="AS313" s="34">
        <v>0.173913043478261</v>
      </c>
      <c r="AT313" s="34">
        <v>0</v>
      </c>
      <c r="AU313" s="34">
        <v>0.11111111111111099</v>
      </c>
      <c r="AV313" s="34">
        <v>7.5187969924811998E-2</v>
      </c>
      <c r="AW313" s="4"/>
      <c r="AX313" s="8"/>
    </row>
    <row r="314" spans="1:50" s="2" customFormat="1">
      <c r="A314" s="7"/>
      <c r="B314" s="4"/>
      <c r="C314" s="54" t="s">
        <v>284</v>
      </c>
      <c r="D314" s="23" t="s">
        <v>15</v>
      </c>
      <c r="E314" s="55" t="s">
        <v>360</v>
      </c>
      <c r="F314" s="55" t="s">
        <v>360</v>
      </c>
      <c r="G314" s="55" t="s">
        <v>360</v>
      </c>
      <c r="H314" s="55" t="s">
        <v>360</v>
      </c>
      <c r="I314" s="25">
        <v>0.9</v>
      </c>
      <c r="J314" s="26">
        <v>0.98823529411764699</v>
      </c>
      <c r="K314" s="26">
        <v>0.98901098901098905</v>
      </c>
      <c r="L314" s="27">
        <v>0.98809523809523803</v>
      </c>
      <c r="M314" s="26">
        <v>0.99190283400809698</v>
      </c>
      <c r="N314" s="28">
        <v>0.9</v>
      </c>
      <c r="O314" s="26">
        <v>0.968721251149954</v>
      </c>
      <c r="P314" s="26">
        <v>0.97313874788494104</v>
      </c>
      <c r="Q314" s="26">
        <v>0.9234595192042</v>
      </c>
      <c r="R314" s="26">
        <v>0.96494897407233804</v>
      </c>
      <c r="S314" s="28">
        <v>0.9</v>
      </c>
      <c r="T314" s="26">
        <v>0.96987120515179404</v>
      </c>
      <c r="U314" s="26">
        <v>0.97313874788494104</v>
      </c>
      <c r="V314" s="26">
        <v>0.91738049184857695</v>
      </c>
      <c r="W314" s="26">
        <v>0.95618621759042199</v>
      </c>
      <c r="X314" s="28">
        <v>0.92</v>
      </c>
      <c r="Y314" s="28">
        <v>0.96429797459663602</v>
      </c>
      <c r="Z314" s="28">
        <v>0.98440979955456598</v>
      </c>
      <c r="AA314" s="28">
        <v>0.97033326911963003</v>
      </c>
      <c r="AB314" s="28">
        <v>0.96957146965775098</v>
      </c>
      <c r="AC314" s="28">
        <v>0.92</v>
      </c>
      <c r="AD314" s="26">
        <v>0.98554421768707501</v>
      </c>
      <c r="AE314" s="26">
        <v>0.98565737051792801</v>
      </c>
      <c r="AF314" s="26">
        <v>0.98582474226804095</v>
      </c>
      <c r="AG314" s="26">
        <v>0.98641442356526199</v>
      </c>
      <c r="AH314" s="28">
        <v>0.92</v>
      </c>
      <c r="AI314" s="26">
        <v>0.97810218978102204</v>
      </c>
      <c r="AJ314" s="26">
        <v>0.98836811495039301</v>
      </c>
      <c r="AK314" s="26">
        <v>0.976733628419022</v>
      </c>
      <c r="AL314" s="26">
        <v>0.98082847580841803</v>
      </c>
      <c r="AM314" s="25">
        <v>0.99</v>
      </c>
      <c r="AN314" s="30">
        <v>1</v>
      </c>
      <c r="AO314" s="30">
        <v>1</v>
      </c>
      <c r="AP314" s="30">
        <v>1</v>
      </c>
      <c r="AQ314" s="30">
        <v>1</v>
      </c>
      <c r="AR314" s="50">
        <v>9.2228725701943806E-2</v>
      </c>
      <c r="AS314" s="34">
        <v>0</v>
      </c>
      <c r="AT314" s="34">
        <v>7.1428571428571397E-2</v>
      </c>
      <c r="AU314" s="34">
        <v>8.3333333333333301E-2</v>
      </c>
      <c r="AV314" s="34">
        <v>8.9743589743589702E-2</v>
      </c>
      <c r="AW314" s="4"/>
      <c r="AX314" s="8"/>
    </row>
    <row r="315" spans="1:50" s="2" customFormat="1">
      <c r="A315" s="7"/>
      <c r="B315" s="4"/>
      <c r="C315" s="54" t="s">
        <v>284</v>
      </c>
      <c r="D315" s="23" t="s">
        <v>15</v>
      </c>
      <c r="E315" s="55" t="s">
        <v>361</v>
      </c>
      <c r="F315" s="55" t="s">
        <v>361</v>
      </c>
      <c r="G315" s="55" t="s">
        <v>361</v>
      </c>
      <c r="H315" s="55" t="s">
        <v>361</v>
      </c>
      <c r="I315" s="25">
        <v>0.9</v>
      </c>
      <c r="J315" s="26">
        <v>0</v>
      </c>
      <c r="K315" s="26">
        <v>0</v>
      </c>
      <c r="L315" s="27">
        <v>0</v>
      </c>
      <c r="M315" s="26">
        <v>0</v>
      </c>
      <c r="N315" s="28">
        <v>0.9</v>
      </c>
      <c r="O315" s="26">
        <v>0</v>
      </c>
      <c r="P315" s="26">
        <v>0</v>
      </c>
      <c r="Q315" s="26">
        <v>0</v>
      </c>
      <c r="R315" s="26">
        <v>0</v>
      </c>
      <c r="S315" s="28">
        <v>0.9</v>
      </c>
      <c r="T315" s="26">
        <v>0</v>
      </c>
      <c r="U315" s="26">
        <v>0</v>
      </c>
      <c r="V315" s="26">
        <v>0</v>
      </c>
      <c r="W315" s="26">
        <v>0</v>
      </c>
      <c r="X315" s="28">
        <v>0.92</v>
      </c>
      <c r="Y315" s="28">
        <v>0</v>
      </c>
      <c r="Z315" s="28">
        <v>0</v>
      </c>
      <c r="AA315" s="28">
        <v>0</v>
      </c>
      <c r="AB315" s="28">
        <v>0</v>
      </c>
      <c r="AC315" s="28">
        <v>0.92</v>
      </c>
      <c r="AD315" s="26">
        <v>0.99658703071672305</v>
      </c>
      <c r="AE315" s="26">
        <v>0.98982188295165396</v>
      </c>
      <c r="AF315" s="26">
        <v>0.98174442190669398</v>
      </c>
      <c r="AG315" s="26">
        <v>0.98675799086757998</v>
      </c>
      <c r="AH315" s="28">
        <v>0.92</v>
      </c>
      <c r="AI315" s="26">
        <v>0</v>
      </c>
      <c r="AJ315" s="26">
        <v>0</v>
      </c>
      <c r="AK315" s="26">
        <v>0</v>
      </c>
      <c r="AL315" s="26">
        <v>0</v>
      </c>
      <c r="AM315" s="25">
        <v>0.99</v>
      </c>
      <c r="AN315" s="30">
        <v>1</v>
      </c>
      <c r="AO315" s="30">
        <v>0</v>
      </c>
      <c r="AP315" s="30">
        <v>1</v>
      </c>
      <c r="AQ315" s="30">
        <v>1</v>
      </c>
      <c r="AR315" s="50">
        <v>9.2228725701943806E-2</v>
      </c>
      <c r="AS315" s="34">
        <v>0</v>
      </c>
      <c r="AT315" s="34">
        <v>0</v>
      </c>
      <c r="AU315" s="34">
        <v>0</v>
      </c>
      <c r="AV315" s="34">
        <v>0</v>
      </c>
      <c r="AW315" s="4"/>
      <c r="AX315" s="8"/>
    </row>
    <row r="316" spans="1:50" s="2" customFormat="1">
      <c r="A316" s="7"/>
      <c r="B316" s="4"/>
      <c r="C316" s="54" t="s">
        <v>284</v>
      </c>
      <c r="D316" s="23" t="s">
        <v>15</v>
      </c>
      <c r="E316" s="55" t="s">
        <v>362</v>
      </c>
      <c r="F316" s="55" t="s">
        <v>362</v>
      </c>
      <c r="G316" s="55" t="s">
        <v>362</v>
      </c>
      <c r="H316" s="55" t="s">
        <v>362</v>
      </c>
      <c r="I316" s="25">
        <v>0.9</v>
      </c>
      <c r="J316" s="26">
        <v>0</v>
      </c>
      <c r="K316" s="26">
        <v>0</v>
      </c>
      <c r="L316" s="27">
        <v>0</v>
      </c>
      <c r="M316" s="26">
        <v>0</v>
      </c>
      <c r="N316" s="28">
        <v>0.9</v>
      </c>
      <c r="O316" s="26">
        <v>0</v>
      </c>
      <c r="P316" s="26">
        <v>0</v>
      </c>
      <c r="Q316" s="26">
        <v>0</v>
      </c>
      <c r="R316" s="26">
        <v>3.125E-2</v>
      </c>
      <c r="S316" s="28">
        <v>0.9</v>
      </c>
      <c r="T316" s="26">
        <v>0</v>
      </c>
      <c r="U316" s="26">
        <v>0.89655172413793105</v>
      </c>
      <c r="V316" s="26">
        <v>0</v>
      </c>
      <c r="W316" s="26">
        <v>0.875</v>
      </c>
      <c r="X316" s="28">
        <v>0.92</v>
      </c>
      <c r="Y316" s="28">
        <v>0</v>
      </c>
      <c r="Z316" s="28">
        <v>0</v>
      </c>
      <c r="AA316" s="28">
        <v>0</v>
      </c>
      <c r="AB316" s="28">
        <v>0</v>
      </c>
      <c r="AC316" s="28">
        <v>0.92</v>
      </c>
      <c r="AD316" s="26">
        <v>0.99992742052547501</v>
      </c>
      <c r="AE316" s="26">
        <v>0.99905702240958505</v>
      </c>
      <c r="AF316" s="26">
        <v>0.99988556606652401</v>
      </c>
      <c r="AG316" s="26">
        <v>0.99965957446808495</v>
      </c>
      <c r="AH316" s="28">
        <v>0.92</v>
      </c>
      <c r="AI316" s="26">
        <v>0</v>
      </c>
      <c r="AJ316" s="26">
        <v>1</v>
      </c>
      <c r="AK316" s="26">
        <v>0</v>
      </c>
      <c r="AL316" s="26">
        <v>0.91176470588235303</v>
      </c>
      <c r="AM316" s="25">
        <v>0.99</v>
      </c>
      <c r="AN316" s="30">
        <v>0</v>
      </c>
      <c r="AO316" s="30">
        <v>0</v>
      </c>
      <c r="AP316" s="30">
        <v>1</v>
      </c>
      <c r="AQ316" s="30">
        <v>1</v>
      </c>
      <c r="AR316" s="50">
        <v>9.2228725701943806E-2</v>
      </c>
      <c r="AS316" s="34">
        <v>0</v>
      </c>
      <c r="AT316" s="34">
        <v>0</v>
      </c>
      <c r="AU316" s="34">
        <v>0</v>
      </c>
      <c r="AV316" s="34">
        <v>0</v>
      </c>
      <c r="AW316" s="4"/>
      <c r="AX316" s="8"/>
    </row>
    <row r="317" spans="1:50" s="2" customFormat="1">
      <c r="A317" s="7"/>
      <c r="B317" s="4"/>
      <c r="C317" s="54" t="s">
        <v>284</v>
      </c>
      <c r="D317" s="23" t="s">
        <v>15</v>
      </c>
      <c r="E317" s="55" t="s">
        <v>363</v>
      </c>
      <c r="F317" s="55" t="s">
        <v>363</v>
      </c>
      <c r="G317" s="55" t="s">
        <v>363</v>
      </c>
      <c r="H317" s="55" t="s">
        <v>363</v>
      </c>
      <c r="I317" s="25">
        <v>0.9</v>
      </c>
      <c r="J317" s="26">
        <v>0</v>
      </c>
      <c r="K317" s="26">
        <v>0</v>
      </c>
      <c r="L317" s="27">
        <v>0</v>
      </c>
      <c r="M317" s="26">
        <v>0</v>
      </c>
      <c r="N317" s="28">
        <v>0.9</v>
      </c>
      <c r="O317" s="26">
        <v>0</v>
      </c>
      <c r="P317" s="26">
        <v>0</v>
      </c>
      <c r="Q317" s="26">
        <v>0</v>
      </c>
      <c r="R317" s="26">
        <v>1</v>
      </c>
      <c r="S317" s="28">
        <v>0.9</v>
      </c>
      <c r="T317" s="26">
        <v>0</v>
      </c>
      <c r="U317" s="26">
        <v>0</v>
      </c>
      <c r="V317" s="26">
        <v>0</v>
      </c>
      <c r="W317" s="26">
        <v>0</v>
      </c>
      <c r="X317" s="28">
        <v>0.92</v>
      </c>
      <c r="Y317" s="28">
        <v>1</v>
      </c>
      <c r="Z317" s="28">
        <v>0</v>
      </c>
      <c r="AA317" s="28">
        <v>0</v>
      </c>
      <c r="AB317" s="28">
        <v>1</v>
      </c>
      <c r="AC317" s="28">
        <v>0.92</v>
      </c>
      <c r="AD317" s="26">
        <v>0.99923819197562203</v>
      </c>
      <c r="AE317" s="26">
        <v>0.99947554739740396</v>
      </c>
      <c r="AF317" s="26">
        <v>0.99953753661168498</v>
      </c>
      <c r="AG317" s="26">
        <v>0.99799942251371498</v>
      </c>
      <c r="AH317" s="28">
        <v>0.92</v>
      </c>
      <c r="AI317" s="26">
        <v>1</v>
      </c>
      <c r="AJ317" s="26">
        <v>0</v>
      </c>
      <c r="AK317" s="26">
        <v>0</v>
      </c>
      <c r="AL317" s="26">
        <v>0.5</v>
      </c>
      <c r="AM317" s="25">
        <v>0.99</v>
      </c>
      <c r="AN317" s="30">
        <v>0</v>
      </c>
      <c r="AO317" s="30">
        <v>1</v>
      </c>
      <c r="AP317" s="30">
        <v>1</v>
      </c>
      <c r="AQ317" s="30">
        <v>1</v>
      </c>
      <c r="AR317" s="50">
        <v>9.2228725701943806E-2</v>
      </c>
      <c r="AS317" s="34">
        <v>0</v>
      </c>
      <c r="AT317" s="34">
        <v>0</v>
      </c>
      <c r="AU317" s="34">
        <v>0</v>
      </c>
      <c r="AV317" s="34">
        <v>0</v>
      </c>
      <c r="AW317" s="4"/>
      <c r="AX317" s="8"/>
    </row>
    <row r="318" spans="1:50" s="2" customFormat="1">
      <c r="A318" s="7"/>
      <c r="B318" s="4"/>
      <c r="C318" s="54" t="s">
        <v>284</v>
      </c>
      <c r="D318" s="23" t="s">
        <v>15</v>
      </c>
      <c r="E318" s="55" t="s">
        <v>364</v>
      </c>
      <c r="F318" s="55" t="s">
        <v>364</v>
      </c>
      <c r="G318" s="55" t="s">
        <v>364</v>
      </c>
      <c r="H318" s="55" t="s">
        <v>364</v>
      </c>
      <c r="I318" s="25">
        <v>0.9</v>
      </c>
      <c r="J318" s="26">
        <v>0</v>
      </c>
      <c r="K318" s="26">
        <v>0</v>
      </c>
      <c r="L318" s="27">
        <v>0</v>
      </c>
      <c r="M318" s="26">
        <v>0</v>
      </c>
      <c r="N318" s="28">
        <v>0.9</v>
      </c>
      <c r="O318" s="26">
        <v>0</v>
      </c>
      <c r="P318" s="26">
        <v>0</v>
      </c>
      <c r="Q318" s="26">
        <v>0</v>
      </c>
      <c r="R318" s="26">
        <v>0</v>
      </c>
      <c r="S318" s="28">
        <v>0.9</v>
      </c>
      <c r="T318" s="26">
        <v>0</v>
      </c>
      <c r="U318" s="26">
        <v>0</v>
      </c>
      <c r="V318" s="26">
        <v>0</v>
      </c>
      <c r="W318" s="26">
        <v>0</v>
      </c>
      <c r="X318" s="28">
        <v>0.92</v>
      </c>
      <c r="Y318" s="28">
        <v>0</v>
      </c>
      <c r="Z318" s="28">
        <v>0</v>
      </c>
      <c r="AA318" s="28">
        <v>0</v>
      </c>
      <c r="AB318" s="28">
        <v>0</v>
      </c>
      <c r="AC318" s="28">
        <v>0.92</v>
      </c>
      <c r="AD318" s="26">
        <v>0.96178507309566597</v>
      </c>
      <c r="AE318" s="26">
        <v>0.93686607327675397</v>
      </c>
      <c r="AF318" s="26">
        <v>0.99081749776814199</v>
      </c>
      <c r="AG318" s="26">
        <v>0.94884827511625403</v>
      </c>
      <c r="AH318" s="28">
        <v>0.92</v>
      </c>
      <c r="AI318" s="26">
        <v>0</v>
      </c>
      <c r="AJ318" s="26">
        <v>0</v>
      </c>
      <c r="AK318" s="26">
        <v>0</v>
      </c>
      <c r="AL318" s="26">
        <v>0</v>
      </c>
      <c r="AM318" s="25">
        <v>0.99</v>
      </c>
      <c r="AN318" s="30">
        <v>1</v>
      </c>
      <c r="AO318" s="30">
        <v>1</v>
      </c>
      <c r="AP318" s="30">
        <v>1</v>
      </c>
      <c r="AQ318" s="30">
        <v>1</v>
      </c>
      <c r="AR318" s="50">
        <v>9.2228725701943806E-2</v>
      </c>
      <c r="AS318" s="34">
        <v>0</v>
      </c>
      <c r="AT318" s="34">
        <v>0</v>
      </c>
      <c r="AU318" s="34">
        <v>0</v>
      </c>
      <c r="AV318" s="34">
        <v>0</v>
      </c>
      <c r="AW318" s="4"/>
      <c r="AX318" s="8"/>
    </row>
    <row r="319" spans="1:50" s="2" customFormat="1">
      <c r="A319" s="7"/>
      <c r="B319" s="4"/>
      <c r="C319" s="54" t="s">
        <v>284</v>
      </c>
      <c r="D319" s="23" t="s">
        <v>15</v>
      </c>
      <c r="E319" s="55" t="s">
        <v>365</v>
      </c>
      <c r="F319" s="55" t="s">
        <v>365</v>
      </c>
      <c r="G319" s="55" t="s">
        <v>365</v>
      </c>
      <c r="H319" s="55" t="s">
        <v>365</v>
      </c>
      <c r="I319" s="25">
        <v>0.9</v>
      </c>
      <c r="J319" s="26">
        <v>0</v>
      </c>
      <c r="K319" s="26">
        <v>0</v>
      </c>
      <c r="L319" s="27">
        <v>0</v>
      </c>
      <c r="M319" s="26">
        <v>0</v>
      </c>
      <c r="N319" s="28">
        <v>0.9</v>
      </c>
      <c r="O319" s="26">
        <v>0</v>
      </c>
      <c r="P319" s="26">
        <v>0</v>
      </c>
      <c r="Q319" s="26">
        <v>0</v>
      </c>
      <c r="R319" s="26">
        <v>0</v>
      </c>
      <c r="S319" s="28">
        <v>0.9</v>
      </c>
      <c r="T319" s="26">
        <v>1</v>
      </c>
      <c r="U319" s="26">
        <v>0</v>
      </c>
      <c r="V319" s="26">
        <v>0</v>
      </c>
      <c r="W319" s="26">
        <v>1</v>
      </c>
      <c r="X319" s="28">
        <v>0.92</v>
      </c>
      <c r="Y319" s="28">
        <v>0</v>
      </c>
      <c r="Z319" s="28">
        <v>0</v>
      </c>
      <c r="AA319" s="28">
        <v>0</v>
      </c>
      <c r="AB319" s="28">
        <v>0</v>
      </c>
      <c r="AC319" s="28">
        <v>0.92</v>
      </c>
      <c r="AD319" s="26">
        <v>0.99893824101928896</v>
      </c>
      <c r="AE319" s="26">
        <v>0.996165644171779</v>
      </c>
      <c r="AF319" s="26">
        <v>0.99822150363783302</v>
      </c>
      <c r="AG319" s="26">
        <v>0.94945590624846099</v>
      </c>
      <c r="AH319" s="28">
        <v>0.92</v>
      </c>
      <c r="AI319" s="26">
        <v>1</v>
      </c>
      <c r="AJ319" s="26">
        <v>0</v>
      </c>
      <c r="AK319" s="26">
        <v>0</v>
      </c>
      <c r="AL319" s="26">
        <v>1</v>
      </c>
      <c r="AM319" s="25">
        <v>0.99</v>
      </c>
      <c r="AN319" s="30">
        <v>1</v>
      </c>
      <c r="AO319" s="30">
        <v>1</v>
      </c>
      <c r="AP319" s="30">
        <v>1</v>
      </c>
      <c r="AQ319" s="30">
        <v>1</v>
      </c>
      <c r="AR319" s="50">
        <v>9.2228725701943806E-2</v>
      </c>
      <c r="AS319" s="34">
        <v>0</v>
      </c>
      <c r="AT319" s="34">
        <v>0</v>
      </c>
      <c r="AU319" s="34">
        <v>0</v>
      </c>
      <c r="AV319" s="34">
        <v>0</v>
      </c>
      <c r="AW319" s="4"/>
      <c r="AX319" s="8"/>
    </row>
    <row r="320" spans="1:50" s="2" customFormat="1">
      <c r="A320" s="7"/>
      <c r="B320" s="4"/>
      <c r="C320" s="54" t="s">
        <v>284</v>
      </c>
      <c r="D320" s="23" t="s">
        <v>15</v>
      </c>
      <c r="E320" s="55" t="s">
        <v>366</v>
      </c>
      <c r="F320" s="55" t="s">
        <v>366</v>
      </c>
      <c r="G320" s="55" t="s">
        <v>366</v>
      </c>
      <c r="H320" s="55" t="s">
        <v>366</v>
      </c>
      <c r="I320" s="25">
        <v>0.9</v>
      </c>
      <c r="J320" s="26">
        <v>0</v>
      </c>
      <c r="K320" s="26">
        <v>0</v>
      </c>
      <c r="L320" s="27">
        <v>0</v>
      </c>
      <c r="M320" s="26">
        <v>0</v>
      </c>
      <c r="N320" s="28">
        <v>0.9</v>
      </c>
      <c r="O320" s="26">
        <v>0</v>
      </c>
      <c r="P320" s="26">
        <v>0</v>
      </c>
      <c r="Q320" s="26">
        <v>0</v>
      </c>
      <c r="R320" s="26">
        <v>0.42857142857142899</v>
      </c>
      <c r="S320" s="28">
        <v>0.9</v>
      </c>
      <c r="T320" s="26">
        <v>0</v>
      </c>
      <c r="U320" s="26">
        <v>0</v>
      </c>
      <c r="V320" s="26">
        <v>0.33333333333333298</v>
      </c>
      <c r="W320" s="26">
        <v>0.57142857142857095</v>
      </c>
      <c r="X320" s="28">
        <v>0.92</v>
      </c>
      <c r="Y320" s="28">
        <v>0</v>
      </c>
      <c r="Z320" s="28">
        <v>0</v>
      </c>
      <c r="AA320" s="28">
        <v>0</v>
      </c>
      <c r="AB320" s="28">
        <v>0</v>
      </c>
      <c r="AC320" s="28">
        <v>0.92</v>
      </c>
      <c r="AD320" s="26">
        <v>0.99821662109142795</v>
      </c>
      <c r="AE320" s="26">
        <v>0.98905576900686898</v>
      </c>
      <c r="AF320" s="26">
        <v>0.99271494518176595</v>
      </c>
      <c r="AG320" s="26">
        <v>0.98926566452117004</v>
      </c>
      <c r="AH320" s="28">
        <v>0.92</v>
      </c>
      <c r="AI320" s="26">
        <v>0</v>
      </c>
      <c r="AJ320" s="26">
        <v>0</v>
      </c>
      <c r="AK320" s="26">
        <v>0.33333333333333298</v>
      </c>
      <c r="AL320" s="26">
        <v>0.5</v>
      </c>
      <c r="AM320" s="25">
        <v>0.99</v>
      </c>
      <c r="AN320" s="30">
        <v>1</v>
      </c>
      <c r="AO320" s="30">
        <v>1</v>
      </c>
      <c r="AP320" s="30">
        <v>1</v>
      </c>
      <c r="AQ320" s="30">
        <v>1</v>
      </c>
      <c r="AR320" s="50">
        <v>9.2228725701943806E-2</v>
      </c>
      <c r="AS320" s="34">
        <v>0</v>
      </c>
      <c r="AT320" s="34">
        <v>0</v>
      </c>
      <c r="AU320" s="34">
        <v>0</v>
      </c>
      <c r="AV320" s="34">
        <v>0</v>
      </c>
      <c r="AW320" s="4"/>
      <c r="AX320" s="8"/>
    </row>
    <row r="321" spans="1:50" s="2" customFormat="1">
      <c r="A321" s="7"/>
      <c r="B321" s="4"/>
      <c r="C321" s="54" t="s">
        <v>284</v>
      </c>
      <c r="D321" s="23" t="s">
        <v>15</v>
      </c>
      <c r="E321" s="55" t="s">
        <v>367</v>
      </c>
      <c r="F321" s="55" t="s">
        <v>367</v>
      </c>
      <c r="G321" s="55" t="s">
        <v>367</v>
      </c>
      <c r="H321" s="55" t="s">
        <v>367</v>
      </c>
      <c r="I321" s="25">
        <v>0.9</v>
      </c>
      <c r="J321" s="26">
        <v>0.99166666666666703</v>
      </c>
      <c r="K321" s="26">
        <v>0.98387096774193505</v>
      </c>
      <c r="L321" s="27">
        <v>0.97297297297297303</v>
      </c>
      <c r="M321" s="26">
        <v>0.961832061068702</v>
      </c>
      <c r="N321" s="28">
        <v>0.9</v>
      </c>
      <c r="O321" s="26">
        <v>0.97581914436972395</v>
      </c>
      <c r="P321" s="26">
        <v>0.96739853626081196</v>
      </c>
      <c r="Q321" s="26">
        <v>0.94466818420591803</v>
      </c>
      <c r="R321" s="26">
        <v>0.96674522126211004</v>
      </c>
      <c r="S321" s="28">
        <v>0.9</v>
      </c>
      <c r="T321" s="26">
        <v>0.95721848619258798</v>
      </c>
      <c r="U321" s="26">
        <v>0.96473719228210197</v>
      </c>
      <c r="V321" s="26">
        <v>0.92663281386797403</v>
      </c>
      <c r="W321" s="26">
        <v>0.95378371301387799</v>
      </c>
      <c r="X321" s="28">
        <v>0.92</v>
      </c>
      <c r="Y321" s="28">
        <v>0.95665069587040796</v>
      </c>
      <c r="Z321" s="28">
        <v>0.97918871252204598</v>
      </c>
      <c r="AA321" s="28">
        <v>0.98411149825783995</v>
      </c>
      <c r="AB321" s="28">
        <v>0.976611722777318</v>
      </c>
      <c r="AC321" s="28">
        <v>0.92</v>
      </c>
      <c r="AD321" s="26">
        <v>0.90754115772703103</v>
      </c>
      <c r="AE321" s="26">
        <v>0.98156377876534495</v>
      </c>
      <c r="AF321" s="26">
        <v>0.94093397745571705</v>
      </c>
      <c r="AG321" s="26">
        <v>0.87219918321007905</v>
      </c>
      <c r="AH321" s="28">
        <v>0.92</v>
      </c>
      <c r="AI321" s="26">
        <v>0.97731668718129105</v>
      </c>
      <c r="AJ321" s="26">
        <v>0.98801759441832204</v>
      </c>
      <c r="AK321" s="26">
        <v>0.98952513966480404</v>
      </c>
      <c r="AL321" s="26">
        <v>0.98582527897057304</v>
      </c>
      <c r="AM321" s="25">
        <v>0.99</v>
      </c>
      <c r="AN321" s="30">
        <v>1</v>
      </c>
      <c r="AO321" s="30">
        <v>1</v>
      </c>
      <c r="AP321" s="30">
        <v>1</v>
      </c>
      <c r="AQ321" s="30">
        <v>1</v>
      </c>
      <c r="AR321" s="50">
        <v>9.2228725701943806E-2</v>
      </c>
      <c r="AS321" s="34">
        <v>2.2222222222222199E-2</v>
      </c>
      <c r="AT321" s="34">
        <v>2.7027027027027001E-2</v>
      </c>
      <c r="AU321" s="34">
        <v>8.8235294117647106E-2</v>
      </c>
      <c r="AV321" s="34">
        <v>3.7837837837837798E-2</v>
      </c>
      <c r="AW321" s="4"/>
      <c r="AX321" s="8"/>
    </row>
    <row r="322" spans="1:50" s="2" customFormat="1">
      <c r="A322" s="7"/>
      <c r="B322" s="4"/>
      <c r="C322" s="54" t="s">
        <v>284</v>
      </c>
      <c r="D322" s="23" t="s">
        <v>15</v>
      </c>
      <c r="E322" s="55" t="s">
        <v>368</v>
      </c>
      <c r="F322" s="55" t="s">
        <v>368</v>
      </c>
      <c r="G322" s="55" t="s">
        <v>368</v>
      </c>
      <c r="H322" s="55" t="s">
        <v>368</v>
      </c>
      <c r="I322" s="25">
        <v>0.9</v>
      </c>
      <c r="J322" s="26">
        <v>0</v>
      </c>
      <c r="K322" s="26">
        <v>0</v>
      </c>
      <c r="L322" s="27">
        <v>0</v>
      </c>
      <c r="M322" s="26">
        <v>0</v>
      </c>
      <c r="N322" s="28">
        <v>0.9</v>
      </c>
      <c r="O322" s="26">
        <v>0</v>
      </c>
      <c r="P322" s="26">
        <v>0</v>
      </c>
      <c r="Q322" s="26">
        <v>0</v>
      </c>
      <c r="R322" s="26">
        <v>0</v>
      </c>
      <c r="S322" s="28">
        <v>0.9</v>
      </c>
      <c r="T322" s="26">
        <v>0</v>
      </c>
      <c r="U322" s="26">
        <v>0</v>
      </c>
      <c r="V322" s="26">
        <v>0</v>
      </c>
      <c r="W322" s="26">
        <v>0</v>
      </c>
      <c r="X322" s="28">
        <v>0.92</v>
      </c>
      <c r="Y322" s="28">
        <v>0</v>
      </c>
      <c r="Z322" s="28">
        <v>0</v>
      </c>
      <c r="AA322" s="28">
        <v>0</v>
      </c>
      <c r="AB322" s="28">
        <v>0</v>
      </c>
      <c r="AC322" s="28">
        <v>0.92</v>
      </c>
      <c r="AD322" s="26">
        <v>0.98717655140828897</v>
      </c>
      <c r="AE322" s="26">
        <v>0.63282494878215301</v>
      </c>
      <c r="AF322" s="26">
        <v>0.98438934802571199</v>
      </c>
      <c r="AG322" s="26">
        <v>0.89018077566297704</v>
      </c>
      <c r="AH322" s="28">
        <v>0.92</v>
      </c>
      <c r="AI322" s="26">
        <v>0.33333333333333298</v>
      </c>
      <c r="AJ322" s="26">
        <v>0</v>
      </c>
      <c r="AK322" s="26">
        <v>0</v>
      </c>
      <c r="AL322" s="26">
        <v>0.33333333333333298</v>
      </c>
      <c r="AM322" s="25">
        <v>0.99</v>
      </c>
      <c r="AN322" s="30">
        <v>1</v>
      </c>
      <c r="AO322" s="30">
        <v>1</v>
      </c>
      <c r="AP322" s="30">
        <v>1</v>
      </c>
      <c r="AQ322" s="30">
        <v>1</v>
      </c>
      <c r="AR322" s="50">
        <v>9.2228725701943806E-2</v>
      </c>
      <c r="AS322" s="34">
        <v>0</v>
      </c>
      <c r="AT322" s="34">
        <v>0</v>
      </c>
      <c r="AU322" s="34">
        <v>0</v>
      </c>
      <c r="AV322" s="34">
        <v>0</v>
      </c>
      <c r="AW322" s="4"/>
      <c r="AX322" s="8"/>
    </row>
    <row r="323" spans="1:50" s="2" customFormat="1">
      <c r="A323" s="7"/>
      <c r="B323" s="4"/>
      <c r="C323" s="54" t="s">
        <v>284</v>
      </c>
      <c r="D323" s="23" t="s">
        <v>15</v>
      </c>
      <c r="E323" s="55" t="s">
        <v>369</v>
      </c>
      <c r="F323" s="55" t="s">
        <v>369</v>
      </c>
      <c r="G323" s="55" t="s">
        <v>369</v>
      </c>
      <c r="H323" s="55" t="s">
        <v>369</v>
      </c>
      <c r="I323" s="25">
        <v>0.9</v>
      </c>
      <c r="J323" s="26">
        <v>0.76666666666666705</v>
      </c>
      <c r="K323" s="26">
        <v>0.75</v>
      </c>
      <c r="L323" s="27">
        <v>0.77777777777777801</v>
      </c>
      <c r="M323" s="26">
        <v>0.78881987577639801</v>
      </c>
      <c r="N323" s="28">
        <v>0.9</v>
      </c>
      <c r="O323" s="26">
        <v>0.96452884270870698</v>
      </c>
      <c r="P323" s="26">
        <v>0.84431977559607296</v>
      </c>
      <c r="Q323" s="26">
        <v>0.972779369627507</v>
      </c>
      <c r="R323" s="26">
        <v>0.94120065789473695</v>
      </c>
      <c r="S323" s="28">
        <v>0.9</v>
      </c>
      <c r="T323" s="26">
        <v>0.92117520601934799</v>
      </c>
      <c r="U323" s="26">
        <v>0.899719495091164</v>
      </c>
      <c r="V323" s="26">
        <v>0.94794651384909301</v>
      </c>
      <c r="W323" s="26">
        <v>0.90919682017543901</v>
      </c>
      <c r="X323" s="28">
        <v>0.92</v>
      </c>
      <c r="Y323" s="28">
        <v>0.93303853442830098</v>
      </c>
      <c r="Z323" s="28">
        <v>0.94137931034482802</v>
      </c>
      <c r="AA323" s="28">
        <v>0.93658740091781401</v>
      </c>
      <c r="AB323" s="28">
        <v>0.93696166587789897</v>
      </c>
      <c r="AC323" s="28">
        <v>0.92</v>
      </c>
      <c r="AD323" s="26">
        <v>1</v>
      </c>
      <c r="AE323" s="26">
        <v>0.99990467717335996</v>
      </c>
      <c r="AF323" s="26">
        <v>0.99997328060706503</v>
      </c>
      <c r="AG323" s="26">
        <v>0.99996010873219898</v>
      </c>
      <c r="AH323" s="28">
        <v>0.92</v>
      </c>
      <c r="AI323" s="26">
        <v>0.95679999999999998</v>
      </c>
      <c r="AJ323" s="26">
        <v>0.96353953297828798</v>
      </c>
      <c r="AK323" s="26">
        <v>0.95837970175829101</v>
      </c>
      <c r="AL323" s="26">
        <v>0.95974247903668097</v>
      </c>
      <c r="AM323" s="25">
        <v>0.99</v>
      </c>
      <c r="AN323" s="30">
        <v>1</v>
      </c>
      <c r="AO323" s="30">
        <v>1</v>
      </c>
      <c r="AP323" s="30">
        <v>1</v>
      </c>
      <c r="AQ323" s="30">
        <v>1</v>
      </c>
      <c r="AR323" s="50">
        <v>9.2228725701943806E-2</v>
      </c>
      <c r="AS323" s="34">
        <v>0.1</v>
      </c>
      <c r="AT323" s="34">
        <v>0</v>
      </c>
      <c r="AU323" s="34">
        <v>8.3333333333333301E-2</v>
      </c>
      <c r="AV323" s="34">
        <v>6.6666666666666693E-2</v>
      </c>
      <c r="AW323" s="4"/>
      <c r="AX323" s="8"/>
    </row>
    <row r="324" spans="1:50" s="2" customFormat="1">
      <c r="A324" s="7"/>
      <c r="B324" s="4"/>
      <c r="C324" s="54" t="s">
        <v>284</v>
      </c>
      <c r="D324" s="23" t="s">
        <v>15</v>
      </c>
      <c r="E324" s="55" t="s">
        <v>370</v>
      </c>
      <c r="F324" s="55" t="s">
        <v>370</v>
      </c>
      <c r="G324" s="55" t="s">
        <v>370</v>
      </c>
      <c r="H324" s="55" t="s">
        <v>370</v>
      </c>
      <c r="I324" s="25">
        <v>0.9</v>
      </c>
      <c r="J324" s="26">
        <v>0.931034482758621</v>
      </c>
      <c r="K324" s="26">
        <v>0.89285714285714302</v>
      </c>
      <c r="L324" s="27">
        <v>0.85714285714285698</v>
      </c>
      <c r="M324" s="26">
        <v>0.89696969696969697</v>
      </c>
      <c r="N324" s="28">
        <v>0.9</v>
      </c>
      <c r="O324" s="26">
        <v>0.97471554993678899</v>
      </c>
      <c r="P324" s="26">
        <v>0.86797752808988804</v>
      </c>
      <c r="Q324" s="26">
        <v>0.91692546583850898</v>
      </c>
      <c r="R324" s="26">
        <v>0.94264550264550295</v>
      </c>
      <c r="S324" s="28">
        <v>0.9</v>
      </c>
      <c r="T324" s="26">
        <v>0.92857142857142905</v>
      </c>
      <c r="U324" s="26">
        <v>0.90056179775280898</v>
      </c>
      <c r="V324" s="26">
        <v>0.87422360248447195</v>
      </c>
      <c r="W324" s="26">
        <v>0.90952380952380996</v>
      </c>
      <c r="X324" s="28">
        <v>0.92</v>
      </c>
      <c r="Y324" s="28">
        <v>0.94906621392190105</v>
      </c>
      <c r="Z324" s="28">
        <v>0.95529257067718598</v>
      </c>
      <c r="AA324" s="28">
        <v>0.96013289036544802</v>
      </c>
      <c r="AB324" s="28">
        <v>0.95324379118094305</v>
      </c>
      <c r="AC324" s="28">
        <v>0.92</v>
      </c>
      <c r="AD324" s="26">
        <v>0.99541984732824396</v>
      </c>
      <c r="AE324" s="26">
        <v>0.97127937336814596</v>
      </c>
      <c r="AF324" s="26">
        <v>0.989547038327526</v>
      </c>
      <c r="AG324" s="26">
        <v>0.99112627986348101</v>
      </c>
      <c r="AH324" s="28">
        <v>0.92</v>
      </c>
      <c r="AI324" s="26">
        <v>0.96486780152118801</v>
      </c>
      <c r="AJ324" s="26">
        <v>0.97091790366555597</v>
      </c>
      <c r="AK324" s="26">
        <v>0.97059773828756102</v>
      </c>
      <c r="AL324" s="26">
        <v>0.96823841364998797</v>
      </c>
      <c r="AM324" s="25">
        <v>0.99</v>
      </c>
      <c r="AN324" s="30">
        <v>1</v>
      </c>
      <c r="AO324" s="30">
        <v>1</v>
      </c>
      <c r="AP324" s="30">
        <v>1</v>
      </c>
      <c r="AQ324" s="30">
        <v>1</v>
      </c>
      <c r="AR324" s="50">
        <v>9.2228725701943806E-2</v>
      </c>
      <c r="AS324" s="34">
        <v>0</v>
      </c>
      <c r="AT324" s="34">
        <v>9.0909090909090898E-2</v>
      </c>
      <c r="AU324" s="34">
        <v>0</v>
      </c>
      <c r="AV324" s="34">
        <v>8.3333333333333301E-2</v>
      </c>
      <c r="AW324" s="4"/>
      <c r="AX324" s="8"/>
    </row>
    <row r="325" spans="1:50" s="2" customFormat="1">
      <c r="A325" s="7"/>
      <c r="B325" s="4"/>
      <c r="C325" s="54" t="s">
        <v>284</v>
      </c>
      <c r="D325" s="23" t="s">
        <v>15</v>
      </c>
      <c r="E325" s="55" t="s">
        <v>371</v>
      </c>
      <c r="F325" s="55" t="s">
        <v>371</v>
      </c>
      <c r="G325" s="55" t="s">
        <v>371</v>
      </c>
      <c r="H325" s="55" t="s">
        <v>371</v>
      </c>
      <c r="I325" s="25">
        <v>0.9</v>
      </c>
      <c r="J325" s="26">
        <v>0</v>
      </c>
      <c r="K325" s="26">
        <v>0</v>
      </c>
      <c r="L325" s="27">
        <v>0</v>
      </c>
      <c r="M325" s="26">
        <v>0</v>
      </c>
      <c r="N325" s="28">
        <v>0.9</v>
      </c>
      <c r="O325" s="26">
        <v>0</v>
      </c>
      <c r="P325" s="26">
        <v>0</v>
      </c>
      <c r="Q325" s="26">
        <v>1</v>
      </c>
      <c r="R325" s="26">
        <v>1</v>
      </c>
      <c r="S325" s="28">
        <v>0.9</v>
      </c>
      <c r="T325" s="26">
        <v>0</v>
      </c>
      <c r="U325" s="26">
        <v>0</v>
      </c>
      <c r="V325" s="26">
        <v>1</v>
      </c>
      <c r="W325" s="26">
        <v>1</v>
      </c>
      <c r="X325" s="28">
        <v>0.92</v>
      </c>
      <c r="Y325" s="28">
        <v>0</v>
      </c>
      <c r="Z325" s="28">
        <v>0</v>
      </c>
      <c r="AA325" s="28">
        <v>0</v>
      </c>
      <c r="AB325" s="28">
        <v>0</v>
      </c>
      <c r="AC325" s="28">
        <v>0.92</v>
      </c>
      <c r="AD325" s="26">
        <v>0.99990276157137303</v>
      </c>
      <c r="AE325" s="26">
        <v>0.99990768946736797</v>
      </c>
      <c r="AF325" s="26">
        <v>0.99994359205776195</v>
      </c>
      <c r="AG325" s="26">
        <v>0.99982092856677696</v>
      </c>
      <c r="AH325" s="28">
        <v>0.92</v>
      </c>
      <c r="AI325" s="26">
        <v>0</v>
      </c>
      <c r="AJ325" s="26">
        <v>0</v>
      </c>
      <c r="AK325" s="26">
        <v>0.5</v>
      </c>
      <c r="AL325" s="26">
        <v>0.75</v>
      </c>
      <c r="AM325" s="25">
        <v>0.99</v>
      </c>
      <c r="AN325" s="30">
        <v>1</v>
      </c>
      <c r="AO325" s="30">
        <v>1</v>
      </c>
      <c r="AP325" s="30">
        <v>1</v>
      </c>
      <c r="AQ325" s="30">
        <v>1</v>
      </c>
      <c r="AR325" s="50">
        <v>9.2228725701943806E-2</v>
      </c>
      <c r="AS325" s="34">
        <v>0</v>
      </c>
      <c r="AT325" s="34">
        <v>0</v>
      </c>
      <c r="AU325" s="34">
        <v>0</v>
      </c>
      <c r="AV325" s="34">
        <v>0</v>
      </c>
      <c r="AW325" s="4"/>
      <c r="AX325" s="8"/>
    </row>
    <row r="326" spans="1:50">
      <c r="A326" s="7"/>
      <c r="C326" s="57"/>
      <c r="D326" s="57"/>
      <c r="E326" s="57"/>
      <c r="F326" s="57"/>
      <c r="G326" s="57"/>
      <c r="H326" s="57"/>
      <c r="I326" s="58"/>
      <c r="J326" s="59"/>
      <c r="K326" s="59"/>
      <c r="L326" s="27"/>
      <c r="M326" s="59"/>
      <c r="N326" s="43"/>
      <c r="O326" s="59"/>
      <c r="P326" s="59"/>
      <c r="Q326" s="26"/>
      <c r="R326" s="59"/>
      <c r="S326" s="43"/>
      <c r="T326" s="59"/>
      <c r="U326" s="59"/>
      <c r="V326" s="26"/>
      <c r="W326" s="59"/>
      <c r="X326" s="43"/>
      <c r="Y326" s="43"/>
      <c r="Z326" s="43"/>
      <c r="AA326" s="28"/>
      <c r="AB326" s="43"/>
      <c r="AC326" s="59"/>
      <c r="AD326" s="59"/>
      <c r="AE326" s="59"/>
      <c r="AF326" s="26"/>
      <c r="AG326" s="59"/>
      <c r="AH326" s="59"/>
      <c r="AI326" s="59"/>
      <c r="AJ326" s="59"/>
      <c r="AK326" s="26"/>
      <c r="AL326" s="59"/>
      <c r="AM326" s="60"/>
      <c r="AN326" s="60"/>
      <c r="AO326" s="60"/>
      <c r="AP326" s="30"/>
      <c r="AQ326" s="60"/>
      <c r="AR326" s="59"/>
      <c r="AS326" s="60"/>
      <c r="AT326" s="60"/>
      <c r="AU326" s="34"/>
      <c r="AV326" s="60"/>
      <c r="AW326" s="10"/>
      <c r="AX326" s="8"/>
    </row>
    <row r="327" spans="1:50">
      <c r="A327" s="7"/>
      <c r="B327" s="10"/>
      <c r="C327" s="54" t="s">
        <v>372</v>
      </c>
      <c r="D327" s="23" t="s">
        <v>17</v>
      </c>
      <c r="E327" s="61" t="s">
        <v>373</v>
      </c>
      <c r="F327" s="61" t="s">
        <v>373</v>
      </c>
      <c r="G327" s="61" t="s">
        <v>373</v>
      </c>
      <c r="H327" s="61" t="s">
        <v>373</v>
      </c>
      <c r="I327" s="25">
        <v>0.9</v>
      </c>
      <c r="J327" s="26">
        <v>0.89473684210526305</v>
      </c>
      <c r="K327" s="26">
        <v>0.939393939393939</v>
      </c>
      <c r="L327" s="27">
        <v>0.97058823529411797</v>
      </c>
      <c r="M327" s="26">
        <v>0.92830882352941202</v>
      </c>
      <c r="N327" s="28">
        <v>0.9</v>
      </c>
      <c r="O327" s="26">
        <v>0.92866043613707205</v>
      </c>
      <c r="P327" s="26">
        <v>0.925982929900658</v>
      </c>
      <c r="Q327" s="26">
        <v>0.93494505494505498</v>
      </c>
      <c r="R327" s="26">
        <v>0.92611586511225696</v>
      </c>
      <c r="S327" s="28">
        <v>0.9</v>
      </c>
      <c r="T327" s="26">
        <v>0.91074766355140202</v>
      </c>
      <c r="U327" s="26">
        <v>0.913670071358612</v>
      </c>
      <c r="V327" s="26">
        <v>0.92307692307692302</v>
      </c>
      <c r="W327" s="26">
        <v>0.91332478606994805</v>
      </c>
      <c r="X327" s="28">
        <v>0.92</v>
      </c>
      <c r="Y327" s="28">
        <v>0.93769133801548699</v>
      </c>
      <c r="Z327" s="28">
        <v>0.94996162701458198</v>
      </c>
      <c r="AA327" s="28">
        <v>0.93667626117254998</v>
      </c>
      <c r="AB327" s="28">
        <v>0.93802734943264499</v>
      </c>
      <c r="AC327" s="28">
        <v>0.92</v>
      </c>
      <c r="AD327" s="26">
        <v>0.99607035928143695</v>
      </c>
      <c r="AE327" s="26">
        <v>0.97220605355064005</v>
      </c>
      <c r="AF327" s="26">
        <v>0.99397667563757497</v>
      </c>
      <c r="AG327" s="26">
        <v>0.98752127056154304</v>
      </c>
      <c r="AH327" s="28">
        <v>0.92</v>
      </c>
      <c r="AI327" s="26">
        <v>0.95234127645392397</v>
      </c>
      <c r="AJ327" s="26">
        <v>0.96012875850464596</v>
      </c>
      <c r="AK327" s="26">
        <v>0.95359027094697302</v>
      </c>
      <c r="AL327" s="26">
        <v>0.95342393659835301</v>
      </c>
      <c r="AM327" s="25">
        <v>0.99</v>
      </c>
      <c r="AN327" s="30">
        <v>1</v>
      </c>
      <c r="AO327" s="30">
        <v>1</v>
      </c>
      <c r="AP327" s="30">
        <v>1</v>
      </c>
      <c r="AQ327" s="30">
        <v>1</v>
      </c>
      <c r="AR327" s="50">
        <v>7.3985255698344701E-2</v>
      </c>
      <c r="AS327" s="34">
        <v>5.4945054945054903E-2</v>
      </c>
      <c r="AT327" s="34">
        <v>4.3010752688171998E-2</v>
      </c>
      <c r="AU327" s="34">
        <v>4.6511627906976702E-2</v>
      </c>
      <c r="AV327" s="34">
        <v>0.05</v>
      </c>
      <c r="AW327" s="10"/>
      <c r="AX327" s="8"/>
    </row>
    <row r="328" spans="1:50">
      <c r="A328" s="7"/>
      <c r="B328" s="10"/>
      <c r="C328" s="54" t="s">
        <v>372</v>
      </c>
      <c r="D328" s="23" t="s">
        <v>17</v>
      </c>
      <c r="E328" s="61" t="s">
        <v>374</v>
      </c>
      <c r="F328" s="61" t="s">
        <v>374</v>
      </c>
      <c r="G328" s="61" t="s">
        <v>374</v>
      </c>
      <c r="H328" s="61" t="s">
        <v>374</v>
      </c>
      <c r="I328" s="25">
        <v>0.9</v>
      </c>
      <c r="J328" s="26">
        <v>0</v>
      </c>
      <c r="K328" s="26">
        <v>0</v>
      </c>
      <c r="L328" s="27">
        <v>0</v>
      </c>
      <c r="M328" s="26">
        <v>0</v>
      </c>
      <c r="N328" s="28">
        <v>0.9</v>
      </c>
      <c r="O328" s="26">
        <v>0</v>
      </c>
      <c r="P328" s="26">
        <v>0</v>
      </c>
      <c r="Q328" s="26">
        <v>0</v>
      </c>
      <c r="R328" s="26">
        <v>0</v>
      </c>
      <c r="S328" s="28">
        <v>0.9</v>
      </c>
      <c r="T328" s="26">
        <v>0</v>
      </c>
      <c r="U328" s="26">
        <v>0</v>
      </c>
      <c r="V328" s="26">
        <v>0</v>
      </c>
      <c r="W328" s="26">
        <v>0</v>
      </c>
      <c r="X328" s="28">
        <v>0.92</v>
      </c>
      <c r="Y328" s="28">
        <v>0</v>
      </c>
      <c r="Z328" s="28">
        <v>0</v>
      </c>
      <c r="AA328" s="28">
        <v>0</v>
      </c>
      <c r="AB328" s="28">
        <v>1</v>
      </c>
      <c r="AC328" s="28">
        <v>0.92</v>
      </c>
      <c r="AD328" s="26">
        <v>0.99556987515102702</v>
      </c>
      <c r="AE328" s="26">
        <v>0.85904947916666696</v>
      </c>
      <c r="AF328" s="26">
        <v>0.92833723653395805</v>
      </c>
      <c r="AG328" s="26">
        <v>0.92431098313451299</v>
      </c>
      <c r="AH328" s="28">
        <v>0.92</v>
      </c>
      <c r="AI328" s="26">
        <v>0</v>
      </c>
      <c r="AJ328" s="26">
        <v>0</v>
      </c>
      <c r="AK328" s="26">
        <v>0</v>
      </c>
      <c r="AL328" s="26">
        <v>1</v>
      </c>
      <c r="AM328" s="25">
        <v>0.99</v>
      </c>
      <c r="AN328" s="30">
        <v>1</v>
      </c>
      <c r="AO328" s="30">
        <v>1</v>
      </c>
      <c r="AP328" s="30">
        <v>1</v>
      </c>
      <c r="AQ328" s="30">
        <v>1</v>
      </c>
      <c r="AR328" s="50">
        <v>7.3985255698344701E-2</v>
      </c>
      <c r="AS328" s="34">
        <v>0</v>
      </c>
      <c r="AT328" s="34">
        <v>0</v>
      </c>
      <c r="AU328" s="34">
        <v>0</v>
      </c>
      <c r="AV328" s="34">
        <v>0</v>
      </c>
      <c r="AW328" s="10"/>
      <c r="AX328" s="8"/>
    </row>
    <row r="329" spans="1:50">
      <c r="A329" s="7"/>
      <c r="B329" s="10"/>
      <c r="C329" s="54" t="s">
        <v>372</v>
      </c>
      <c r="D329" s="23" t="s">
        <v>17</v>
      </c>
      <c r="E329" s="61" t="s">
        <v>375</v>
      </c>
      <c r="F329" s="61" t="s">
        <v>375</v>
      </c>
      <c r="G329" s="61" t="s">
        <v>375</v>
      </c>
      <c r="H329" s="61" t="s">
        <v>375</v>
      </c>
      <c r="I329" s="25">
        <v>0.9</v>
      </c>
      <c r="J329" s="26">
        <v>0.91452991452991494</v>
      </c>
      <c r="K329" s="26">
        <v>0.88333333333333297</v>
      </c>
      <c r="L329" s="27">
        <v>0.89908256880733906</v>
      </c>
      <c r="M329" s="26">
        <v>0.89465408805031399</v>
      </c>
      <c r="N329" s="28">
        <v>0.9</v>
      </c>
      <c r="O329" s="26">
        <v>0.94227975168405798</v>
      </c>
      <c r="P329" s="26">
        <v>0.91682738669238195</v>
      </c>
      <c r="Q329" s="26">
        <v>0.93133129303748996</v>
      </c>
      <c r="R329" s="26">
        <v>0.91729209691230496</v>
      </c>
      <c r="S329" s="28">
        <v>0.9</v>
      </c>
      <c r="T329" s="26">
        <v>0.86884163254523805</v>
      </c>
      <c r="U329" s="26">
        <v>0.85040983606557397</v>
      </c>
      <c r="V329" s="26">
        <v>0.86094108645753598</v>
      </c>
      <c r="W329" s="26">
        <v>0.85299450964589696</v>
      </c>
      <c r="X329" s="28">
        <v>0.92</v>
      </c>
      <c r="Y329" s="28">
        <v>0.94365615098498401</v>
      </c>
      <c r="Z329" s="28">
        <v>0.94889452700253696</v>
      </c>
      <c r="AA329" s="28">
        <v>0.93141514973576001</v>
      </c>
      <c r="AB329" s="28">
        <v>0.93447843530591801</v>
      </c>
      <c r="AC329" s="28">
        <v>0.92</v>
      </c>
      <c r="AD329" s="26">
        <v>0.99519499385406196</v>
      </c>
      <c r="AE329" s="26">
        <v>0.99426369863013697</v>
      </c>
      <c r="AF329" s="26">
        <v>0.99345473397705897</v>
      </c>
      <c r="AG329" s="26">
        <v>0.99173851162334203</v>
      </c>
      <c r="AH329" s="28">
        <v>0.92</v>
      </c>
      <c r="AI329" s="26">
        <v>0.95641353332884904</v>
      </c>
      <c r="AJ329" s="26">
        <v>0.95793153326904501</v>
      </c>
      <c r="AK329" s="26">
        <v>0.94357298474945495</v>
      </c>
      <c r="AL329" s="26">
        <v>0.94892789968652003</v>
      </c>
      <c r="AM329" s="25">
        <v>0.99</v>
      </c>
      <c r="AN329" s="30">
        <v>1</v>
      </c>
      <c r="AO329" s="30">
        <v>1</v>
      </c>
      <c r="AP329" s="30">
        <v>1</v>
      </c>
      <c r="AQ329" s="30">
        <v>1</v>
      </c>
      <c r="AR329" s="50">
        <v>7.3985255698344701E-2</v>
      </c>
      <c r="AS329" s="34">
        <v>1.5384615384615399E-2</v>
      </c>
      <c r="AT329" s="34">
        <v>8.0357142857142905E-2</v>
      </c>
      <c r="AU329" s="34">
        <v>6.3636363636363602E-2</v>
      </c>
      <c r="AV329" s="34">
        <v>4.8742138364779898E-2</v>
      </c>
      <c r="AW329" s="10"/>
      <c r="AX329" s="8"/>
    </row>
    <row r="330" spans="1:50">
      <c r="A330" s="7"/>
      <c r="B330" s="10"/>
      <c r="C330" s="54" t="s">
        <v>372</v>
      </c>
      <c r="D330" s="23" t="s">
        <v>17</v>
      </c>
      <c r="E330" s="61" t="s">
        <v>376</v>
      </c>
      <c r="F330" s="61" t="s">
        <v>376</v>
      </c>
      <c r="G330" s="61" t="s">
        <v>376</v>
      </c>
      <c r="H330" s="61" t="s">
        <v>376</v>
      </c>
      <c r="I330" s="25">
        <v>0.9</v>
      </c>
      <c r="J330" s="26">
        <v>0</v>
      </c>
      <c r="K330" s="26">
        <v>0</v>
      </c>
      <c r="L330" s="27">
        <v>0</v>
      </c>
      <c r="M330" s="26">
        <v>0</v>
      </c>
      <c r="N330" s="28">
        <v>0.9</v>
      </c>
      <c r="O330" s="26">
        <v>0</v>
      </c>
      <c r="P330" s="26">
        <v>0</v>
      </c>
      <c r="Q330" s="26">
        <v>0</v>
      </c>
      <c r="R330" s="26">
        <v>0</v>
      </c>
      <c r="S330" s="28">
        <v>0.9</v>
      </c>
      <c r="T330" s="26">
        <v>0</v>
      </c>
      <c r="U330" s="26">
        <v>0</v>
      </c>
      <c r="V330" s="26">
        <v>0</v>
      </c>
      <c r="W330" s="26">
        <v>0</v>
      </c>
      <c r="X330" s="28">
        <v>0.92</v>
      </c>
      <c r="Y330" s="28">
        <v>0</v>
      </c>
      <c r="Z330" s="28">
        <v>0</v>
      </c>
      <c r="AA330" s="28">
        <v>0</v>
      </c>
      <c r="AB330" s="28">
        <v>0</v>
      </c>
      <c r="AC330" s="28">
        <v>0.92</v>
      </c>
      <c r="AD330" s="26">
        <v>1</v>
      </c>
      <c r="AE330" s="26">
        <v>0.99541284403669705</v>
      </c>
      <c r="AF330" s="26">
        <v>1</v>
      </c>
      <c r="AG330" s="26">
        <v>0.99761620977354004</v>
      </c>
      <c r="AH330" s="28">
        <v>0.92</v>
      </c>
      <c r="AI330" s="26">
        <v>0</v>
      </c>
      <c r="AJ330" s="26">
        <v>0</v>
      </c>
      <c r="AK330" s="26">
        <v>0</v>
      </c>
      <c r="AL330" s="26">
        <v>0</v>
      </c>
      <c r="AM330" s="25">
        <v>0.99</v>
      </c>
      <c r="AN330" s="30">
        <v>1</v>
      </c>
      <c r="AO330" s="30">
        <v>1</v>
      </c>
      <c r="AP330" s="30">
        <v>1</v>
      </c>
      <c r="AQ330" s="30">
        <v>1</v>
      </c>
      <c r="AR330" s="50">
        <v>7.3985255698344701E-2</v>
      </c>
      <c r="AS330" s="34">
        <v>0</v>
      </c>
      <c r="AT330" s="34">
        <v>0</v>
      </c>
      <c r="AU330" s="34">
        <v>0</v>
      </c>
      <c r="AV330" s="34">
        <v>0</v>
      </c>
      <c r="AW330" s="10"/>
      <c r="AX330" s="8"/>
    </row>
    <row r="331" spans="1:50">
      <c r="A331" s="7"/>
      <c r="B331" s="10"/>
      <c r="C331" s="54" t="s">
        <v>372</v>
      </c>
      <c r="D331" s="23" t="s">
        <v>17</v>
      </c>
      <c r="E331" s="61" t="s">
        <v>377</v>
      </c>
      <c r="F331" s="61" t="s">
        <v>377</v>
      </c>
      <c r="G331" s="61" t="s">
        <v>377</v>
      </c>
      <c r="H331" s="61" t="s">
        <v>377</v>
      </c>
      <c r="I331" s="25">
        <v>0.9</v>
      </c>
      <c r="J331" s="26">
        <v>0.94897959183673497</v>
      </c>
      <c r="K331" s="26">
        <v>0.96</v>
      </c>
      <c r="L331" s="27">
        <v>0.97590361445783103</v>
      </c>
      <c r="M331" s="26">
        <v>0.94083969465648898</v>
      </c>
      <c r="N331" s="28">
        <v>0.9</v>
      </c>
      <c r="O331" s="26">
        <v>0.93971363978899802</v>
      </c>
      <c r="P331" s="26">
        <v>0.957018927444795</v>
      </c>
      <c r="Q331" s="26">
        <v>0.96042039355992803</v>
      </c>
      <c r="R331" s="26">
        <v>0.94660249799472895</v>
      </c>
      <c r="S331" s="28">
        <v>0.9</v>
      </c>
      <c r="T331" s="26">
        <v>0.91891484551620195</v>
      </c>
      <c r="U331" s="26">
        <v>0.92770767613038896</v>
      </c>
      <c r="V331" s="26">
        <v>0.93023255813953498</v>
      </c>
      <c r="W331" s="26">
        <v>0.91847141056491299</v>
      </c>
      <c r="X331" s="28">
        <v>0.92</v>
      </c>
      <c r="Y331" s="28">
        <v>0.94922656960873497</v>
      </c>
      <c r="Z331" s="28">
        <v>0.95022624434389102</v>
      </c>
      <c r="AA331" s="28">
        <v>0.94021084337349403</v>
      </c>
      <c r="AB331" s="28">
        <v>0.94063666856528105</v>
      </c>
      <c r="AC331" s="28">
        <v>0.92</v>
      </c>
      <c r="AD331" s="26">
        <v>0.98090116818097495</v>
      </c>
      <c r="AE331" s="26">
        <v>0.96346121906659998</v>
      </c>
      <c r="AF331" s="26">
        <v>0.91378799110452202</v>
      </c>
      <c r="AG331" s="26">
        <v>0.95872911421377904</v>
      </c>
      <c r="AH331" s="28">
        <v>0.92</v>
      </c>
      <c r="AI331" s="26">
        <v>0.961165048543689</v>
      </c>
      <c r="AJ331" s="26">
        <v>0.96577120011222595</v>
      </c>
      <c r="AK331" s="26">
        <v>0.95436169257029901</v>
      </c>
      <c r="AL331" s="26">
        <v>0.95773612090831295</v>
      </c>
      <c r="AM331" s="25">
        <v>0.99</v>
      </c>
      <c r="AN331" s="30">
        <v>1</v>
      </c>
      <c r="AO331" s="30">
        <v>1</v>
      </c>
      <c r="AP331" s="30">
        <v>1</v>
      </c>
      <c r="AQ331" s="30">
        <v>0.99831365935919103</v>
      </c>
      <c r="AR331" s="50">
        <v>7.3985255698344701E-2</v>
      </c>
      <c r="AS331" s="34">
        <v>7.9365079365079402E-2</v>
      </c>
      <c r="AT331" s="34">
        <v>7.8431372549019607E-2</v>
      </c>
      <c r="AU331" s="34">
        <v>2.0833333333333301E-2</v>
      </c>
      <c r="AV331" s="34">
        <v>5.1903114186851201E-2</v>
      </c>
      <c r="AW331" s="10"/>
      <c r="AX331" s="8"/>
    </row>
    <row r="332" spans="1:50">
      <c r="A332" s="7"/>
      <c r="B332" s="10"/>
      <c r="C332" s="54" t="s">
        <v>372</v>
      </c>
      <c r="D332" s="23" t="s">
        <v>17</v>
      </c>
      <c r="E332" s="61" t="s">
        <v>378</v>
      </c>
      <c r="F332" s="61" t="s">
        <v>378</v>
      </c>
      <c r="G332" s="61" t="s">
        <v>378</v>
      </c>
      <c r="H332" s="61" t="s">
        <v>378</v>
      </c>
      <c r="I332" s="25">
        <v>0.9</v>
      </c>
      <c r="J332" s="26">
        <v>0.95454545454545503</v>
      </c>
      <c r="K332" s="26">
        <v>1</v>
      </c>
      <c r="L332" s="27">
        <v>0.93333333333333302</v>
      </c>
      <c r="M332" s="26">
        <v>0.95634920634920595</v>
      </c>
      <c r="N332" s="28">
        <v>0.9</v>
      </c>
      <c r="O332" s="26">
        <v>0.93025540275049101</v>
      </c>
      <c r="P332" s="26">
        <v>0.95408938887199801</v>
      </c>
      <c r="Q332" s="26">
        <v>0.94692239072256901</v>
      </c>
      <c r="R332" s="26">
        <v>0.93484419263456098</v>
      </c>
      <c r="S332" s="28">
        <v>0.9</v>
      </c>
      <c r="T332" s="26">
        <v>0.90537000654878896</v>
      </c>
      <c r="U332" s="26">
        <v>0.92794162359379795</v>
      </c>
      <c r="V332" s="26">
        <v>0.93086529884032099</v>
      </c>
      <c r="W332" s="26">
        <v>0.91710801822884602</v>
      </c>
      <c r="X332" s="28">
        <v>0.92</v>
      </c>
      <c r="Y332" s="28">
        <v>0.94811632518175804</v>
      </c>
      <c r="Z332" s="28">
        <v>0.97247972190034804</v>
      </c>
      <c r="AA332" s="28">
        <v>0.96615720524017501</v>
      </c>
      <c r="AB332" s="28">
        <v>0.96632248769360096</v>
      </c>
      <c r="AC332" s="28">
        <v>0.92</v>
      </c>
      <c r="AD332" s="26">
        <v>0.99388201019665001</v>
      </c>
      <c r="AE332" s="26">
        <v>0.97391304347826102</v>
      </c>
      <c r="AF332" s="26">
        <v>0.95435633871757197</v>
      </c>
      <c r="AG332" s="26">
        <v>0.97874952776728397</v>
      </c>
      <c r="AH332" s="28">
        <v>0.92</v>
      </c>
      <c r="AI332" s="26">
        <v>0.96045939294503702</v>
      </c>
      <c r="AJ332" s="26">
        <v>0.97688888888888903</v>
      </c>
      <c r="AK332" s="26">
        <v>0.97193575655114095</v>
      </c>
      <c r="AL332" s="26">
        <v>0.97330421065404704</v>
      </c>
      <c r="AM332" s="25">
        <v>0.99</v>
      </c>
      <c r="AN332" s="30">
        <v>1</v>
      </c>
      <c r="AO332" s="30">
        <v>1</v>
      </c>
      <c r="AP332" s="30">
        <v>1</v>
      </c>
      <c r="AQ332" s="30">
        <v>1</v>
      </c>
      <c r="AR332" s="50">
        <v>7.3985255698344701E-2</v>
      </c>
      <c r="AS332" s="34">
        <v>2.27272727272727E-2</v>
      </c>
      <c r="AT332" s="34">
        <v>-2.4390243902439001E-2</v>
      </c>
      <c r="AU332" s="34">
        <v>2.0833333333333301E-2</v>
      </c>
      <c r="AV332" s="34">
        <v>1.2987012987013E-2</v>
      </c>
      <c r="AW332" s="10"/>
      <c r="AX332" s="8"/>
    </row>
    <row r="333" spans="1:50">
      <c r="A333" s="7"/>
      <c r="B333" s="10"/>
      <c r="C333" s="54" t="s">
        <v>372</v>
      </c>
      <c r="D333" s="23" t="s">
        <v>17</v>
      </c>
      <c r="E333" s="61" t="s">
        <v>379</v>
      </c>
      <c r="F333" s="61" t="s">
        <v>379</v>
      </c>
      <c r="G333" s="61" t="s">
        <v>379</v>
      </c>
      <c r="H333" s="61" t="s">
        <v>379</v>
      </c>
      <c r="I333" s="25">
        <v>0.9</v>
      </c>
      <c r="J333" s="26">
        <v>0.97674418604651203</v>
      </c>
      <c r="K333" s="26">
        <v>0.95121951219512202</v>
      </c>
      <c r="L333" s="27">
        <v>0.91891891891891897</v>
      </c>
      <c r="M333" s="26">
        <v>0.93693693693693703</v>
      </c>
      <c r="N333" s="28">
        <v>0.9</v>
      </c>
      <c r="O333" s="26">
        <v>0.95421511627906996</v>
      </c>
      <c r="P333" s="26">
        <v>0.96080436264485303</v>
      </c>
      <c r="Q333" s="26">
        <v>0.96031746031746001</v>
      </c>
      <c r="R333" s="26">
        <v>0.95729979962689105</v>
      </c>
      <c r="S333" s="28">
        <v>0.9</v>
      </c>
      <c r="T333" s="26">
        <v>0.92550872093023295</v>
      </c>
      <c r="U333" s="26">
        <v>0.92535787321063401</v>
      </c>
      <c r="V333" s="26">
        <v>0.92910052910052898</v>
      </c>
      <c r="W333" s="26">
        <v>0.92309818282318801</v>
      </c>
      <c r="X333" s="28">
        <v>0.92</v>
      </c>
      <c r="Y333" s="28">
        <v>0.96119861698040698</v>
      </c>
      <c r="Z333" s="28">
        <v>0.96625670135603903</v>
      </c>
      <c r="AA333" s="28">
        <v>0.96316262353998205</v>
      </c>
      <c r="AB333" s="28">
        <v>0.96087533156498695</v>
      </c>
      <c r="AC333" s="28">
        <v>0.92</v>
      </c>
      <c r="AD333" s="26">
        <v>0.99532710280373804</v>
      </c>
      <c r="AE333" s="26">
        <v>0.99784250269687202</v>
      </c>
      <c r="AF333" s="26">
        <v>1</v>
      </c>
      <c r="AG333" s="26">
        <v>0.99714081486776296</v>
      </c>
      <c r="AH333" s="28">
        <v>0.92</v>
      </c>
      <c r="AI333" s="26">
        <v>0.96518339229193795</v>
      </c>
      <c r="AJ333" s="26">
        <v>0.97269903547490599</v>
      </c>
      <c r="AK333" s="26">
        <v>0.96851145038167896</v>
      </c>
      <c r="AL333" s="26">
        <v>0.96920375498075195</v>
      </c>
      <c r="AM333" s="25">
        <v>0.99</v>
      </c>
      <c r="AN333" s="30">
        <v>1</v>
      </c>
      <c r="AO333" s="30">
        <v>1</v>
      </c>
      <c r="AP333" s="30">
        <v>1</v>
      </c>
      <c r="AQ333" s="30">
        <v>1</v>
      </c>
      <c r="AR333" s="50">
        <v>7.3985255698344701E-2</v>
      </c>
      <c r="AS333" s="34">
        <v>6.3492063492063502E-2</v>
      </c>
      <c r="AT333" s="34">
        <v>6.1224489795918401E-2</v>
      </c>
      <c r="AU333" s="34">
        <v>6.25E-2</v>
      </c>
      <c r="AV333" s="34">
        <v>6.18181818181818E-2</v>
      </c>
      <c r="AW333" s="10"/>
      <c r="AX333" s="8"/>
    </row>
    <row r="334" spans="1:50">
      <c r="A334" s="7"/>
      <c r="B334" s="10"/>
      <c r="C334" s="54" t="s">
        <v>372</v>
      </c>
      <c r="D334" s="23" t="s">
        <v>17</v>
      </c>
      <c r="E334" s="61" t="s">
        <v>380</v>
      </c>
      <c r="F334" s="61" t="s">
        <v>380</v>
      </c>
      <c r="G334" s="61" t="s">
        <v>380</v>
      </c>
      <c r="H334" s="61" t="s">
        <v>380</v>
      </c>
      <c r="I334" s="25">
        <v>0.9</v>
      </c>
      <c r="J334" s="26">
        <v>0.91935483870967705</v>
      </c>
      <c r="K334" s="26">
        <v>0.90163934426229497</v>
      </c>
      <c r="L334" s="27">
        <v>0.94642857142857095</v>
      </c>
      <c r="M334" s="26">
        <v>0.896755162241888</v>
      </c>
      <c r="N334" s="28">
        <v>0.9</v>
      </c>
      <c r="O334" s="26">
        <v>0.95935369856096897</v>
      </c>
      <c r="P334" s="26">
        <v>0.973987108655617</v>
      </c>
      <c r="Q334" s="26">
        <v>0.96330887258172104</v>
      </c>
      <c r="R334" s="26">
        <v>0.97142181215992396</v>
      </c>
      <c r="S334" s="28">
        <v>0.9</v>
      </c>
      <c r="T334" s="26">
        <v>0.90254986114617497</v>
      </c>
      <c r="U334" s="26">
        <v>0.91390423572743995</v>
      </c>
      <c r="V334" s="26">
        <v>0.91094062708472301</v>
      </c>
      <c r="W334" s="26">
        <v>0.90868228057724199</v>
      </c>
      <c r="X334" s="28">
        <v>0.92</v>
      </c>
      <c r="Y334" s="28">
        <v>0.94971098265896003</v>
      </c>
      <c r="Z334" s="28">
        <v>0.96076577641219596</v>
      </c>
      <c r="AA334" s="28">
        <v>0.95814479638009098</v>
      </c>
      <c r="AB334" s="28">
        <v>0.95486162498150096</v>
      </c>
      <c r="AC334" s="28">
        <v>0.92</v>
      </c>
      <c r="AD334" s="26">
        <v>0.991911021233569</v>
      </c>
      <c r="AE334" s="26">
        <v>0.99501329787234005</v>
      </c>
      <c r="AF334" s="26">
        <v>0.98393676695563503</v>
      </c>
      <c r="AG334" s="26">
        <v>0.98787844297746397</v>
      </c>
      <c r="AH334" s="28">
        <v>0.92</v>
      </c>
      <c r="AI334" s="26">
        <v>0.95957018132975103</v>
      </c>
      <c r="AJ334" s="26">
        <v>0.96902294165599201</v>
      </c>
      <c r="AK334" s="26">
        <v>0.96525252525252503</v>
      </c>
      <c r="AL334" s="26">
        <v>0.96398524696863797</v>
      </c>
      <c r="AM334" s="25">
        <v>0.99</v>
      </c>
      <c r="AN334" s="30">
        <v>1</v>
      </c>
      <c r="AO334" s="30">
        <v>1</v>
      </c>
      <c r="AP334" s="30">
        <v>1</v>
      </c>
      <c r="AQ334" s="30">
        <v>1</v>
      </c>
      <c r="AR334" s="50">
        <v>7.3985255698344701E-2</v>
      </c>
      <c r="AS334" s="34">
        <v>0</v>
      </c>
      <c r="AT334" s="34">
        <v>9.6153846153846201E-2</v>
      </c>
      <c r="AU334" s="34">
        <v>5.7692307692307702E-2</v>
      </c>
      <c r="AV334" s="34">
        <v>3.5971223021582698E-2</v>
      </c>
      <c r="AW334" s="10"/>
      <c r="AX334" s="8"/>
    </row>
    <row r="335" spans="1:50">
      <c r="A335" s="7"/>
      <c r="B335" s="10"/>
      <c r="C335" s="54" t="s">
        <v>372</v>
      </c>
      <c r="D335" s="23" t="s">
        <v>17</v>
      </c>
      <c r="E335" s="61" t="s">
        <v>381</v>
      </c>
      <c r="F335" s="61" t="s">
        <v>381</v>
      </c>
      <c r="G335" s="61" t="s">
        <v>381</v>
      </c>
      <c r="H335" s="61" t="s">
        <v>381</v>
      </c>
      <c r="I335" s="25">
        <v>0.9</v>
      </c>
      <c r="J335" s="26">
        <v>0.90909090909090895</v>
      </c>
      <c r="K335" s="26">
        <v>0.96629213483146104</v>
      </c>
      <c r="L335" s="27">
        <v>0.97499999999999998</v>
      </c>
      <c r="M335" s="26">
        <v>0.93429158110883004</v>
      </c>
      <c r="N335" s="28">
        <v>0.9</v>
      </c>
      <c r="O335" s="26">
        <v>0.98058093994778095</v>
      </c>
      <c r="P335" s="26">
        <v>0.97612932467140101</v>
      </c>
      <c r="Q335" s="26">
        <v>0.97709602857743205</v>
      </c>
      <c r="R335" s="26">
        <v>0.97445335163292701</v>
      </c>
      <c r="S335" s="28">
        <v>0.9</v>
      </c>
      <c r="T335" s="26">
        <v>0.91285900783289797</v>
      </c>
      <c r="U335" s="26">
        <v>0.91343103187792696</v>
      </c>
      <c r="V335" s="26">
        <v>0.92393359949569198</v>
      </c>
      <c r="W335" s="26">
        <v>0.91799494681680605</v>
      </c>
      <c r="X335" s="28">
        <v>0.92</v>
      </c>
      <c r="Y335" s="28">
        <v>0.96050978280380495</v>
      </c>
      <c r="Z335" s="28">
        <v>0.96841643515133802</v>
      </c>
      <c r="AA335" s="28">
        <v>0.96583982990786699</v>
      </c>
      <c r="AB335" s="28">
        <v>0.963748481734093</v>
      </c>
      <c r="AC335" s="28">
        <v>0.92</v>
      </c>
      <c r="AD335" s="26">
        <v>0.98608252474762303</v>
      </c>
      <c r="AE335" s="26">
        <v>0.97392909328616495</v>
      </c>
      <c r="AF335" s="26">
        <v>0.94964584674822905</v>
      </c>
      <c r="AG335" s="26">
        <v>0.94958345923080201</v>
      </c>
      <c r="AH335" s="28">
        <v>0.92</v>
      </c>
      <c r="AI335" s="26">
        <v>0.96835281071398105</v>
      </c>
      <c r="AJ335" s="26">
        <v>0.97372717826925903</v>
      </c>
      <c r="AK335" s="26">
        <v>0.97166779431664396</v>
      </c>
      <c r="AL335" s="26">
        <v>0.97174376448987798</v>
      </c>
      <c r="AM335" s="25">
        <v>0.99</v>
      </c>
      <c r="AN335" s="30">
        <v>1</v>
      </c>
      <c r="AO335" s="30">
        <v>1</v>
      </c>
      <c r="AP335" s="30">
        <v>1</v>
      </c>
      <c r="AQ335" s="30">
        <v>1</v>
      </c>
      <c r="AR335" s="50">
        <v>7.3985255698344701E-2</v>
      </c>
      <c r="AS335" s="34">
        <v>3.2786885245901599E-2</v>
      </c>
      <c r="AT335" s="34">
        <v>1.5625E-2</v>
      </c>
      <c r="AU335" s="34">
        <v>6.15384615384615E-2</v>
      </c>
      <c r="AV335" s="34">
        <v>2.5069637883008401E-2</v>
      </c>
      <c r="AW335" s="10"/>
      <c r="AX335" s="8"/>
    </row>
    <row r="336" spans="1:50">
      <c r="A336" s="7"/>
      <c r="B336" s="10"/>
      <c r="C336" s="54" t="s">
        <v>372</v>
      </c>
      <c r="D336" s="23" t="s">
        <v>17</v>
      </c>
      <c r="E336" s="61" t="s">
        <v>382</v>
      </c>
      <c r="F336" s="61" t="s">
        <v>382</v>
      </c>
      <c r="G336" s="61" t="s">
        <v>382</v>
      </c>
      <c r="H336" s="61" t="s">
        <v>382</v>
      </c>
      <c r="I336" s="25">
        <v>0.9</v>
      </c>
      <c r="J336" s="26">
        <v>0</v>
      </c>
      <c r="K336" s="26">
        <v>0</v>
      </c>
      <c r="L336" s="27">
        <v>0</v>
      </c>
      <c r="M336" s="26">
        <v>0</v>
      </c>
      <c r="N336" s="28">
        <v>0.9</v>
      </c>
      <c r="O336" s="26">
        <v>0</v>
      </c>
      <c r="P336" s="26">
        <v>0</v>
      </c>
      <c r="Q336" s="26">
        <v>0</v>
      </c>
      <c r="R336" s="26">
        <v>0</v>
      </c>
      <c r="S336" s="28">
        <v>0.9</v>
      </c>
      <c r="T336" s="26">
        <v>0</v>
      </c>
      <c r="U336" s="26">
        <v>0</v>
      </c>
      <c r="V336" s="26">
        <v>0</v>
      </c>
      <c r="W336" s="26">
        <v>0</v>
      </c>
      <c r="X336" s="28">
        <v>0.92</v>
      </c>
      <c r="Y336" s="28">
        <v>0</v>
      </c>
      <c r="Z336" s="28">
        <v>0</v>
      </c>
      <c r="AA336" s="28">
        <v>0</v>
      </c>
      <c r="AB336" s="28">
        <v>0</v>
      </c>
      <c r="AC336" s="28">
        <v>0.92</v>
      </c>
      <c r="AD336" s="26">
        <v>1</v>
      </c>
      <c r="AE336" s="26">
        <v>0.99861878453038699</v>
      </c>
      <c r="AF336" s="26">
        <v>1</v>
      </c>
      <c r="AG336" s="26">
        <v>0.99959766646549997</v>
      </c>
      <c r="AH336" s="28">
        <v>0.92</v>
      </c>
      <c r="AI336" s="26">
        <v>0</v>
      </c>
      <c r="AJ336" s="26">
        <v>0</v>
      </c>
      <c r="AK336" s="26">
        <v>0</v>
      </c>
      <c r="AL336" s="26">
        <v>0</v>
      </c>
      <c r="AM336" s="25">
        <v>0.99</v>
      </c>
      <c r="AN336" s="30">
        <v>0</v>
      </c>
      <c r="AO336" s="30">
        <v>1</v>
      </c>
      <c r="AP336" s="30">
        <v>0</v>
      </c>
      <c r="AQ336" s="30">
        <v>1</v>
      </c>
      <c r="AR336" s="50">
        <v>7.3985255698344701E-2</v>
      </c>
      <c r="AS336" s="34">
        <v>0</v>
      </c>
      <c r="AT336" s="34">
        <v>0</v>
      </c>
      <c r="AU336" s="34">
        <v>0</v>
      </c>
      <c r="AV336" s="34">
        <v>0</v>
      </c>
      <c r="AW336" s="10"/>
      <c r="AX336" s="8"/>
    </row>
    <row r="337" spans="1:50">
      <c r="A337" s="7"/>
      <c r="B337" s="10"/>
      <c r="C337" s="54" t="s">
        <v>372</v>
      </c>
      <c r="D337" s="23" t="s">
        <v>17</v>
      </c>
      <c r="E337" s="61" t="s">
        <v>383</v>
      </c>
      <c r="F337" s="61" t="s">
        <v>383</v>
      </c>
      <c r="G337" s="61" t="s">
        <v>383</v>
      </c>
      <c r="H337" s="61" t="s">
        <v>383</v>
      </c>
      <c r="I337" s="25">
        <v>0.9</v>
      </c>
      <c r="J337" s="26">
        <v>0.934782608695652</v>
      </c>
      <c r="K337" s="26">
        <v>0.931506849315068</v>
      </c>
      <c r="L337" s="27">
        <v>0.92647058823529405</v>
      </c>
      <c r="M337" s="26">
        <v>0.90862944162436499</v>
      </c>
      <c r="N337" s="28">
        <v>0.9</v>
      </c>
      <c r="O337" s="26">
        <v>0.94930727096982104</v>
      </c>
      <c r="P337" s="26">
        <v>0.956216994719155</v>
      </c>
      <c r="Q337" s="26">
        <v>0.969401947148818</v>
      </c>
      <c r="R337" s="26">
        <v>0.95053988846260296</v>
      </c>
      <c r="S337" s="28">
        <v>0.9</v>
      </c>
      <c r="T337" s="26">
        <v>0.91794651487487899</v>
      </c>
      <c r="U337" s="26">
        <v>0.91569851176188199</v>
      </c>
      <c r="V337" s="26">
        <v>0.92698191933240603</v>
      </c>
      <c r="W337" s="26">
        <v>0.91597120594866099</v>
      </c>
      <c r="X337" s="28">
        <v>0.92</v>
      </c>
      <c r="Y337" s="28">
        <v>0.95447570332480802</v>
      </c>
      <c r="Z337" s="28">
        <v>0.95397311553513697</v>
      </c>
      <c r="AA337" s="28">
        <v>0.95287125397622596</v>
      </c>
      <c r="AB337" s="28">
        <v>0.949052528055356</v>
      </c>
      <c r="AC337" s="28">
        <v>0.92</v>
      </c>
      <c r="AD337" s="26">
        <v>0.98491457651763004</v>
      </c>
      <c r="AE337" s="26">
        <v>0.98304779080252502</v>
      </c>
      <c r="AF337" s="26">
        <v>0.98911845730027503</v>
      </c>
      <c r="AG337" s="26">
        <v>0.98120452708164896</v>
      </c>
      <c r="AH337" s="28">
        <v>0.92</v>
      </c>
      <c r="AI337" s="26">
        <v>0.96417738730258296</v>
      </c>
      <c r="AJ337" s="26">
        <v>0.96783204180933502</v>
      </c>
      <c r="AK337" s="26">
        <v>0.96398790910985999</v>
      </c>
      <c r="AL337" s="26">
        <v>0.96267756011512395</v>
      </c>
      <c r="AM337" s="25">
        <v>0.99</v>
      </c>
      <c r="AN337" s="30">
        <v>1</v>
      </c>
      <c r="AO337" s="30">
        <v>1</v>
      </c>
      <c r="AP337" s="30">
        <v>1</v>
      </c>
      <c r="AQ337" s="30">
        <v>1</v>
      </c>
      <c r="AR337" s="50">
        <v>7.3985255698344701E-2</v>
      </c>
      <c r="AS337" s="34">
        <v>1.3333333333333299E-2</v>
      </c>
      <c r="AT337" s="34">
        <v>4.4444444444444398E-2</v>
      </c>
      <c r="AU337" s="34">
        <v>8.0645161290322606E-2</v>
      </c>
      <c r="AV337" s="34">
        <v>2.83018867924528E-2</v>
      </c>
      <c r="AW337" s="10"/>
      <c r="AX337" s="8"/>
    </row>
    <row r="338" spans="1:50">
      <c r="A338" s="7"/>
      <c r="B338" s="10"/>
      <c r="C338" s="54" t="s">
        <v>372</v>
      </c>
      <c r="D338" s="23" t="s">
        <v>17</v>
      </c>
      <c r="E338" s="61" t="s">
        <v>384</v>
      </c>
      <c r="F338" s="61" t="s">
        <v>384</v>
      </c>
      <c r="G338" s="61" t="s">
        <v>384</v>
      </c>
      <c r="H338" s="61" t="s">
        <v>384</v>
      </c>
      <c r="I338" s="25">
        <v>0.9</v>
      </c>
      <c r="J338" s="26">
        <v>0.95384615384615401</v>
      </c>
      <c r="K338" s="26">
        <v>0.939393939393939</v>
      </c>
      <c r="L338" s="27">
        <v>0.94736842105263197</v>
      </c>
      <c r="M338" s="26">
        <v>0.95555555555555605</v>
      </c>
      <c r="N338" s="28">
        <v>0.9</v>
      </c>
      <c r="O338" s="26">
        <v>0.95848469122989099</v>
      </c>
      <c r="P338" s="26">
        <v>0.96433502070869803</v>
      </c>
      <c r="Q338" s="26">
        <v>0.96218631832244805</v>
      </c>
      <c r="R338" s="26">
        <v>0.95985101339912005</v>
      </c>
      <c r="S338" s="28">
        <v>0.9</v>
      </c>
      <c r="T338" s="26">
        <v>0.91800726517903497</v>
      </c>
      <c r="U338" s="26">
        <v>0.91900598251265497</v>
      </c>
      <c r="V338" s="26">
        <v>0.92952904778274303</v>
      </c>
      <c r="W338" s="26">
        <v>0.91771876360470195</v>
      </c>
      <c r="X338" s="28">
        <v>0.92</v>
      </c>
      <c r="Y338" s="28">
        <v>0.94982274338696504</v>
      </c>
      <c r="Z338" s="28">
        <v>0.96190698761392801</v>
      </c>
      <c r="AA338" s="28">
        <v>0.96418848167539295</v>
      </c>
      <c r="AB338" s="28">
        <v>0.95787045754095301</v>
      </c>
      <c r="AC338" s="28">
        <v>0.92</v>
      </c>
      <c r="AD338" s="26">
        <v>0.98894620486367002</v>
      </c>
      <c r="AE338" s="26">
        <v>0.974816369359916</v>
      </c>
      <c r="AF338" s="26">
        <v>0.98876953125</v>
      </c>
      <c r="AG338" s="26">
        <v>0.98577095550189697</v>
      </c>
      <c r="AH338" s="28">
        <v>0.92</v>
      </c>
      <c r="AI338" s="26">
        <v>0.96102346546466899</v>
      </c>
      <c r="AJ338" s="26">
        <v>0.971739634005096</v>
      </c>
      <c r="AK338" s="26">
        <v>0.97127631920977398</v>
      </c>
      <c r="AL338" s="26">
        <v>0.96691360377313595</v>
      </c>
      <c r="AM338" s="25">
        <v>0.99</v>
      </c>
      <c r="AN338" s="30">
        <v>1</v>
      </c>
      <c r="AO338" s="30">
        <v>1</v>
      </c>
      <c r="AP338" s="30">
        <v>1</v>
      </c>
      <c r="AQ338" s="30">
        <v>1</v>
      </c>
      <c r="AR338" s="50">
        <v>7.3985255698344701E-2</v>
      </c>
      <c r="AS338" s="34">
        <v>6.25E-2</v>
      </c>
      <c r="AT338" s="34">
        <v>4.4444444444444398E-2</v>
      </c>
      <c r="AU338" s="34">
        <v>3.9215686274509803E-2</v>
      </c>
      <c r="AV338" s="34">
        <v>5.9602649006622502E-2</v>
      </c>
      <c r="AW338" s="10"/>
      <c r="AX338" s="8"/>
    </row>
    <row r="339" spans="1:50">
      <c r="A339" s="7"/>
      <c r="B339" s="10"/>
      <c r="C339" s="54" t="s">
        <v>372</v>
      </c>
      <c r="D339" s="23" t="s">
        <v>17</v>
      </c>
      <c r="E339" s="61" t="s">
        <v>385</v>
      </c>
      <c r="F339" s="61" t="s">
        <v>385</v>
      </c>
      <c r="G339" s="61" t="s">
        <v>385</v>
      </c>
      <c r="H339" s="61" t="s">
        <v>385</v>
      </c>
      <c r="I339" s="25">
        <v>0.9</v>
      </c>
      <c r="J339" s="26">
        <v>0</v>
      </c>
      <c r="K339" s="26">
        <v>0</v>
      </c>
      <c r="L339" s="27">
        <v>0</v>
      </c>
      <c r="M339" s="26">
        <v>0</v>
      </c>
      <c r="N339" s="28">
        <v>0.9</v>
      </c>
      <c r="O339" s="26">
        <v>0</v>
      </c>
      <c r="P339" s="26">
        <v>0</v>
      </c>
      <c r="Q339" s="26">
        <v>0</v>
      </c>
      <c r="R339" s="26">
        <v>0</v>
      </c>
      <c r="S339" s="28">
        <v>0.9</v>
      </c>
      <c r="T339" s="26">
        <v>0</v>
      </c>
      <c r="U339" s="26">
        <v>0</v>
      </c>
      <c r="V339" s="26">
        <v>0</v>
      </c>
      <c r="W339" s="26">
        <v>0</v>
      </c>
      <c r="X339" s="28">
        <v>0.92</v>
      </c>
      <c r="Y339" s="28">
        <v>0</v>
      </c>
      <c r="Z339" s="28">
        <v>0</v>
      </c>
      <c r="AA339" s="28">
        <v>0</v>
      </c>
      <c r="AB339" s="28">
        <v>0</v>
      </c>
      <c r="AC339" s="28">
        <v>0.92</v>
      </c>
      <c r="AD339" s="26">
        <v>1</v>
      </c>
      <c r="AE339" s="26">
        <v>1</v>
      </c>
      <c r="AF339" s="26">
        <v>1</v>
      </c>
      <c r="AG339" s="26">
        <v>1</v>
      </c>
      <c r="AH339" s="28">
        <v>0.92</v>
      </c>
      <c r="AI339" s="26">
        <v>0</v>
      </c>
      <c r="AJ339" s="26">
        <v>0</v>
      </c>
      <c r="AK339" s="26">
        <v>0</v>
      </c>
      <c r="AL339" s="26">
        <v>0</v>
      </c>
      <c r="AM339" s="25">
        <v>0.99</v>
      </c>
      <c r="AN339" s="30">
        <v>1</v>
      </c>
      <c r="AO339" s="30">
        <v>0</v>
      </c>
      <c r="AP339" s="30">
        <v>0</v>
      </c>
      <c r="AQ339" s="30">
        <v>1</v>
      </c>
      <c r="AR339" s="50">
        <v>7.3985255698344701E-2</v>
      </c>
      <c r="AS339" s="34">
        <v>0</v>
      </c>
      <c r="AT339" s="34">
        <v>0</v>
      </c>
      <c r="AU339" s="34">
        <v>0</v>
      </c>
      <c r="AV339" s="34">
        <v>0</v>
      </c>
      <c r="AW339" s="10"/>
      <c r="AX339" s="8"/>
    </row>
    <row r="340" spans="1:50">
      <c r="A340" s="7"/>
      <c r="B340" s="10"/>
      <c r="C340" s="54" t="s">
        <v>372</v>
      </c>
      <c r="D340" s="23" t="s">
        <v>17</v>
      </c>
      <c r="E340" s="61" t="s">
        <v>386</v>
      </c>
      <c r="F340" s="61" t="s">
        <v>386</v>
      </c>
      <c r="G340" s="61" t="s">
        <v>386</v>
      </c>
      <c r="H340" s="61" t="s">
        <v>386</v>
      </c>
      <c r="I340" s="25">
        <v>0.9</v>
      </c>
      <c r="J340" s="26">
        <v>0.97872340425531901</v>
      </c>
      <c r="K340" s="26">
        <v>0.97029702970297005</v>
      </c>
      <c r="L340" s="27">
        <v>0.978494623655914</v>
      </c>
      <c r="M340" s="26">
        <v>0.97368421052631604</v>
      </c>
      <c r="N340" s="28">
        <v>0.9</v>
      </c>
      <c r="O340" s="26">
        <v>0.96638405473746802</v>
      </c>
      <c r="P340" s="26">
        <v>0.97139758709502499</v>
      </c>
      <c r="Q340" s="26">
        <v>0.97671259460508397</v>
      </c>
      <c r="R340" s="26">
        <v>0.97183644109998302</v>
      </c>
      <c r="S340" s="28">
        <v>0.9</v>
      </c>
      <c r="T340" s="26">
        <v>0.93470177004313504</v>
      </c>
      <c r="U340" s="26">
        <v>0.938999593330622</v>
      </c>
      <c r="V340" s="26">
        <v>0.93673588201047897</v>
      </c>
      <c r="W340" s="26">
        <v>0.93744812704033598</v>
      </c>
      <c r="X340" s="28">
        <v>0.92</v>
      </c>
      <c r="Y340" s="28">
        <v>0.96059957173447497</v>
      </c>
      <c r="Z340" s="28">
        <v>0.97215346534653502</v>
      </c>
      <c r="AA340" s="28">
        <v>0.97301275760549599</v>
      </c>
      <c r="AB340" s="28">
        <v>0.97030255382820596</v>
      </c>
      <c r="AC340" s="28">
        <v>0.92</v>
      </c>
      <c r="AD340" s="26">
        <v>0.99903892359442603</v>
      </c>
      <c r="AE340" s="26">
        <v>0.99946657183499299</v>
      </c>
      <c r="AF340" s="26">
        <v>0.99775814321508605</v>
      </c>
      <c r="AG340" s="26">
        <v>0.99878339063739796</v>
      </c>
      <c r="AH340" s="28">
        <v>0.92</v>
      </c>
      <c r="AI340" s="26">
        <v>0.96713683292133201</v>
      </c>
      <c r="AJ340" s="26">
        <v>0.97734168226712304</v>
      </c>
      <c r="AK340" s="26">
        <v>0.97772277227722804</v>
      </c>
      <c r="AL340" s="26">
        <v>0.97617632687558598</v>
      </c>
      <c r="AM340" s="25">
        <v>0.99</v>
      </c>
      <c r="AN340" s="30">
        <v>1</v>
      </c>
      <c r="AO340" s="30">
        <v>1</v>
      </c>
      <c r="AP340" s="30">
        <v>1</v>
      </c>
      <c r="AQ340" s="30">
        <v>1</v>
      </c>
      <c r="AR340" s="50">
        <v>7.3985255698344701E-2</v>
      </c>
      <c r="AS340" s="34">
        <v>4.2857142857142899E-2</v>
      </c>
      <c r="AT340" s="34">
        <v>6.25E-2</v>
      </c>
      <c r="AU340" s="34">
        <v>5.7692307692307702E-2</v>
      </c>
      <c r="AV340" s="34">
        <v>5.6716417910447799E-2</v>
      </c>
      <c r="AW340" s="10"/>
      <c r="AX340" s="8"/>
    </row>
    <row r="341" spans="1:50">
      <c r="A341" s="7"/>
      <c r="B341" s="10"/>
      <c r="C341" s="54" t="s">
        <v>372</v>
      </c>
      <c r="D341" s="23" t="s">
        <v>17</v>
      </c>
      <c r="E341" s="61" t="s">
        <v>387</v>
      </c>
      <c r="F341" s="61" t="s">
        <v>387</v>
      </c>
      <c r="G341" s="61" t="s">
        <v>387</v>
      </c>
      <c r="H341" s="61" t="s">
        <v>387</v>
      </c>
      <c r="I341" s="25">
        <v>0.9</v>
      </c>
      <c r="J341" s="26">
        <v>0</v>
      </c>
      <c r="K341" s="26">
        <v>0</v>
      </c>
      <c r="L341" s="27">
        <v>0</v>
      </c>
      <c r="M341" s="26">
        <v>0</v>
      </c>
      <c r="N341" s="28">
        <v>0.9</v>
      </c>
      <c r="O341" s="26">
        <v>0</v>
      </c>
      <c r="P341" s="26">
        <v>0</v>
      </c>
      <c r="Q341" s="26">
        <v>0</v>
      </c>
      <c r="R341" s="26">
        <v>0</v>
      </c>
      <c r="S341" s="28">
        <v>0.9</v>
      </c>
      <c r="T341" s="26">
        <v>0</v>
      </c>
      <c r="U341" s="26">
        <v>0</v>
      </c>
      <c r="V341" s="26">
        <v>0</v>
      </c>
      <c r="W341" s="26">
        <v>0</v>
      </c>
      <c r="X341" s="28">
        <v>0.92</v>
      </c>
      <c r="Y341" s="28">
        <v>0</v>
      </c>
      <c r="Z341" s="28">
        <v>0</v>
      </c>
      <c r="AA341" s="28">
        <v>0</v>
      </c>
      <c r="AB341" s="28">
        <v>0</v>
      </c>
      <c r="AC341" s="28">
        <v>0.92</v>
      </c>
      <c r="AD341" s="26">
        <v>0.99215686274509796</v>
      </c>
      <c r="AE341" s="26">
        <v>0.98994974874371899</v>
      </c>
      <c r="AF341" s="26">
        <v>0.96416938110749195</v>
      </c>
      <c r="AG341" s="26">
        <v>0.98230088495575196</v>
      </c>
      <c r="AH341" s="28">
        <v>0.92</v>
      </c>
      <c r="AI341" s="26">
        <v>0</v>
      </c>
      <c r="AJ341" s="26">
        <v>0</v>
      </c>
      <c r="AK341" s="26">
        <v>0</v>
      </c>
      <c r="AL341" s="26">
        <v>0</v>
      </c>
      <c r="AM341" s="25">
        <v>0.99</v>
      </c>
      <c r="AN341" s="30">
        <v>0</v>
      </c>
      <c r="AO341" s="30">
        <v>0</v>
      </c>
      <c r="AP341" s="30">
        <v>0</v>
      </c>
      <c r="AQ341" s="30">
        <v>0</v>
      </c>
      <c r="AR341" s="50">
        <v>7.3985255698344701E-2</v>
      </c>
      <c r="AS341" s="34">
        <v>0</v>
      </c>
      <c r="AT341" s="34">
        <v>0</v>
      </c>
      <c r="AU341" s="34">
        <v>0</v>
      </c>
      <c r="AV341" s="34">
        <v>0</v>
      </c>
      <c r="AW341" s="10"/>
      <c r="AX341" s="8"/>
    </row>
    <row r="342" spans="1:50">
      <c r="A342" s="7"/>
      <c r="B342" s="10"/>
      <c r="C342" s="54" t="s">
        <v>372</v>
      </c>
      <c r="D342" s="23" t="s">
        <v>17</v>
      </c>
      <c r="E342" s="61" t="s">
        <v>388</v>
      </c>
      <c r="F342" s="61" t="s">
        <v>388</v>
      </c>
      <c r="G342" s="61" t="s">
        <v>388</v>
      </c>
      <c r="H342" s="61" t="s">
        <v>388</v>
      </c>
      <c r="I342" s="25">
        <v>0.9</v>
      </c>
      <c r="J342" s="26">
        <v>0.87719298245613997</v>
      </c>
      <c r="K342" s="26">
        <v>0.929824561403509</v>
      </c>
      <c r="L342" s="27">
        <v>0.93220338983050799</v>
      </c>
      <c r="M342" s="26">
        <v>0.92128279883381903</v>
      </c>
      <c r="N342" s="28">
        <v>0.9</v>
      </c>
      <c r="O342" s="26">
        <v>0.85225409836065602</v>
      </c>
      <c r="P342" s="26">
        <v>0.89027723545490001</v>
      </c>
      <c r="Q342" s="26">
        <v>0.94078549848942605</v>
      </c>
      <c r="R342" s="26">
        <v>0.90366659987978404</v>
      </c>
      <c r="S342" s="28">
        <v>0.9</v>
      </c>
      <c r="T342" s="26">
        <v>0.878688524590164</v>
      </c>
      <c r="U342" s="26">
        <v>0.89574385005857105</v>
      </c>
      <c r="V342" s="26">
        <v>0.92205438066465295</v>
      </c>
      <c r="W342" s="26">
        <v>0.90122219995992803</v>
      </c>
      <c r="X342" s="28">
        <v>0.92</v>
      </c>
      <c r="Y342" s="28">
        <v>0.92940104759735798</v>
      </c>
      <c r="Z342" s="28">
        <v>0.93862305673329305</v>
      </c>
      <c r="AA342" s="28">
        <v>0.95511221945137204</v>
      </c>
      <c r="AB342" s="28">
        <v>0.93998995647807204</v>
      </c>
      <c r="AC342" s="28">
        <v>0.92</v>
      </c>
      <c r="AD342" s="26">
        <v>0.99662873999157198</v>
      </c>
      <c r="AE342" s="26">
        <v>0.97647058823529398</v>
      </c>
      <c r="AF342" s="26">
        <v>0.99130143860822995</v>
      </c>
      <c r="AG342" s="26">
        <v>0.90747021723896304</v>
      </c>
      <c r="AH342" s="28">
        <v>0.92</v>
      </c>
      <c r="AI342" s="26">
        <v>0.94637665554000205</v>
      </c>
      <c r="AJ342" s="26">
        <v>0.95130417534463996</v>
      </c>
      <c r="AK342" s="26">
        <v>0.96434280093446501</v>
      </c>
      <c r="AL342" s="26">
        <v>0.95363575035263803</v>
      </c>
      <c r="AM342" s="25">
        <v>0.99</v>
      </c>
      <c r="AN342" s="30">
        <v>1</v>
      </c>
      <c r="AO342" s="30">
        <v>1</v>
      </c>
      <c r="AP342" s="30">
        <v>1</v>
      </c>
      <c r="AQ342" s="30">
        <v>1</v>
      </c>
      <c r="AR342" s="50">
        <v>7.3985255698344701E-2</v>
      </c>
      <c r="AS342" s="34">
        <v>7.8431372549019607E-2</v>
      </c>
      <c r="AT342" s="34">
        <v>4.3478260869565202E-2</v>
      </c>
      <c r="AU342" s="34">
        <v>4.8780487804878099E-2</v>
      </c>
      <c r="AV342" s="34">
        <v>5.5118110236220499E-2</v>
      </c>
      <c r="AW342" s="10"/>
      <c r="AX342" s="8"/>
    </row>
    <row r="343" spans="1:50">
      <c r="A343" s="7"/>
      <c r="B343" s="10"/>
      <c r="C343" s="54" t="s">
        <v>372</v>
      </c>
      <c r="D343" s="23" t="s">
        <v>17</v>
      </c>
      <c r="E343" s="61" t="s">
        <v>389</v>
      </c>
      <c r="F343" s="61" t="s">
        <v>389</v>
      </c>
      <c r="G343" s="61" t="s">
        <v>389</v>
      </c>
      <c r="H343" s="61" t="s">
        <v>389</v>
      </c>
      <c r="I343" s="25">
        <v>0.9</v>
      </c>
      <c r="J343" s="26">
        <v>0</v>
      </c>
      <c r="K343" s="26">
        <v>0</v>
      </c>
      <c r="L343" s="27">
        <v>0</v>
      </c>
      <c r="M343" s="26">
        <v>0</v>
      </c>
      <c r="N343" s="28">
        <v>0.9</v>
      </c>
      <c r="O343" s="26">
        <v>0</v>
      </c>
      <c r="P343" s="26">
        <v>0</v>
      </c>
      <c r="Q343" s="26">
        <v>0</v>
      </c>
      <c r="R343" s="26">
        <v>0</v>
      </c>
      <c r="S343" s="28">
        <v>0.9</v>
      </c>
      <c r="T343" s="26">
        <v>0</v>
      </c>
      <c r="U343" s="26">
        <v>0</v>
      </c>
      <c r="V343" s="26">
        <v>0</v>
      </c>
      <c r="W343" s="26">
        <v>0</v>
      </c>
      <c r="X343" s="28">
        <v>0.92</v>
      </c>
      <c r="Y343" s="28">
        <v>0</v>
      </c>
      <c r="Z343" s="28">
        <v>0</v>
      </c>
      <c r="AA343" s="28">
        <v>0</v>
      </c>
      <c r="AB343" s="28">
        <v>0</v>
      </c>
      <c r="AC343" s="28">
        <v>0.92</v>
      </c>
      <c r="AD343" s="26">
        <v>1</v>
      </c>
      <c r="AE343" s="26">
        <v>0.99497487437185905</v>
      </c>
      <c r="AF343" s="26">
        <v>1</v>
      </c>
      <c r="AG343" s="26">
        <v>0.98365617433413999</v>
      </c>
      <c r="AH343" s="28">
        <v>0.92</v>
      </c>
      <c r="AI343" s="26">
        <v>0</v>
      </c>
      <c r="AJ343" s="26">
        <v>0</v>
      </c>
      <c r="AK343" s="26">
        <v>0</v>
      </c>
      <c r="AL343" s="26">
        <v>0</v>
      </c>
      <c r="AM343" s="25">
        <v>0.99</v>
      </c>
      <c r="AN343" s="30">
        <v>1</v>
      </c>
      <c r="AO343" s="30">
        <v>0</v>
      </c>
      <c r="AP343" s="30">
        <v>0</v>
      </c>
      <c r="AQ343" s="30">
        <v>1</v>
      </c>
      <c r="AR343" s="50">
        <v>7.3985255698344701E-2</v>
      </c>
      <c r="AS343" s="34">
        <v>0</v>
      </c>
      <c r="AT343" s="34">
        <v>0</v>
      </c>
      <c r="AU343" s="34">
        <v>0</v>
      </c>
      <c r="AV343" s="34">
        <v>0</v>
      </c>
      <c r="AW343" s="10"/>
      <c r="AX343" s="8"/>
    </row>
    <row r="344" spans="1:50">
      <c r="A344" s="7"/>
      <c r="B344" s="10"/>
      <c r="C344" s="54" t="s">
        <v>372</v>
      </c>
      <c r="D344" s="23" t="s">
        <v>17</v>
      </c>
      <c r="E344" s="61" t="s">
        <v>390</v>
      </c>
      <c r="F344" s="61" t="s">
        <v>390</v>
      </c>
      <c r="G344" s="61" t="s">
        <v>390</v>
      </c>
      <c r="H344" s="61" t="s">
        <v>390</v>
      </c>
      <c r="I344" s="25">
        <v>0.9</v>
      </c>
      <c r="J344" s="26">
        <v>0.95402298850574696</v>
      </c>
      <c r="K344" s="26">
        <v>0.96470588235294097</v>
      </c>
      <c r="L344" s="27">
        <v>0.91249999999999998</v>
      </c>
      <c r="M344" s="26">
        <v>0.934924078091106</v>
      </c>
      <c r="N344" s="28">
        <v>0.9</v>
      </c>
      <c r="O344" s="26">
        <v>0.93959422071933596</v>
      </c>
      <c r="P344" s="26">
        <v>0.91686695885762803</v>
      </c>
      <c r="Q344" s="26">
        <v>0.92824305416749997</v>
      </c>
      <c r="R344" s="26">
        <v>0.92979570637119102</v>
      </c>
      <c r="S344" s="28">
        <v>0.9</v>
      </c>
      <c r="T344" s="26">
        <v>0.92330156778358397</v>
      </c>
      <c r="U344" s="26">
        <v>0.92252226777887703</v>
      </c>
      <c r="V344" s="26">
        <v>0.91605036977813303</v>
      </c>
      <c r="W344" s="26">
        <v>0.920937211449677</v>
      </c>
      <c r="X344" s="28">
        <v>0.92</v>
      </c>
      <c r="Y344" s="28">
        <v>0.96108821104699105</v>
      </c>
      <c r="Z344" s="28">
        <v>0.94921715452688904</v>
      </c>
      <c r="AA344" s="28">
        <v>0.95133210234766596</v>
      </c>
      <c r="AB344" s="28">
        <v>0.95475455820476895</v>
      </c>
      <c r="AC344" s="28">
        <v>0.92</v>
      </c>
      <c r="AD344" s="26">
        <v>0.99757308328736904</v>
      </c>
      <c r="AE344" s="26">
        <v>0.98843654434250805</v>
      </c>
      <c r="AF344" s="26">
        <v>0.99589132986751605</v>
      </c>
      <c r="AG344" s="26">
        <v>0.99054217529968103</v>
      </c>
      <c r="AH344" s="28">
        <v>0.92</v>
      </c>
      <c r="AI344" s="26">
        <v>0.97143083882231596</v>
      </c>
      <c r="AJ344" s="26">
        <v>0.96440443213296401</v>
      </c>
      <c r="AK344" s="26">
        <v>0.96209958769425896</v>
      </c>
      <c r="AL344" s="26">
        <v>0.96736368411339702</v>
      </c>
      <c r="AM344" s="25">
        <v>0.99</v>
      </c>
      <c r="AN344" s="30">
        <v>1</v>
      </c>
      <c r="AO344" s="30">
        <v>1</v>
      </c>
      <c r="AP344" s="30">
        <v>1</v>
      </c>
      <c r="AQ344" s="30">
        <v>1</v>
      </c>
      <c r="AR344" s="50">
        <v>7.3985255698344701E-2</v>
      </c>
      <c r="AS344" s="34">
        <v>4.7619047619047603E-2</v>
      </c>
      <c r="AT344" s="34">
        <v>3.4482758620689703E-2</v>
      </c>
      <c r="AU344" s="34">
        <v>2.04081632653061E-2</v>
      </c>
      <c r="AV344" s="34">
        <v>3.5830618892508097E-2</v>
      </c>
      <c r="AW344" s="10"/>
      <c r="AX344" s="8"/>
    </row>
    <row r="345" spans="1:50">
      <c r="A345" s="7"/>
      <c r="B345" s="10"/>
      <c r="C345" s="54" t="s">
        <v>372</v>
      </c>
      <c r="D345" s="23" t="s">
        <v>17</v>
      </c>
      <c r="E345" s="61" t="s">
        <v>391</v>
      </c>
      <c r="F345" s="61" t="s">
        <v>391</v>
      </c>
      <c r="G345" s="61" t="s">
        <v>391</v>
      </c>
      <c r="H345" s="61" t="s">
        <v>391</v>
      </c>
      <c r="I345" s="25">
        <v>0.9</v>
      </c>
      <c r="J345" s="26">
        <v>0</v>
      </c>
      <c r="K345" s="26">
        <v>0</v>
      </c>
      <c r="L345" s="27">
        <v>0</v>
      </c>
      <c r="M345" s="26">
        <v>0</v>
      </c>
      <c r="N345" s="28">
        <v>0.9</v>
      </c>
      <c r="O345" s="26">
        <v>0.5</v>
      </c>
      <c r="P345" s="26">
        <v>1</v>
      </c>
      <c r="Q345" s="26">
        <v>0</v>
      </c>
      <c r="R345" s="26">
        <v>0.42857142857142899</v>
      </c>
      <c r="S345" s="28">
        <v>0.9</v>
      </c>
      <c r="T345" s="26">
        <v>0.5</v>
      </c>
      <c r="U345" s="26">
        <v>1</v>
      </c>
      <c r="V345" s="26">
        <v>0</v>
      </c>
      <c r="W345" s="26">
        <v>0.28571428571428598</v>
      </c>
      <c r="X345" s="28">
        <v>0.92</v>
      </c>
      <c r="Y345" s="28">
        <v>0</v>
      </c>
      <c r="Z345" s="28">
        <v>0</v>
      </c>
      <c r="AA345" s="28">
        <v>0</v>
      </c>
      <c r="AB345" s="28">
        <v>0</v>
      </c>
      <c r="AC345" s="28">
        <v>0.92</v>
      </c>
      <c r="AD345" s="26">
        <v>0.99863387978142104</v>
      </c>
      <c r="AE345" s="26">
        <v>0.98125188993045098</v>
      </c>
      <c r="AF345" s="26">
        <v>0.99623446717710595</v>
      </c>
      <c r="AG345" s="26">
        <v>0.99093714381029196</v>
      </c>
      <c r="AH345" s="28">
        <v>0.92</v>
      </c>
      <c r="AI345" s="26">
        <v>0.33333333333333298</v>
      </c>
      <c r="AJ345" s="26">
        <v>1</v>
      </c>
      <c r="AK345" s="26">
        <v>0</v>
      </c>
      <c r="AL345" s="26">
        <v>0.22222222222222199</v>
      </c>
      <c r="AM345" s="25">
        <v>0.99</v>
      </c>
      <c r="AN345" s="30">
        <v>1</v>
      </c>
      <c r="AO345" s="30">
        <v>1</v>
      </c>
      <c r="AP345" s="30">
        <v>1</v>
      </c>
      <c r="AQ345" s="30">
        <v>1</v>
      </c>
      <c r="AR345" s="50">
        <v>7.3985255698344701E-2</v>
      </c>
      <c r="AS345" s="34">
        <v>0</v>
      </c>
      <c r="AT345" s="34">
        <v>0</v>
      </c>
      <c r="AU345" s="34">
        <v>0</v>
      </c>
      <c r="AV345" s="34">
        <v>0</v>
      </c>
      <c r="AW345" s="10"/>
      <c r="AX345" s="8"/>
    </row>
    <row r="346" spans="1:50">
      <c r="A346" s="7"/>
      <c r="B346" s="10"/>
      <c r="C346" s="54" t="s">
        <v>372</v>
      </c>
      <c r="D346" s="23" t="s">
        <v>17</v>
      </c>
      <c r="E346" s="61" t="s">
        <v>392</v>
      </c>
      <c r="F346" s="61" t="s">
        <v>392</v>
      </c>
      <c r="G346" s="61" t="s">
        <v>392</v>
      </c>
      <c r="H346" s="61" t="s">
        <v>392</v>
      </c>
      <c r="I346" s="25">
        <v>0.9</v>
      </c>
      <c r="J346" s="26">
        <v>0</v>
      </c>
      <c r="K346" s="26">
        <v>0</v>
      </c>
      <c r="L346" s="27">
        <v>0</v>
      </c>
      <c r="M346" s="26">
        <v>0</v>
      </c>
      <c r="N346" s="28">
        <v>0.9</v>
      </c>
      <c r="O346" s="26">
        <v>0</v>
      </c>
      <c r="P346" s="26">
        <v>0</v>
      </c>
      <c r="Q346" s="26">
        <v>0</v>
      </c>
      <c r="R346" s="26">
        <v>0</v>
      </c>
      <c r="S346" s="28">
        <v>0.9</v>
      </c>
      <c r="T346" s="26">
        <v>0</v>
      </c>
      <c r="U346" s="26">
        <v>0</v>
      </c>
      <c r="V346" s="26">
        <v>0</v>
      </c>
      <c r="W346" s="26">
        <v>0</v>
      </c>
      <c r="X346" s="28">
        <v>0.92</v>
      </c>
      <c r="Y346" s="28">
        <v>0</v>
      </c>
      <c r="Z346" s="28">
        <v>0</v>
      </c>
      <c r="AA346" s="28">
        <v>0</v>
      </c>
      <c r="AB346" s="28">
        <v>0</v>
      </c>
      <c r="AC346" s="28">
        <v>0.92</v>
      </c>
      <c r="AD346" s="26">
        <v>0.99907235621521295</v>
      </c>
      <c r="AE346" s="26">
        <v>0.97130044843049301</v>
      </c>
      <c r="AF346" s="26">
        <v>0.97597173144876304</v>
      </c>
      <c r="AG346" s="26">
        <v>0.96136117136659405</v>
      </c>
      <c r="AH346" s="28">
        <v>0.92</v>
      </c>
      <c r="AI346" s="26">
        <v>0</v>
      </c>
      <c r="AJ346" s="26">
        <v>0</v>
      </c>
      <c r="AK346" s="26">
        <v>0</v>
      </c>
      <c r="AL346" s="26">
        <v>0</v>
      </c>
      <c r="AM346" s="25">
        <v>0.99</v>
      </c>
      <c r="AN346" s="30">
        <v>1</v>
      </c>
      <c r="AO346" s="30">
        <v>1</v>
      </c>
      <c r="AP346" s="30">
        <v>1</v>
      </c>
      <c r="AQ346" s="30">
        <v>1</v>
      </c>
      <c r="AR346" s="50">
        <v>7.3985255698344701E-2</v>
      </c>
      <c r="AS346" s="34">
        <v>0</v>
      </c>
      <c r="AT346" s="34">
        <v>0</v>
      </c>
      <c r="AU346" s="34">
        <v>0</v>
      </c>
      <c r="AV346" s="34">
        <v>0</v>
      </c>
      <c r="AW346" s="10"/>
      <c r="AX346" s="8"/>
    </row>
    <row r="347" spans="1:50">
      <c r="A347" s="7"/>
      <c r="B347" s="10"/>
      <c r="C347" s="54" t="s">
        <v>372</v>
      </c>
      <c r="D347" s="23" t="s">
        <v>17</v>
      </c>
      <c r="E347" s="61" t="s">
        <v>393</v>
      </c>
      <c r="F347" s="61" t="s">
        <v>393</v>
      </c>
      <c r="G347" s="61" t="s">
        <v>393</v>
      </c>
      <c r="H347" s="61" t="s">
        <v>393</v>
      </c>
      <c r="I347" s="25">
        <v>0.9</v>
      </c>
      <c r="J347" s="26">
        <v>0</v>
      </c>
      <c r="K347" s="26">
        <v>0</v>
      </c>
      <c r="L347" s="27">
        <v>0</v>
      </c>
      <c r="M347" s="26">
        <v>0</v>
      </c>
      <c r="N347" s="28">
        <v>0.9</v>
      </c>
      <c r="O347" s="26">
        <v>0</v>
      </c>
      <c r="P347" s="26">
        <v>0</v>
      </c>
      <c r="Q347" s="26">
        <v>0</v>
      </c>
      <c r="R347" s="26">
        <v>0</v>
      </c>
      <c r="S347" s="28">
        <v>0.9</v>
      </c>
      <c r="T347" s="26">
        <v>0</v>
      </c>
      <c r="U347" s="26">
        <v>0</v>
      </c>
      <c r="V347" s="26">
        <v>0</v>
      </c>
      <c r="W347" s="26">
        <v>0</v>
      </c>
      <c r="X347" s="28">
        <v>0.92</v>
      </c>
      <c r="Y347" s="28">
        <v>0</v>
      </c>
      <c r="Z347" s="28">
        <v>0</v>
      </c>
      <c r="AA347" s="28">
        <v>0</v>
      </c>
      <c r="AB347" s="28">
        <v>0</v>
      </c>
      <c r="AC347" s="28">
        <v>0.92</v>
      </c>
      <c r="AD347" s="26">
        <v>0.99976381672177606</v>
      </c>
      <c r="AE347" s="26">
        <v>0.99691230959242505</v>
      </c>
      <c r="AF347" s="26">
        <v>0.99361750626852097</v>
      </c>
      <c r="AG347" s="26">
        <v>0.99608582881395902</v>
      </c>
      <c r="AH347" s="28">
        <v>0.92</v>
      </c>
      <c r="AI347" s="26">
        <v>0.33333333333333298</v>
      </c>
      <c r="AJ347" s="26">
        <v>0</v>
      </c>
      <c r="AK347" s="26">
        <v>0</v>
      </c>
      <c r="AL347" s="26">
        <v>0.25</v>
      </c>
      <c r="AM347" s="25">
        <v>0.99</v>
      </c>
      <c r="AN347" s="30">
        <v>1</v>
      </c>
      <c r="AO347" s="30">
        <v>1</v>
      </c>
      <c r="AP347" s="30">
        <v>1</v>
      </c>
      <c r="AQ347" s="30">
        <v>1</v>
      </c>
      <c r="AR347" s="50">
        <v>7.3985255698344701E-2</v>
      </c>
      <c r="AS347" s="34">
        <v>0</v>
      </c>
      <c r="AT347" s="34">
        <v>0</v>
      </c>
      <c r="AU347" s="34">
        <v>0</v>
      </c>
      <c r="AV347" s="34">
        <v>0</v>
      </c>
      <c r="AW347" s="10"/>
      <c r="AX347" s="8"/>
    </row>
    <row r="348" spans="1:50">
      <c r="A348" s="7"/>
      <c r="B348" s="10"/>
      <c r="C348" s="54" t="s">
        <v>372</v>
      </c>
      <c r="D348" s="23" t="s">
        <v>17</v>
      </c>
      <c r="E348" s="61" t="s">
        <v>394</v>
      </c>
      <c r="F348" s="61" t="s">
        <v>394</v>
      </c>
      <c r="G348" s="61" t="s">
        <v>394</v>
      </c>
      <c r="H348" s="61" t="s">
        <v>394</v>
      </c>
      <c r="I348" s="25">
        <v>0.9</v>
      </c>
      <c r="J348" s="26">
        <v>0</v>
      </c>
      <c r="K348" s="26">
        <v>0</v>
      </c>
      <c r="L348" s="27">
        <v>0</v>
      </c>
      <c r="M348" s="26">
        <v>0</v>
      </c>
      <c r="N348" s="28">
        <v>0.9</v>
      </c>
      <c r="O348" s="26">
        <v>0</v>
      </c>
      <c r="P348" s="26">
        <v>0.66666666666666696</v>
      </c>
      <c r="Q348" s="26">
        <v>1</v>
      </c>
      <c r="R348" s="26">
        <v>0.90909090909090895</v>
      </c>
      <c r="S348" s="28">
        <v>0.9</v>
      </c>
      <c r="T348" s="26">
        <v>0</v>
      </c>
      <c r="U348" s="26">
        <v>1</v>
      </c>
      <c r="V348" s="26">
        <v>1</v>
      </c>
      <c r="W348" s="26">
        <v>0.81818181818181801</v>
      </c>
      <c r="X348" s="28">
        <v>0.92</v>
      </c>
      <c r="Y348" s="28">
        <v>0</v>
      </c>
      <c r="Z348" s="28">
        <v>0</v>
      </c>
      <c r="AA348" s="28">
        <v>0</v>
      </c>
      <c r="AB348" s="28">
        <v>0</v>
      </c>
      <c r="AC348" s="28">
        <v>0.92</v>
      </c>
      <c r="AD348" s="26">
        <v>0.99258498745151702</v>
      </c>
      <c r="AE348" s="26">
        <v>0.57431818181818195</v>
      </c>
      <c r="AF348" s="26">
        <v>0.583593141075604</v>
      </c>
      <c r="AG348" s="26">
        <v>0.71187258687258703</v>
      </c>
      <c r="AH348" s="28">
        <v>0.92</v>
      </c>
      <c r="AI348" s="26">
        <v>0</v>
      </c>
      <c r="AJ348" s="26">
        <v>0.375</v>
      </c>
      <c r="AK348" s="26">
        <v>1</v>
      </c>
      <c r="AL348" s="26">
        <v>0.65625</v>
      </c>
      <c r="AM348" s="25">
        <v>0.99</v>
      </c>
      <c r="AN348" s="30">
        <v>1</v>
      </c>
      <c r="AO348" s="30">
        <v>1</v>
      </c>
      <c r="AP348" s="30">
        <v>1</v>
      </c>
      <c r="AQ348" s="30">
        <v>1</v>
      </c>
      <c r="AR348" s="50">
        <v>7.3985255698344701E-2</v>
      </c>
      <c r="AS348" s="34">
        <v>0</v>
      </c>
      <c r="AT348" s="34">
        <v>0</v>
      </c>
      <c r="AU348" s="34">
        <v>0</v>
      </c>
      <c r="AV348" s="34">
        <v>0</v>
      </c>
      <c r="AW348" s="10"/>
      <c r="AX348" s="8"/>
    </row>
    <row r="349" spans="1:50">
      <c r="A349" s="7"/>
      <c r="B349" s="10"/>
      <c r="C349" s="54" t="s">
        <v>372</v>
      </c>
      <c r="D349" s="23" t="s">
        <v>17</v>
      </c>
      <c r="E349" s="61" t="s">
        <v>395</v>
      </c>
      <c r="F349" s="61" t="s">
        <v>395</v>
      </c>
      <c r="G349" s="61" t="s">
        <v>395</v>
      </c>
      <c r="H349" s="61" t="s">
        <v>395</v>
      </c>
      <c r="I349" s="25">
        <v>0.9</v>
      </c>
      <c r="J349" s="26">
        <v>0</v>
      </c>
      <c r="K349" s="26">
        <v>0</v>
      </c>
      <c r="L349" s="27">
        <v>0</v>
      </c>
      <c r="M349" s="26">
        <v>0</v>
      </c>
      <c r="N349" s="28">
        <v>0.9</v>
      </c>
      <c r="O349" s="26">
        <v>5.7692307692307702E-2</v>
      </c>
      <c r="P349" s="26">
        <v>1.3157894736842099E-2</v>
      </c>
      <c r="Q349" s="26">
        <v>1.9230769230769201E-2</v>
      </c>
      <c r="R349" s="26">
        <v>4.6153846153846198E-2</v>
      </c>
      <c r="S349" s="28">
        <v>0.9</v>
      </c>
      <c r="T349" s="26">
        <v>1.9230769230769201E-2</v>
      </c>
      <c r="U349" s="26">
        <v>2.6315789473684199E-2</v>
      </c>
      <c r="V349" s="26">
        <v>1.9230769230769201E-2</v>
      </c>
      <c r="W349" s="26">
        <v>4.3589743589743601E-2</v>
      </c>
      <c r="X349" s="28">
        <v>0.92</v>
      </c>
      <c r="Y349" s="28">
        <v>0</v>
      </c>
      <c r="Z349" s="28">
        <v>0</v>
      </c>
      <c r="AA349" s="28">
        <v>0</v>
      </c>
      <c r="AB349" s="28">
        <v>0</v>
      </c>
      <c r="AC349" s="28">
        <v>0.92</v>
      </c>
      <c r="AD349" s="26">
        <v>0.990607878945995</v>
      </c>
      <c r="AE349" s="26">
        <v>0.97798591645586896</v>
      </c>
      <c r="AF349" s="26">
        <v>0.77800127037899602</v>
      </c>
      <c r="AG349" s="26">
        <v>0.89790621916437996</v>
      </c>
      <c r="AH349" s="28">
        <v>0.92</v>
      </c>
      <c r="AI349" s="26">
        <v>0.90384615384615397</v>
      </c>
      <c r="AJ349" s="26">
        <v>0.88311688311688297</v>
      </c>
      <c r="AK349" s="26">
        <v>0.92307692307692302</v>
      </c>
      <c r="AL349" s="26">
        <v>0.76214833759590805</v>
      </c>
      <c r="AM349" s="25">
        <v>0.99</v>
      </c>
      <c r="AN349" s="30">
        <v>1</v>
      </c>
      <c r="AO349" s="30">
        <v>1</v>
      </c>
      <c r="AP349" s="30">
        <v>1</v>
      </c>
      <c r="AQ349" s="30">
        <v>1</v>
      </c>
      <c r="AR349" s="50">
        <v>7.3985255698344701E-2</v>
      </c>
      <c r="AS349" s="34">
        <v>0</v>
      </c>
      <c r="AT349" s="34">
        <v>0</v>
      </c>
      <c r="AU349" s="34">
        <v>0</v>
      </c>
      <c r="AV349" s="34">
        <v>0</v>
      </c>
      <c r="AW349" s="10"/>
      <c r="AX349" s="8"/>
    </row>
    <row r="350" spans="1:50">
      <c r="A350" s="7"/>
      <c r="B350" s="10"/>
      <c r="C350" s="51"/>
      <c r="D350" s="51"/>
      <c r="E350" s="51"/>
      <c r="F350" s="51"/>
      <c r="G350" s="51"/>
      <c r="H350" s="51"/>
      <c r="I350" s="53"/>
      <c r="J350" s="40"/>
      <c r="K350" s="40"/>
      <c r="L350" s="27"/>
      <c r="M350" s="40"/>
      <c r="N350" s="43"/>
      <c r="O350" s="40"/>
      <c r="P350" s="40"/>
      <c r="Q350" s="26"/>
      <c r="R350" s="40"/>
      <c r="S350" s="43"/>
      <c r="T350" s="40"/>
      <c r="U350" s="40"/>
      <c r="V350" s="26"/>
      <c r="W350" s="40"/>
      <c r="X350" s="43"/>
      <c r="Y350" s="43"/>
      <c r="Z350" s="43"/>
      <c r="AA350" s="28"/>
      <c r="AB350" s="43"/>
      <c r="AC350" s="40"/>
      <c r="AD350" s="40"/>
      <c r="AE350" s="40"/>
      <c r="AF350" s="26"/>
      <c r="AG350" s="40"/>
      <c r="AH350" s="40"/>
      <c r="AI350" s="40"/>
      <c r="AJ350" s="40"/>
      <c r="AK350" s="26"/>
      <c r="AL350" s="40"/>
      <c r="AM350" s="39"/>
      <c r="AN350" s="39"/>
      <c r="AO350" s="39"/>
      <c r="AP350" s="30"/>
      <c r="AQ350" s="39"/>
      <c r="AR350" s="40"/>
      <c r="AS350" s="39"/>
      <c r="AT350" s="39"/>
      <c r="AU350" s="34"/>
      <c r="AV350" s="39"/>
      <c r="AW350" s="10"/>
      <c r="AX350" s="8"/>
    </row>
    <row r="351" spans="1:50">
      <c r="A351" s="7"/>
      <c r="B351" s="10"/>
      <c r="C351" s="45" t="s">
        <v>396</v>
      </c>
      <c r="D351" s="23" t="s">
        <v>19</v>
      </c>
      <c r="E351" s="46" t="s">
        <v>397</v>
      </c>
      <c r="F351" s="46" t="s">
        <v>397</v>
      </c>
      <c r="G351" s="46" t="s">
        <v>397</v>
      </c>
      <c r="H351" s="46" t="s">
        <v>397</v>
      </c>
      <c r="I351" s="25">
        <v>0.9</v>
      </c>
      <c r="J351" s="26">
        <v>0.97619047619047605</v>
      </c>
      <c r="K351" s="26">
        <v>0.97619047619047605</v>
      </c>
      <c r="L351" s="27">
        <v>0.94871794871794901</v>
      </c>
      <c r="M351" s="26">
        <v>0.91532258064516103</v>
      </c>
      <c r="N351" s="28">
        <v>0.9</v>
      </c>
      <c r="O351" s="26">
        <v>0.91945547362450397</v>
      </c>
      <c r="P351" s="26">
        <v>0.96714197148171099</v>
      </c>
      <c r="Q351" s="26">
        <v>0.98999411418481498</v>
      </c>
      <c r="R351" s="26">
        <v>0.96292016278952897</v>
      </c>
      <c r="S351" s="28">
        <v>0.9</v>
      </c>
      <c r="T351" s="26">
        <v>0.781338627339762</v>
      </c>
      <c r="U351" s="26">
        <v>0.72411655300681999</v>
      </c>
      <c r="V351" s="26">
        <v>0.85874043555032398</v>
      </c>
      <c r="W351" s="26">
        <v>0.801235994573682</v>
      </c>
      <c r="X351" s="28">
        <v>0.92</v>
      </c>
      <c r="Y351" s="28">
        <v>0.84297520661156999</v>
      </c>
      <c r="Z351" s="28">
        <v>0.80044510385756695</v>
      </c>
      <c r="AA351" s="28">
        <v>0.82871536523929501</v>
      </c>
      <c r="AB351" s="28">
        <v>0.83891714029315001</v>
      </c>
      <c r="AC351" s="28">
        <v>0.92</v>
      </c>
      <c r="AD351" s="26">
        <v>0.97264437689969596</v>
      </c>
      <c r="AE351" s="26">
        <v>0.95673076923076905</v>
      </c>
      <c r="AF351" s="26">
        <v>0.98076923076923095</v>
      </c>
      <c r="AG351" s="26">
        <v>0.97108969607116402</v>
      </c>
      <c r="AH351" s="28">
        <v>0.92</v>
      </c>
      <c r="AI351" s="26">
        <v>0.89114954221770104</v>
      </c>
      <c r="AJ351" s="26">
        <v>0.93310712554532205</v>
      </c>
      <c r="AK351" s="26">
        <v>0.91072664359861599</v>
      </c>
      <c r="AL351" s="26">
        <v>0.92638451148131495</v>
      </c>
      <c r="AM351" s="25">
        <v>0.99</v>
      </c>
      <c r="AN351" s="30">
        <v>1</v>
      </c>
      <c r="AO351" s="30">
        <v>1</v>
      </c>
      <c r="AP351" s="30">
        <v>1</v>
      </c>
      <c r="AQ351" s="30">
        <v>1</v>
      </c>
      <c r="AR351" s="50">
        <v>0.05</v>
      </c>
      <c r="AS351" s="34">
        <v>0</v>
      </c>
      <c r="AT351" s="34">
        <v>0</v>
      </c>
      <c r="AU351" s="34">
        <v>0.125</v>
      </c>
      <c r="AV351" s="34">
        <v>4.5977011494252901E-2</v>
      </c>
      <c r="AW351" s="10"/>
      <c r="AX351" s="8"/>
    </row>
    <row r="352" spans="1:50">
      <c r="A352" s="7"/>
      <c r="B352" s="10"/>
      <c r="C352" s="45" t="s">
        <v>396</v>
      </c>
      <c r="D352" s="23" t="s">
        <v>19</v>
      </c>
      <c r="E352" s="46" t="s">
        <v>398</v>
      </c>
      <c r="F352" s="46" t="s">
        <v>398</v>
      </c>
      <c r="G352" s="46" t="s">
        <v>398</v>
      </c>
      <c r="H352" s="46" t="s">
        <v>398</v>
      </c>
      <c r="I352" s="25">
        <v>0.9</v>
      </c>
      <c r="J352" s="26">
        <v>1</v>
      </c>
      <c r="K352" s="26">
        <v>1</v>
      </c>
      <c r="L352" s="27">
        <v>1</v>
      </c>
      <c r="M352" s="26">
        <v>0.99280575539568305</v>
      </c>
      <c r="N352" s="28">
        <v>0.9</v>
      </c>
      <c r="O352" s="26">
        <v>0.99388503872808798</v>
      </c>
      <c r="P352" s="26">
        <v>0.99724011039558402</v>
      </c>
      <c r="Q352" s="26">
        <v>0.99426699426699405</v>
      </c>
      <c r="R352" s="26">
        <v>0.99501173708920199</v>
      </c>
      <c r="S352" s="28">
        <v>0.9</v>
      </c>
      <c r="T352" s="26">
        <v>0.84957195271096597</v>
      </c>
      <c r="U352" s="26">
        <v>0.79668813247470105</v>
      </c>
      <c r="V352" s="26">
        <v>0.87141687141687096</v>
      </c>
      <c r="W352" s="26">
        <v>0.83348004694835698</v>
      </c>
      <c r="X352" s="28">
        <v>0.92</v>
      </c>
      <c r="Y352" s="28">
        <v>0.96018518518518503</v>
      </c>
      <c r="Z352" s="28">
        <v>0.97219882055602402</v>
      </c>
      <c r="AA352" s="28">
        <v>0.91437007874015797</v>
      </c>
      <c r="AB352" s="28">
        <v>0.94710017574692396</v>
      </c>
      <c r="AC352" s="28">
        <v>0.92</v>
      </c>
      <c r="AD352" s="26">
        <v>0.99543552681628</v>
      </c>
      <c r="AE352" s="26">
        <v>0.99399399399399402</v>
      </c>
      <c r="AF352" s="26">
        <v>0.99132947976878605</v>
      </c>
      <c r="AG352" s="26">
        <v>0.99282426211751995</v>
      </c>
      <c r="AH352" s="28">
        <v>0.92</v>
      </c>
      <c r="AI352" s="26">
        <v>0.96716671384092801</v>
      </c>
      <c r="AJ352" s="26">
        <v>0.98201843110811404</v>
      </c>
      <c r="AK352" s="26">
        <v>0.951721054984354</v>
      </c>
      <c r="AL352" s="26">
        <v>0.97102199223803398</v>
      </c>
      <c r="AM352" s="25">
        <v>0.99</v>
      </c>
      <c r="AN352" s="30">
        <v>1</v>
      </c>
      <c r="AO352" s="30">
        <v>1</v>
      </c>
      <c r="AP352" s="30">
        <v>1</v>
      </c>
      <c r="AQ352" s="30">
        <v>1</v>
      </c>
      <c r="AR352" s="50">
        <v>0.05</v>
      </c>
      <c r="AS352" s="34">
        <v>0.1</v>
      </c>
      <c r="AT352" s="34">
        <v>0</v>
      </c>
      <c r="AU352" s="34">
        <v>0.14285714285714299</v>
      </c>
      <c r="AV352" s="34">
        <v>6.3829787234042507E-2</v>
      </c>
      <c r="AW352" s="10"/>
      <c r="AX352" s="8"/>
    </row>
    <row r="353" spans="1:50">
      <c r="A353" s="7"/>
      <c r="B353" s="10"/>
      <c r="C353" s="45" t="s">
        <v>396</v>
      </c>
      <c r="D353" s="23" t="s">
        <v>19</v>
      </c>
      <c r="E353" s="46" t="s">
        <v>399</v>
      </c>
      <c r="F353" s="46" t="s">
        <v>399</v>
      </c>
      <c r="G353" s="46" t="s">
        <v>399</v>
      </c>
      <c r="H353" s="46" t="s">
        <v>399</v>
      </c>
      <c r="I353" s="25">
        <v>0.9</v>
      </c>
      <c r="J353" s="26">
        <v>0.97959183673469397</v>
      </c>
      <c r="K353" s="26">
        <v>1</v>
      </c>
      <c r="L353" s="27">
        <v>0.92500000000000004</v>
      </c>
      <c r="M353" s="26">
        <v>0.97426470588235303</v>
      </c>
      <c r="N353" s="28">
        <v>0.9</v>
      </c>
      <c r="O353" s="26">
        <v>0.96685971685971706</v>
      </c>
      <c r="P353" s="26">
        <v>0.97555865921787699</v>
      </c>
      <c r="Q353" s="26">
        <v>0.986684420772304</v>
      </c>
      <c r="R353" s="26">
        <v>0.96608543535917801</v>
      </c>
      <c r="S353" s="28">
        <v>0.9</v>
      </c>
      <c r="T353" s="26">
        <v>0.79922779922779896</v>
      </c>
      <c r="U353" s="26">
        <v>0.75581936685288598</v>
      </c>
      <c r="V353" s="26">
        <v>0.86684420772303605</v>
      </c>
      <c r="W353" s="26">
        <v>0.80328423903842905</v>
      </c>
      <c r="X353" s="28">
        <v>0.92</v>
      </c>
      <c r="Y353" s="28">
        <v>0.84689349112426004</v>
      </c>
      <c r="Z353" s="28">
        <v>0.85250965250965205</v>
      </c>
      <c r="AA353" s="28">
        <v>0.90654205607476601</v>
      </c>
      <c r="AB353" s="28">
        <v>0.876908979841173</v>
      </c>
      <c r="AC353" s="28">
        <v>0.92</v>
      </c>
      <c r="AD353" s="26">
        <v>0.99875039050296799</v>
      </c>
      <c r="AE353" s="26">
        <v>0.997751545812254</v>
      </c>
      <c r="AF353" s="26">
        <v>0.99727371864776404</v>
      </c>
      <c r="AG353" s="26">
        <v>0.96876967026582095</v>
      </c>
      <c r="AH353" s="28">
        <v>0.92</v>
      </c>
      <c r="AI353" s="26">
        <v>0.93906810035842303</v>
      </c>
      <c r="AJ353" s="26">
        <v>0.95369211514393004</v>
      </c>
      <c r="AK353" s="26">
        <v>0.94848824188129899</v>
      </c>
      <c r="AL353" s="26">
        <v>0.94962724988673297</v>
      </c>
      <c r="AM353" s="25">
        <v>0.99</v>
      </c>
      <c r="AN353" s="30">
        <v>1</v>
      </c>
      <c r="AO353" s="30">
        <v>1</v>
      </c>
      <c r="AP353" s="30">
        <v>1</v>
      </c>
      <c r="AQ353" s="30">
        <v>1</v>
      </c>
      <c r="AR353" s="50">
        <v>0.05</v>
      </c>
      <c r="AS353" s="34">
        <v>0.14285714285714299</v>
      </c>
      <c r="AT353" s="34">
        <v>0</v>
      </c>
      <c r="AU353" s="34">
        <v>0.27272727272727298</v>
      </c>
      <c r="AV353" s="34">
        <v>9.85915492957746E-2</v>
      </c>
      <c r="AW353" s="10"/>
      <c r="AX353" s="8"/>
    </row>
    <row r="354" spans="1:50">
      <c r="A354" s="7"/>
      <c r="B354" s="10"/>
      <c r="C354" s="45" t="s">
        <v>396</v>
      </c>
      <c r="D354" s="23" t="s">
        <v>19</v>
      </c>
      <c r="E354" s="46" t="s">
        <v>400</v>
      </c>
      <c r="F354" s="46" t="s">
        <v>400</v>
      </c>
      <c r="G354" s="46" t="s">
        <v>400</v>
      </c>
      <c r="H354" s="46" t="s">
        <v>400</v>
      </c>
      <c r="I354" s="25">
        <v>0.9</v>
      </c>
      <c r="J354" s="26">
        <v>0.88461538461538503</v>
      </c>
      <c r="K354" s="26">
        <v>0.94642857142857095</v>
      </c>
      <c r="L354" s="27">
        <v>0.952380952380952</v>
      </c>
      <c r="M354" s="26">
        <v>0.919191919191919</v>
      </c>
      <c r="N354" s="28">
        <v>0.9</v>
      </c>
      <c r="O354" s="26">
        <v>0.90195145168967195</v>
      </c>
      <c r="P354" s="26">
        <v>0.95391468219975994</v>
      </c>
      <c r="Q354" s="26">
        <v>0.94391179290508198</v>
      </c>
      <c r="R354" s="26">
        <v>0.90099425263246202</v>
      </c>
      <c r="S354" s="28">
        <v>0.9</v>
      </c>
      <c r="T354" s="26">
        <v>0.69704902427415505</v>
      </c>
      <c r="U354" s="26">
        <v>0.59568271372280301</v>
      </c>
      <c r="V354" s="26">
        <v>0.77996164908916599</v>
      </c>
      <c r="W354" s="26">
        <v>0.68150354490917497</v>
      </c>
      <c r="X354" s="28">
        <v>0.92</v>
      </c>
      <c r="Y354" s="28">
        <v>0.79144698301113103</v>
      </c>
      <c r="Z354" s="28">
        <v>0.83758556316117005</v>
      </c>
      <c r="AA354" s="28">
        <v>0.77755775577557795</v>
      </c>
      <c r="AB354" s="28">
        <v>0.80019200768030696</v>
      </c>
      <c r="AC354" s="28">
        <v>0.92</v>
      </c>
      <c r="AD354" s="26">
        <v>0.99107142857142905</v>
      </c>
      <c r="AE354" s="26">
        <v>0.98493150684931496</v>
      </c>
      <c r="AF354" s="26">
        <v>0.99140893470790403</v>
      </c>
      <c r="AG354" s="26">
        <v>0.98901361356579898</v>
      </c>
      <c r="AH354" s="28">
        <v>0.92</v>
      </c>
      <c r="AI354" s="26">
        <v>0.912764158918005</v>
      </c>
      <c r="AJ354" s="26">
        <v>0.94321385420861903</v>
      </c>
      <c r="AK354" s="26">
        <v>0.88339811215991104</v>
      </c>
      <c r="AL354" s="26">
        <v>0.92350236142182496</v>
      </c>
      <c r="AM354" s="25">
        <v>0.99</v>
      </c>
      <c r="AN354" s="30">
        <v>1</v>
      </c>
      <c r="AO354" s="30">
        <v>1</v>
      </c>
      <c r="AP354" s="30">
        <v>1</v>
      </c>
      <c r="AQ354" s="30">
        <v>1</v>
      </c>
      <c r="AR354" s="50">
        <v>0.05</v>
      </c>
      <c r="AS354" s="34">
        <v>7.69230769230769E-2</v>
      </c>
      <c r="AT354" s="34">
        <v>0.15384615384615399</v>
      </c>
      <c r="AU354" s="34">
        <v>0</v>
      </c>
      <c r="AV354" s="34">
        <v>9.3333333333333296E-2</v>
      </c>
      <c r="AW354" s="10"/>
      <c r="AX354" s="8"/>
    </row>
    <row r="355" spans="1:50">
      <c r="A355" s="7"/>
      <c r="B355" s="10"/>
      <c r="C355" s="45" t="s">
        <v>396</v>
      </c>
      <c r="D355" s="23" t="s">
        <v>19</v>
      </c>
      <c r="E355" s="46" t="s">
        <v>401</v>
      </c>
      <c r="F355" s="46" t="s">
        <v>401</v>
      </c>
      <c r="G355" s="46" t="s">
        <v>401</v>
      </c>
      <c r="H355" s="46" t="s">
        <v>401</v>
      </c>
      <c r="I355" s="25">
        <v>0.9</v>
      </c>
      <c r="J355" s="26">
        <v>0.93548387096774199</v>
      </c>
      <c r="K355" s="26">
        <v>0.96875</v>
      </c>
      <c r="L355" s="27">
        <v>1</v>
      </c>
      <c r="M355" s="26">
        <v>0.97297297297297303</v>
      </c>
      <c r="N355" s="28">
        <v>0.9</v>
      </c>
      <c r="O355" s="26">
        <v>0.98210735586481102</v>
      </c>
      <c r="P355" s="26">
        <v>0.98823529411764699</v>
      </c>
      <c r="Q355" s="26">
        <v>0.98773006134969299</v>
      </c>
      <c r="R355" s="26">
        <v>0.98876246663857303</v>
      </c>
      <c r="S355" s="28">
        <v>0.9</v>
      </c>
      <c r="T355" s="26">
        <v>0.87912524850894602</v>
      </c>
      <c r="U355" s="26">
        <v>0.81735294117647095</v>
      </c>
      <c r="V355" s="26">
        <v>0.94390885188431195</v>
      </c>
      <c r="W355" s="26">
        <v>0.87287540384885498</v>
      </c>
      <c r="X355" s="28">
        <v>0.92</v>
      </c>
      <c r="Y355" s="28">
        <v>0.87865367581930898</v>
      </c>
      <c r="Z355" s="28">
        <v>0.940838126540674</v>
      </c>
      <c r="AA355" s="28">
        <v>0.90239410681399601</v>
      </c>
      <c r="AB355" s="28">
        <v>0.892166666666667</v>
      </c>
      <c r="AC355" s="28">
        <v>0.92</v>
      </c>
      <c r="AD355" s="26">
        <v>0.99937225360954196</v>
      </c>
      <c r="AE355" s="26">
        <v>0.99876084262701403</v>
      </c>
      <c r="AF355" s="26">
        <v>0.99957392415849999</v>
      </c>
      <c r="AG355" s="26">
        <v>0.99913502292189305</v>
      </c>
      <c r="AH355" s="28">
        <v>0.92</v>
      </c>
      <c r="AI355" s="26">
        <v>0.94648737650933001</v>
      </c>
      <c r="AJ355" s="26">
        <v>0.97076023391812905</v>
      </c>
      <c r="AK355" s="26">
        <v>0.94748653500897695</v>
      </c>
      <c r="AL355" s="26">
        <v>0.95469367588932796</v>
      </c>
      <c r="AM355" s="25">
        <v>0.99</v>
      </c>
      <c r="AN355" s="30">
        <v>1</v>
      </c>
      <c r="AO355" s="30">
        <v>1</v>
      </c>
      <c r="AP355" s="30">
        <v>1</v>
      </c>
      <c r="AQ355" s="30">
        <v>1</v>
      </c>
      <c r="AR355" s="50">
        <v>0.05</v>
      </c>
      <c r="AS355" s="34">
        <v>9.0909090909090898E-2</v>
      </c>
      <c r="AT355" s="34">
        <v>0</v>
      </c>
      <c r="AU355" s="34">
        <v>0.16666666666666699</v>
      </c>
      <c r="AV355" s="34">
        <v>5.4545454545454501E-2</v>
      </c>
      <c r="AW355" s="10"/>
      <c r="AX355" s="8"/>
    </row>
    <row r="356" spans="1:50">
      <c r="A356" s="7"/>
      <c r="B356" s="10"/>
      <c r="C356" s="45" t="s">
        <v>396</v>
      </c>
      <c r="D356" s="23" t="s">
        <v>19</v>
      </c>
      <c r="E356" s="46" t="s">
        <v>402</v>
      </c>
      <c r="F356" s="46" t="s">
        <v>402</v>
      </c>
      <c r="G356" s="46" t="s">
        <v>402</v>
      </c>
      <c r="H356" s="46" t="s">
        <v>402</v>
      </c>
      <c r="I356" s="25">
        <v>0.9</v>
      </c>
      <c r="J356" s="26">
        <v>0.96491228070175405</v>
      </c>
      <c r="K356" s="26">
        <v>0.98275862068965503</v>
      </c>
      <c r="L356" s="27">
        <v>0.83333333333333304</v>
      </c>
      <c r="M356" s="26">
        <v>0.92523364485981296</v>
      </c>
      <c r="N356" s="28">
        <v>0.9</v>
      </c>
      <c r="O356" s="26">
        <v>0.98117218341937396</v>
      </c>
      <c r="P356" s="26">
        <v>0.96909011754462304</v>
      </c>
      <c r="Q356" s="26">
        <v>0.98422090729782996</v>
      </c>
      <c r="R356" s="26">
        <v>0.97497990892043895</v>
      </c>
      <c r="S356" s="28">
        <v>0.9</v>
      </c>
      <c r="T356" s="26">
        <v>0.94108715457030101</v>
      </c>
      <c r="U356" s="26">
        <v>0.89551589029168499</v>
      </c>
      <c r="V356" s="26">
        <v>0.90927021696252497</v>
      </c>
      <c r="W356" s="26">
        <v>0.90784891508170396</v>
      </c>
      <c r="X356" s="28">
        <v>0.92</v>
      </c>
      <c r="Y356" s="28">
        <v>0.94183445190156601</v>
      </c>
      <c r="Z356" s="28">
        <v>0.92956184137548503</v>
      </c>
      <c r="AA356" s="28">
        <v>0.77450352338244699</v>
      </c>
      <c r="AB356" s="28">
        <v>0.86902125775022099</v>
      </c>
      <c r="AC356" s="28">
        <v>0.92</v>
      </c>
      <c r="AD356" s="26">
        <v>0.98983050847457599</v>
      </c>
      <c r="AE356" s="26">
        <v>0.977491961414791</v>
      </c>
      <c r="AF356" s="26">
        <v>0.98219584569732898</v>
      </c>
      <c r="AG356" s="26">
        <v>0.98835516739446905</v>
      </c>
      <c r="AH356" s="28">
        <v>0.92</v>
      </c>
      <c r="AI356" s="26">
        <v>0.969345647474946</v>
      </c>
      <c r="AJ356" s="26">
        <v>0.97202687919987496</v>
      </c>
      <c r="AK356" s="26">
        <v>0.86340038935756003</v>
      </c>
      <c r="AL356" s="26">
        <v>0.94107245958429597</v>
      </c>
      <c r="AM356" s="25">
        <v>0.99</v>
      </c>
      <c r="AN356" s="30">
        <v>1</v>
      </c>
      <c r="AO356" s="30">
        <v>1</v>
      </c>
      <c r="AP356" s="30">
        <v>1</v>
      </c>
      <c r="AQ356" s="30">
        <v>1</v>
      </c>
      <c r="AR356" s="50">
        <v>0.05</v>
      </c>
      <c r="AS356" s="34">
        <v>0</v>
      </c>
      <c r="AT356" s="34">
        <v>0</v>
      </c>
      <c r="AU356" s="34">
        <v>0.125</v>
      </c>
      <c r="AV356" s="34">
        <v>5.3571428571428603E-2</v>
      </c>
      <c r="AW356" s="10"/>
      <c r="AX356" s="8"/>
    </row>
    <row r="357" spans="1:50">
      <c r="A357" s="7"/>
      <c r="B357" s="10"/>
      <c r="C357" s="45" t="s">
        <v>396</v>
      </c>
      <c r="D357" s="23" t="s">
        <v>19</v>
      </c>
      <c r="E357" s="46" t="s">
        <v>403</v>
      </c>
      <c r="F357" s="46" t="s">
        <v>403</v>
      </c>
      <c r="G357" s="46" t="s">
        <v>403</v>
      </c>
      <c r="H357" s="46" t="s">
        <v>403</v>
      </c>
      <c r="I357" s="25">
        <v>0.9</v>
      </c>
      <c r="J357" s="26">
        <v>1</v>
      </c>
      <c r="K357" s="26">
        <v>1</v>
      </c>
      <c r="L357" s="27">
        <v>1</v>
      </c>
      <c r="M357" s="26">
        <v>0.99453551912568305</v>
      </c>
      <c r="N357" s="28">
        <v>0.9</v>
      </c>
      <c r="O357" s="26">
        <v>0.94469408918078102</v>
      </c>
      <c r="P357" s="26">
        <v>0.98718678815489702</v>
      </c>
      <c r="Q357" s="26">
        <v>0.977308294209703</v>
      </c>
      <c r="R357" s="26">
        <v>0.97745705345168898</v>
      </c>
      <c r="S357" s="28">
        <v>0.9</v>
      </c>
      <c r="T357" s="26">
        <v>0.922917386795714</v>
      </c>
      <c r="U357" s="26">
        <v>0.92369020501138999</v>
      </c>
      <c r="V357" s="26">
        <v>0.90297339593114201</v>
      </c>
      <c r="W357" s="26">
        <v>0.93166868893288202</v>
      </c>
      <c r="X357" s="28">
        <v>0.92</v>
      </c>
      <c r="Y357" s="28">
        <v>0.94629629629629597</v>
      </c>
      <c r="Z357" s="28">
        <v>0.92327811682650396</v>
      </c>
      <c r="AA357" s="28">
        <v>0.92790937178166799</v>
      </c>
      <c r="AB357" s="28">
        <v>0.92038038411336898</v>
      </c>
      <c r="AC357" s="28">
        <v>0.92</v>
      </c>
      <c r="AD357" s="26">
        <v>0.98492462311557805</v>
      </c>
      <c r="AE357" s="26">
        <v>1</v>
      </c>
      <c r="AF357" s="26">
        <v>1</v>
      </c>
      <c r="AG357" s="26">
        <v>0.99721706864563997</v>
      </c>
      <c r="AH357" s="28">
        <v>0.92</v>
      </c>
      <c r="AI357" s="26">
        <v>0.96504903193361802</v>
      </c>
      <c r="AJ357" s="26">
        <v>0.96781115879828306</v>
      </c>
      <c r="AK357" s="26">
        <v>0.94844444444444398</v>
      </c>
      <c r="AL357" s="26">
        <v>0.96219326612136202</v>
      </c>
      <c r="AM357" s="25">
        <v>0.99</v>
      </c>
      <c r="AN357" s="30">
        <v>1</v>
      </c>
      <c r="AO357" s="30">
        <v>1</v>
      </c>
      <c r="AP357" s="30">
        <v>1</v>
      </c>
      <c r="AQ357" s="30">
        <v>1</v>
      </c>
      <c r="AR357" s="50">
        <v>0.05</v>
      </c>
      <c r="AS357" s="34">
        <v>0</v>
      </c>
      <c r="AT357" s="34">
        <v>0</v>
      </c>
      <c r="AU357" s="34">
        <v>0</v>
      </c>
      <c r="AV357" s="34">
        <v>0</v>
      </c>
      <c r="AW357" s="10"/>
      <c r="AX357" s="8"/>
    </row>
    <row r="358" spans="1:50">
      <c r="A358" s="7"/>
      <c r="B358" s="10"/>
      <c r="C358" s="45" t="s">
        <v>396</v>
      </c>
      <c r="D358" s="23" t="s">
        <v>19</v>
      </c>
      <c r="E358" s="62" t="s">
        <v>404</v>
      </c>
      <c r="F358" s="62" t="s">
        <v>404</v>
      </c>
      <c r="G358" s="62" t="s">
        <v>404</v>
      </c>
      <c r="H358" s="62" t="s">
        <v>404</v>
      </c>
      <c r="I358" s="25">
        <v>0.9</v>
      </c>
      <c r="J358" s="26">
        <v>0.95</v>
      </c>
      <c r="K358" s="26">
        <v>0.952380952380952</v>
      </c>
      <c r="L358" s="27">
        <v>0.77777777777777801</v>
      </c>
      <c r="M358" s="26">
        <v>0.91379310344827602</v>
      </c>
      <c r="N358" s="28">
        <v>0.9</v>
      </c>
      <c r="O358" s="26">
        <v>0.96116994452849203</v>
      </c>
      <c r="P358" s="26">
        <v>0.93565683646112596</v>
      </c>
      <c r="Q358" s="26">
        <v>0.90332975295381301</v>
      </c>
      <c r="R358" s="26">
        <v>0.96083432006558001</v>
      </c>
      <c r="S358" s="28">
        <v>0.9</v>
      </c>
      <c r="T358" s="26">
        <v>0.78769541099344398</v>
      </c>
      <c r="U358" s="26">
        <v>0.68747606281118301</v>
      </c>
      <c r="V358" s="26">
        <v>0.89258861439312598</v>
      </c>
      <c r="W358" s="26">
        <v>0.78832316240094702</v>
      </c>
      <c r="X358" s="28">
        <v>0.92</v>
      </c>
      <c r="Y358" s="28">
        <v>0.81884057971014501</v>
      </c>
      <c r="Z358" s="28">
        <v>0.84855769230769196</v>
      </c>
      <c r="AA358" s="28">
        <v>0.85294117647058798</v>
      </c>
      <c r="AB358" s="28">
        <v>0.83248866364363805</v>
      </c>
      <c r="AC358" s="28">
        <v>0.92</v>
      </c>
      <c r="AD358" s="26">
        <v>0.97560975609756095</v>
      </c>
      <c r="AE358" s="26">
        <v>0.95</v>
      </c>
      <c r="AF358" s="26">
        <v>1</v>
      </c>
      <c r="AG358" s="26">
        <v>0.97090909090909105</v>
      </c>
      <c r="AH358" s="28">
        <v>0.92</v>
      </c>
      <c r="AI358" s="26">
        <v>0.92779648335203901</v>
      </c>
      <c r="AJ358" s="26">
        <v>0.94279907084785097</v>
      </c>
      <c r="AK358" s="26">
        <v>0.91816491010539403</v>
      </c>
      <c r="AL358" s="26">
        <v>0.93464096647210504</v>
      </c>
      <c r="AM358" s="25">
        <v>0.99</v>
      </c>
      <c r="AN358" s="30">
        <v>1</v>
      </c>
      <c r="AO358" s="30">
        <v>1</v>
      </c>
      <c r="AP358" s="30">
        <v>1</v>
      </c>
      <c r="AQ358" s="30">
        <v>1</v>
      </c>
      <c r="AR358" s="50">
        <v>0.05</v>
      </c>
      <c r="AS358" s="34">
        <v>0</v>
      </c>
      <c r="AT358" s="34">
        <v>7.69230769230769E-2</v>
      </c>
      <c r="AU358" s="34">
        <v>0.125</v>
      </c>
      <c r="AV358" s="34">
        <v>6.3829787234042507E-2</v>
      </c>
      <c r="AW358" s="10"/>
      <c r="AX358" s="8"/>
    </row>
    <row r="359" spans="1:50">
      <c r="A359" s="7"/>
      <c r="B359" s="10"/>
      <c r="C359" s="45" t="s">
        <v>396</v>
      </c>
      <c r="D359" s="23" t="s">
        <v>19</v>
      </c>
      <c r="E359" s="46" t="s">
        <v>405</v>
      </c>
      <c r="F359" s="46" t="s">
        <v>405</v>
      </c>
      <c r="G359" s="46" t="s">
        <v>405</v>
      </c>
      <c r="H359" s="46" t="s">
        <v>405</v>
      </c>
      <c r="I359" s="25">
        <v>0.9</v>
      </c>
      <c r="J359" s="26">
        <v>0.96153846153846201</v>
      </c>
      <c r="K359" s="26">
        <v>0.93333333333333302</v>
      </c>
      <c r="L359" s="27">
        <v>0.96</v>
      </c>
      <c r="M359" s="26">
        <v>0.95597484276729605</v>
      </c>
      <c r="N359" s="28">
        <v>0.9</v>
      </c>
      <c r="O359" s="26">
        <v>0</v>
      </c>
      <c r="P359" s="26">
        <v>0</v>
      </c>
      <c r="Q359" s="26">
        <v>0</v>
      </c>
      <c r="R359" s="26">
        <v>0.1</v>
      </c>
      <c r="S359" s="28">
        <v>0.9</v>
      </c>
      <c r="T359" s="26">
        <v>0</v>
      </c>
      <c r="U359" s="26">
        <v>0</v>
      </c>
      <c r="V359" s="26">
        <v>0</v>
      </c>
      <c r="W359" s="26">
        <v>0.1</v>
      </c>
      <c r="X359" s="28">
        <v>0.92</v>
      </c>
      <c r="Y359" s="28">
        <v>0</v>
      </c>
      <c r="Z359" s="28">
        <v>0.66666666666666696</v>
      </c>
      <c r="AA359" s="28">
        <v>1</v>
      </c>
      <c r="AB359" s="28">
        <v>0.63157894736842102</v>
      </c>
      <c r="AC359" s="28">
        <v>0.92</v>
      </c>
      <c r="AD359" s="26">
        <v>1</v>
      </c>
      <c r="AE359" s="26">
        <v>0.99337748344370902</v>
      </c>
      <c r="AF359" s="26">
        <v>0.99750623441396502</v>
      </c>
      <c r="AG359" s="26">
        <v>0.99441563621858797</v>
      </c>
      <c r="AH359" s="28">
        <v>0.92</v>
      </c>
      <c r="AI359" s="26">
        <v>0.97222222222222199</v>
      </c>
      <c r="AJ359" s="26">
        <v>0.98471017800091298</v>
      </c>
      <c r="AK359" s="26">
        <v>0.99379267535692095</v>
      </c>
      <c r="AL359" s="26">
        <v>0.98431227551236</v>
      </c>
      <c r="AM359" s="25">
        <v>0.99</v>
      </c>
      <c r="AN359" s="30">
        <v>1</v>
      </c>
      <c r="AO359" s="30">
        <v>1</v>
      </c>
      <c r="AP359" s="30">
        <v>1</v>
      </c>
      <c r="AQ359" s="30">
        <v>1</v>
      </c>
      <c r="AR359" s="50">
        <v>0.05</v>
      </c>
      <c r="AS359" s="34">
        <v>0.33333333333333298</v>
      </c>
      <c r="AT359" s="34">
        <v>0</v>
      </c>
      <c r="AU359" s="34">
        <v>0</v>
      </c>
      <c r="AV359" s="34">
        <v>6.1224489795918401E-2</v>
      </c>
      <c r="AW359" s="10"/>
      <c r="AX359" s="8"/>
    </row>
    <row r="360" spans="1:50">
      <c r="A360" s="7"/>
      <c r="B360" s="10"/>
      <c r="C360" s="45" t="s">
        <v>396</v>
      </c>
      <c r="D360" s="23" t="s">
        <v>19</v>
      </c>
      <c r="E360" s="46" t="s">
        <v>406</v>
      </c>
      <c r="F360" s="46" t="s">
        <v>406</v>
      </c>
      <c r="G360" s="46" t="s">
        <v>406</v>
      </c>
      <c r="H360" s="46" t="s">
        <v>406</v>
      </c>
      <c r="I360" s="25">
        <v>0.9</v>
      </c>
      <c r="J360" s="26">
        <v>0.97777777777777797</v>
      </c>
      <c r="K360" s="26">
        <v>1</v>
      </c>
      <c r="L360" s="27">
        <v>1</v>
      </c>
      <c r="M360" s="26">
        <v>0.98490566037735805</v>
      </c>
      <c r="N360" s="28">
        <v>0.9</v>
      </c>
      <c r="O360" s="26">
        <v>0.97278750591576002</v>
      </c>
      <c r="P360" s="26">
        <v>0.93917616126205095</v>
      </c>
      <c r="Q360" s="26">
        <v>0.98888351860802304</v>
      </c>
      <c r="R360" s="26">
        <v>0.96657082779041303</v>
      </c>
      <c r="S360" s="28">
        <v>0.9</v>
      </c>
      <c r="T360" s="26">
        <v>0.845953620444865</v>
      </c>
      <c r="U360" s="26">
        <v>0.78387379491674003</v>
      </c>
      <c r="V360" s="26">
        <v>0.918318028032866</v>
      </c>
      <c r="W360" s="26">
        <v>0.83594386988799696</v>
      </c>
      <c r="X360" s="28">
        <v>0.92</v>
      </c>
      <c r="Y360" s="28">
        <v>0.870144284128746</v>
      </c>
      <c r="Z360" s="28">
        <v>0.86824925816023701</v>
      </c>
      <c r="AA360" s="28">
        <v>0.90383365821962303</v>
      </c>
      <c r="AB360" s="28">
        <v>0.87070637909391801</v>
      </c>
      <c r="AC360" s="28">
        <v>0.92</v>
      </c>
      <c r="AD360" s="26">
        <v>0.99761573614146604</v>
      </c>
      <c r="AE360" s="26">
        <v>0.99642908155977705</v>
      </c>
      <c r="AF360" s="26">
        <v>0.99740611255216005</v>
      </c>
      <c r="AG360" s="26">
        <v>0.99733454167444102</v>
      </c>
      <c r="AH360" s="28">
        <v>0.92</v>
      </c>
      <c r="AI360" s="26">
        <v>0.93816312997347495</v>
      </c>
      <c r="AJ360" s="26">
        <v>0.94804491949668501</v>
      </c>
      <c r="AK360" s="26">
        <v>0.94846217788861198</v>
      </c>
      <c r="AL360" s="26">
        <v>0.94216499345264104</v>
      </c>
      <c r="AM360" s="25">
        <v>0.99</v>
      </c>
      <c r="AN360" s="30">
        <v>1</v>
      </c>
      <c r="AO360" s="30">
        <v>1</v>
      </c>
      <c r="AP360" s="30">
        <v>1</v>
      </c>
      <c r="AQ360" s="30">
        <v>1</v>
      </c>
      <c r="AR360" s="50">
        <v>0.05</v>
      </c>
      <c r="AS360" s="34">
        <v>0</v>
      </c>
      <c r="AT360" s="34">
        <v>1.6E-2</v>
      </c>
      <c r="AU360" s="34">
        <v>0</v>
      </c>
      <c r="AV360" s="34">
        <v>5.8823529411764696E-3</v>
      </c>
      <c r="AW360" s="10"/>
      <c r="AX360" s="8"/>
    </row>
    <row r="361" spans="1:50">
      <c r="A361" s="7"/>
      <c r="B361" s="10"/>
      <c r="C361" s="45" t="s">
        <v>396</v>
      </c>
      <c r="D361" s="23" t="s">
        <v>19</v>
      </c>
      <c r="E361" s="46" t="s">
        <v>407</v>
      </c>
      <c r="F361" s="46" t="s">
        <v>407</v>
      </c>
      <c r="G361" s="46" t="s">
        <v>407</v>
      </c>
      <c r="H361" s="46" t="s">
        <v>407</v>
      </c>
      <c r="I361" s="25">
        <v>0.9</v>
      </c>
      <c r="J361" s="26">
        <v>0.82692307692307698</v>
      </c>
      <c r="K361" s="26">
        <v>0.92857142857142905</v>
      </c>
      <c r="L361" s="27">
        <v>0.89361702127659604</v>
      </c>
      <c r="M361" s="26">
        <v>0.89225589225589197</v>
      </c>
      <c r="N361" s="28">
        <v>0.9</v>
      </c>
      <c r="O361" s="26">
        <v>0.91692040017398901</v>
      </c>
      <c r="P361" s="26">
        <v>0.96525409969150799</v>
      </c>
      <c r="Q361" s="26">
        <v>0.91958859280037397</v>
      </c>
      <c r="R361" s="26">
        <v>0.91930411242485799</v>
      </c>
      <c r="S361" s="28">
        <v>0.9</v>
      </c>
      <c r="T361" s="26">
        <v>0.72901261418007801</v>
      </c>
      <c r="U361" s="26">
        <v>0.69020944958597197</v>
      </c>
      <c r="V361" s="26">
        <v>0.80551659654043894</v>
      </c>
      <c r="W361" s="26">
        <v>0.74234643098849495</v>
      </c>
      <c r="X361" s="28">
        <v>0.92</v>
      </c>
      <c r="Y361" s="28">
        <v>0.81018518518518501</v>
      </c>
      <c r="Z361" s="28">
        <v>0.90847072200113699</v>
      </c>
      <c r="AA361" s="28">
        <v>0.88588588588588602</v>
      </c>
      <c r="AB361" s="28">
        <v>0.86702714632531497</v>
      </c>
      <c r="AC361" s="28">
        <v>0.92</v>
      </c>
      <c r="AD361" s="26">
        <v>0.99583333333333302</v>
      </c>
      <c r="AE361" s="26">
        <v>0.98143236074270601</v>
      </c>
      <c r="AF361" s="26">
        <v>0.99488054607508503</v>
      </c>
      <c r="AG361" s="26">
        <v>0.99169184290030199</v>
      </c>
      <c r="AH361" s="28">
        <v>0.92</v>
      </c>
      <c r="AI361" s="26">
        <v>0.91614479914464597</v>
      </c>
      <c r="AJ361" s="26">
        <v>0.95644489332155003</v>
      </c>
      <c r="AK361" s="26">
        <v>0.93538219070133999</v>
      </c>
      <c r="AL361" s="26">
        <v>0.94191963502368803</v>
      </c>
      <c r="AM361" s="25">
        <v>0.99</v>
      </c>
      <c r="AN361" s="30">
        <v>1</v>
      </c>
      <c r="AO361" s="30">
        <v>1</v>
      </c>
      <c r="AP361" s="30">
        <v>1</v>
      </c>
      <c r="AQ361" s="30">
        <v>1</v>
      </c>
      <c r="AR361" s="50">
        <v>0.05</v>
      </c>
      <c r="AS361" s="34">
        <v>0</v>
      </c>
      <c r="AT361" s="34">
        <v>7.1428571428571397E-2</v>
      </c>
      <c r="AU361" s="34">
        <v>0</v>
      </c>
      <c r="AV361" s="34">
        <v>5.9701492537313397E-2</v>
      </c>
      <c r="AW361" s="10"/>
      <c r="AX361" s="8"/>
    </row>
    <row r="362" spans="1:50">
      <c r="A362" s="7"/>
      <c r="B362" s="10"/>
      <c r="C362" s="45" t="s">
        <v>396</v>
      </c>
      <c r="D362" s="23" t="s">
        <v>19</v>
      </c>
      <c r="E362" s="46" t="s">
        <v>408</v>
      </c>
      <c r="F362" s="46" t="s">
        <v>408</v>
      </c>
      <c r="G362" s="46" t="s">
        <v>408</v>
      </c>
      <c r="H362" s="46" t="s">
        <v>408</v>
      </c>
      <c r="I362" s="25">
        <v>0.9</v>
      </c>
      <c r="J362" s="26">
        <v>1</v>
      </c>
      <c r="K362" s="26">
        <v>1</v>
      </c>
      <c r="L362" s="27">
        <v>1</v>
      </c>
      <c r="M362" s="26">
        <v>0.99612403100775204</v>
      </c>
      <c r="N362" s="28">
        <v>0.9</v>
      </c>
      <c r="O362" s="26">
        <v>8.3333333333333301E-2</v>
      </c>
      <c r="P362" s="26">
        <v>1</v>
      </c>
      <c r="Q362" s="26">
        <v>0</v>
      </c>
      <c r="R362" s="26">
        <v>0.2</v>
      </c>
      <c r="S362" s="28">
        <v>0.9</v>
      </c>
      <c r="T362" s="26">
        <v>0</v>
      </c>
      <c r="U362" s="26">
        <v>0.5</v>
      </c>
      <c r="V362" s="26">
        <v>0</v>
      </c>
      <c r="W362" s="26">
        <v>0.133333333333333</v>
      </c>
      <c r="X362" s="28">
        <v>0.92</v>
      </c>
      <c r="Y362" s="28">
        <v>0.14285714285714299</v>
      </c>
      <c r="Z362" s="28">
        <v>0</v>
      </c>
      <c r="AA362" s="28">
        <v>0</v>
      </c>
      <c r="AB362" s="28">
        <v>0.77777777777777801</v>
      </c>
      <c r="AC362" s="28">
        <v>0.92</v>
      </c>
      <c r="AD362" s="26">
        <v>0.94890510948905105</v>
      </c>
      <c r="AE362" s="26">
        <v>0.97756410256410298</v>
      </c>
      <c r="AF362" s="26">
        <v>0.96521739130434803</v>
      </c>
      <c r="AG362" s="26">
        <v>0.97679607318161499</v>
      </c>
      <c r="AH362" s="28">
        <v>0.92</v>
      </c>
      <c r="AI362" s="26">
        <v>0.97604116417430498</v>
      </c>
      <c r="AJ362" s="26">
        <v>0.97610110110110104</v>
      </c>
      <c r="AK362" s="26">
        <v>0.97283702213279699</v>
      </c>
      <c r="AL362" s="26">
        <v>0.97740627570807403</v>
      </c>
      <c r="AM362" s="25">
        <v>0.99</v>
      </c>
      <c r="AN362" s="30">
        <v>1</v>
      </c>
      <c r="AO362" s="30">
        <v>1</v>
      </c>
      <c r="AP362" s="30">
        <v>1</v>
      </c>
      <c r="AQ362" s="30">
        <v>1</v>
      </c>
      <c r="AR362" s="50">
        <v>0.05</v>
      </c>
      <c r="AS362" s="34">
        <v>0.12</v>
      </c>
      <c r="AT362" s="34">
        <v>0</v>
      </c>
      <c r="AU362" s="34">
        <v>8.3333333333333301E-2</v>
      </c>
      <c r="AV362" s="34">
        <v>6.4220183486238494E-2</v>
      </c>
      <c r="AW362" s="10"/>
      <c r="AX362" s="8"/>
    </row>
    <row r="363" spans="1:50">
      <c r="A363" s="7"/>
      <c r="B363" s="10"/>
      <c r="C363" s="45" t="s">
        <v>396</v>
      </c>
      <c r="D363" s="23" t="s">
        <v>19</v>
      </c>
      <c r="E363" s="46" t="s">
        <v>409</v>
      </c>
      <c r="F363" s="46" t="s">
        <v>409</v>
      </c>
      <c r="G363" s="46" t="s">
        <v>409</v>
      </c>
      <c r="H363" s="46" t="s">
        <v>409</v>
      </c>
      <c r="I363" s="25">
        <v>0.9</v>
      </c>
      <c r="J363" s="26">
        <v>0.90909090909090895</v>
      </c>
      <c r="K363" s="26">
        <v>0.98275862068965503</v>
      </c>
      <c r="L363" s="27">
        <v>0.91489361702127703</v>
      </c>
      <c r="M363" s="26">
        <v>0.93730407523510995</v>
      </c>
      <c r="N363" s="28">
        <v>0.9</v>
      </c>
      <c r="O363" s="26">
        <v>0.97431062927174195</v>
      </c>
      <c r="P363" s="26">
        <v>0.98988195615514296</v>
      </c>
      <c r="Q363" s="26">
        <v>0.96918335901386798</v>
      </c>
      <c r="R363" s="26">
        <v>0.98543858123967698</v>
      </c>
      <c r="S363" s="28">
        <v>0.9</v>
      </c>
      <c r="T363" s="26">
        <v>0.83195851991515402</v>
      </c>
      <c r="U363" s="26">
        <v>0.771407157579164</v>
      </c>
      <c r="V363" s="26">
        <v>0.80431432973805805</v>
      </c>
      <c r="W363" s="26">
        <v>0.81765626358341303</v>
      </c>
      <c r="X363" s="28">
        <v>0.92</v>
      </c>
      <c r="Y363" s="28">
        <v>0.92036930178880505</v>
      </c>
      <c r="Z363" s="28">
        <v>0.90760233918128697</v>
      </c>
      <c r="AA363" s="28">
        <v>0.78709677419354795</v>
      </c>
      <c r="AB363" s="28">
        <v>0.86590271851761502</v>
      </c>
      <c r="AC363" s="28">
        <v>0.92</v>
      </c>
      <c r="AD363" s="26">
        <v>0.99672560576293401</v>
      </c>
      <c r="AE363" s="26">
        <v>0.99835164835164802</v>
      </c>
      <c r="AF363" s="26">
        <v>0.997575757575758</v>
      </c>
      <c r="AG363" s="26">
        <v>0.99766726752200197</v>
      </c>
      <c r="AH363" s="28">
        <v>0.92</v>
      </c>
      <c r="AI363" s="26">
        <v>0.95216591403244699</v>
      </c>
      <c r="AJ363" s="26">
        <v>0.96155483047240697</v>
      </c>
      <c r="AK363" s="26">
        <v>0.88124439126533005</v>
      </c>
      <c r="AL363" s="26">
        <v>0.94185674013326504</v>
      </c>
      <c r="AM363" s="25">
        <v>0.99</v>
      </c>
      <c r="AN363" s="30">
        <v>1</v>
      </c>
      <c r="AO363" s="30">
        <v>1</v>
      </c>
      <c r="AP363" s="30">
        <v>1</v>
      </c>
      <c r="AQ363" s="30">
        <v>1</v>
      </c>
      <c r="AR363" s="50">
        <v>0.05</v>
      </c>
      <c r="AS363" s="34">
        <v>5.5555555555555601E-2</v>
      </c>
      <c r="AT363" s="34">
        <v>0</v>
      </c>
      <c r="AU363" s="34">
        <v>0.2</v>
      </c>
      <c r="AV363" s="34">
        <v>6.7415730337078594E-2</v>
      </c>
      <c r="AW363" s="10"/>
      <c r="AX363" s="8"/>
    </row>
    <row r="364" spans="1:50">
      <c r="A364" s="7"/>
      <c r="B364" s="10"/>
      <c r="C364" s="45" t="s">
        <v>396</v>
      </c>
      <c r="D364" s="23" t="s">
        <v>19</v>
      </c>
      <c r="E364" s="46" t="s">
        <v>410</v>
      </c>
      <c r="F364" s="46" t="s">
        <v>410</v>
      </c>
      <c r="G364" s="46" t="s">
        <v>410</v>
      </c>
      <c r="H364" s="46" t="s">
        <v>410</v>
      </c>
      <c r="I364" s="25">
        <v>0.9</v>
      </c>
      <c r="J364" s="26">
        <v>0.85245901639344301</v>
      </c>
      <c r="K364" s="26">
        <v>0.80952380952380998</v>
      </c>
      <c r="L364" s="27">
        <v>0.79661016949152497</v>
      </c>
      <c r="M364" s="26">
        <v>0.81844380403458195</v>
      </c>
      <c r="N364" s="28">
        <v>0.9</v>
      </c>
      <c r="O364" s="26">
        <v>0.92464966689639305</v>
      </c>
      <c r="P364" s="26">
        <v>0.93254707221187705</v>
      </c>
      <c r="Q364" s="26">
        <v>0.79660429660429699</v>
      </c>
      <c r="R364" s="26">
        <v>0.87100299330070796</v>
      </c>
      <c r="S364" s="28">
        <v>0.9</v>
      </c>
      <c r="T364" s="26">
        <v>0.71697679761084299</v>
      </c>
      <c r="U364" s="26">
        <v>0.62342230498655105</v>
      </c>
      <c r="V364" s="26">
        <v>0.80006930006929999</v>
      </c>
      <c r="W364" s="26">
        <v>0.70295053926925499</v>
      </c>
      <c r="X364" s="28">
        <v>0.92</v>
      </c>
      <c r="Y364" s="28">
        <v>0.887407083515523</v>
      </c>
      <c r="Z364" s="28">
        <v>0.86572128851540597</v>
      </c>
      <c r="AA364" s="28">
        <v>0.84082332761578005</v>
      </c>
      <c r="AB364" s="28">
        <v>0.861749963143152</v>
      </c>
      <c r="AC364" s="28">
        <v>0.92</v>
      </c>
      <c r="AD364" s="26">
        <v>0.97374621339616296</v>
      </c>
      <c r="AE364" s="26">
        <v>0.97008609368159904</v>
      </c>
      <c r="AF364" s="26">
        <v>0.98161447859810402</v>
      </c>
      <c r="AG364" s="26">
        <v>0.97305740987984002</v>
      </c>
      <c r="AH364" s="28">
        <v>0.92</v>
      </c>
      <c r="AI364" s="26">
        <v>0.91961486789072999</v>
      </c>
      <c r="AJ364" s="26">
        <v>0.89694041867954899</v>
      </c>
      <c r="AK364" s="26">
        <v>0.87891296869625002</v>
      </c>
      <c r="AL364" s="26">
        <v>0.89524658841096705</v>
      </c>
      <c r="AM364" s="25">
        <v>0.99</v>
      </c>
      <c r="AN364" s="30">
        <v>1</v>
      </c>
      <c r="AO364" s="30">
        <v>1</v>
      </c>
      <c r="AP364" s="30">
        <v>1</v>
      </c>
      <c r="AQ364" s="30">
        <v>1</v>
      </c>
      <c r="AR364" s="50">
        <v>0.05</v>
      </c>
      <c r="AS364" s="34">
        <v>5.5555555555555601E-2</v>
      </c>
      <c r="AT364" s="34">
        <v>2.7777777777777801E-2</v>
      </c>
      <c r="AU364" s="34">
        <v>4.7619047619047603E-2</v>
      </c>
      <c r="AV364" s="34">
        <v>2.7363184079602001E-2</v>
      </c>
      <c r="AW364" s="10"/>
      <c r="AX364" s="8"/>
    </row>
    <row r="365" spans="1:50">
      <c r="A365" s="7"/>
      <c r="B365" s="10"/>
      <c r="C365" s="45" t="s">
        <v>396</v>
      </c>
      <c r="D365" s="23" t="s">
        <v>19</v>
      </c>
      <c r="E365" s="46" t="s">
        <v>411</v>
      </c>
      <c r="F365" s="46" t="s">
        <v>411</v>
      </c>
      <c r="G365" s="46" t="s">
        <v>411</v>
      </c>
      <c r="H365" s="46" t="s">
        <v>411</v>
      </c>
      <c r="I365" s="25">
        <v>0.9</v>
      </c>
      <c r="J365" s="26">
        <v>0.72</v>
      </c>
      <c r="K365" s="26">
        <v>0.77358490566037696</v>
      </c>
      <c r="L365" s="27">
        <v>0.73913043478260898</v>
      </c>
      <c r="M365" s="26">
        <v>0.713804713804714</v>
      </c>
      <c r="N365" s="28">
        <v>0.9</v>
      </c>
      <c r="O365" s="26">
        <v>0.95</v>
      </c>
      <c r="P365" s="26">
        <v>0.68039702233250599</v>
      </c>
      <c r="Q365" s="26">
        <v>0.77481542247744095</v>
      </c>
      <c r="R365" s="26">
        <v>0.72660247592847305</v>
      </c>
      <c r="S365" s="28">
        <v>0.9</v>
      </c>
      <c r="T365" s="26">
        <v>0.76615384615384596</v>
      </c>
      <c r="U365" s="26">
        <v>0.754590570719603</v>
      </c>
      <c r="V365" s="26">
        <v>0.76702214930270696</v>
      </c>
      <c r="W365" s="26">
        <v>0.769628610729023</v>
      </c>
      <c r="X365" s="28">
        <v>0.92</v>
      </c>
      <c r="Y365" s="28">
        <v>0.921238124425375</v>
      </c>
      <c r="Z365" s="28">
        <v>0.94883720930232596</v>
      </c>
      <c r="AA365" s="28">
        <v>0.92072072072072098</v>
      </c>
      <c r="AB365" s="28">
        <v>0.93078363198716196</v>
      </c>
      <c r="AC365" s="28">
        <v>0.92</v>
      </c>
      <c r="AD365" s="26">
        <v>0.99293050553554796</v>
      </c>
      <c r="AE365" s="26">
        <v>0.822297044519267</v>
      </c>
      <c r="AF365" s="26">
        <v>0.91746890210924803</v>
      </c>
      <c r="AG365" s="26">
        <v>0.92065188986292301</v>
      </c>
      <c r="AH365" s="28">
        <v>0.92</v>
      </c>
      <c r="AI365" s="26">
        <v>0.94939355918025903</v>
      </c>
      <c r="AJ365" s="26">
        <v>0.96630675165864399</v>
      </c>
      <c r="AK365" s="26">
        <v>0.93868520859671301</v>
      </c>
      <c r="AL365" s="26">
        <v>0.95391243090928801</v>
      </c>
      <c r="AM365" s="25">
        <v>0.99</v>
      </c>
      <c r="AN365" s="30">
        <v>0.97972972972973005</v>
      </c>
      <c r="AO365" s="30">
        <v>1</v>
      </c>
      <c r="AP365" s="30">
        <v>1</v>
      </c>
      <c r="AQ365" s="30">
        <v>0.99504132231404996</v>
      </c>
      <c r="AR365" s="50">
        <v>0.05</v>
      </c>
      <c r="AS365" s="34">
        <v>7.8947368421052599E-2</v>
      </c>
      <c r="AT365" s="34">
        <v>4.2553191489361701E-2</v>
      </c>
      <c r="AU365" s="34">
        <v>3.8461538461538498E-2</v>
      </c>
      <c r="AV365" s="34">
        <v>3.6697247706422E-2</v>
      </c>
      <c r="AW365" s="10"/>
      <c r="AX365" s="8"/>
    </row>
    <row r="366" spans="1:50">
      <c r="A366" s="7"/>
      <c r="B366" s="10"/>
      <c r="C366" s="45" t="s">
        <v>396</v>
      </c>
      <c r="D366" s="23" t="s">
        <v>19</v>
      </c>
      <c r="E366" s="46" t="s">
        <v>412</v>
      </c>
      <c r="F366" s="46" t="s">
        <v>412</v>
      </c>
      <c r="G366" s="46" t="s">
        <v>412</v>
      </c>
      <c r="H366" s="46" t="s">
        <v>412</v>
      </c>
      <c r="I366" s="25">
        <v>0.9</v>
      </c>
      <c r="J366" s="26">
        <v>0.66666666666666696</v>
      </c>
      <c r="K366" s="26">
        <v>0.68918918918918903</v>
      </c>
      <c r="L366" s="27">
        <v>0.69117647058823495</v>
      </c>
      <c r="M366" s="26">
        <v>0.62907268170426101</v>
      </c>
      <c r="N366" s="28">
        <v>0.9</v>
      </c>
      <c r="O366" s="26">
        <v>0.81588089330024804</v>
      </c>
      <c r="P366" s="26">
        <v>0.85524707525755195</v>
      </c>
      <c r="Q366" s="26">
        <v>0.83770883054892598</v>
      </c>
      <c r="R366" s="26">
        <v>0.80109168285687804</v>
      </c>
      <c r="S366" s="28">
        <v>0.9</v>
      </c>
      <c r="T366" s="26">
        <v>0.745409429280397</v>
      </c>
      <c r="U366" s="26">
        <v>0.682207089226471</v>
      </c>
      <c r="V366" s="26">
        <v>0.74821002386634805</v>
      </c>
      <c r="W366" s="26">
        <v>0.71139790914978296</v>
      </c>
      <c r="X366" s="28">
        <v>0.92</v>
      </c>
      <c r="Y366" s="28">
        <v>0.90388457269700295</v>
      </c>
      <c r="Z366" s="28">
        <v>0.90722968650031999</v>
      </c>
      <c r="AA366" s="28">
        <v>0.90949077990187799</v>
      </c>
      <c r="AB366" s="28">
        <v>0.89908826382153295</v>
      </c>
      <c r="AC366" s="28">
        <v>0.92</v>
      </c>
      <c r="AD366" s="26">
        <v>0.99654996166624099</v>
      </c>
      <c r="AE366" s="26">
        <v>0.99171344560277996</v>
      </c>
      <c r="AF366" s="26">
        <v>0.990266421936704</v>
      </c>
      <c r="AG366" s="26">
        <v>0.990694018307681</v>
      </c>
      <c r="AH366" s="28">
        <v>0.92</v>
      </c>
      <c r="AI366" s="26">
        <v>0.92454598711189195</v>
      </c>
      <c r="AJ366" s="26">
        <v>0.93092199942435006</v>
      </c>
      <c r="AK366" s="26">
        <v>0.92193617273697903</v>
      </c>
      <c r="AL366" s="26">
        <v>0.92149666751033499</v>
      </c>
      <c r="AM366" s="25">
        <v>0.99</v>
      </c>
      <c r="AN366" s="30">
        <v>1</v>
      </c>
      <c r="AO366" s="30">
        <v>1</v>
      </c>
      <c r="AP366" s="30">
        <v>1</v>
      </c>
      <c r="AQ366" s="30">
        <v>1</v>
      </c>
      <c r="AR366" s="50">
        <v>0.05</v>
      </c>
      <c r="AS366" s="34">
        <v>3.2786885245901599E-2</v>
      </c>
      <c r="AT366" s="34">
        <v>0.101694915254237</v>
      </c>
      <c r="AU366" s="34">
        <v>5.1282051282051301E-2</v>
      </c>
      <c r="AV366" s="34">
        <v>4.3988269794721403E-2</v>
      </c>
      <c r="AW366" s="10"/>
      <c r="AX366" s="8"/>
    </row>
    <row r="367" spans="1:50">
      <c r="A367" s="7"/>
      <c r="B367" s="10"/>
      <c r="C367" s="45" t="s">
        <v>396</v>
      </c>
      <c r="D367" s="23" t="s">
        <v>19</v>
      </c>
      <c r="E367" s="46" t="s">
        <v>413</v>
      </c>
      <c r="F367" s="46" t="s">
        <v>413</v>
      </c>
      <c r="G367" s="46" t="s">
        <v>413</v>
      </c>
      <c r="H367" s="46" t="s">
        <v>413</v>
      </c>
      <c r="I367" s="25">
        <v>0.9</v>
      </c>
      <c r="J367" s="26">
        <v>0.93650793650793696</v>
      </c>
      <c r="K367" s="26">
        <v>0.92063492063492103</v>
      </c>
      <c r="L367" s="27">
        <v>0.86666666666666703</v>
      </c>
      <c r="M367" s="26">
        <v>0.903954802259887</v>
      </c>
      <c r="N367" s="28">
        <v>0.9</v>
      </c>
      <c r="O367" s="26">
        <v>0.99276627587927202</v>
      </c>
      <c r="P367" s="26">
        <v>0.98038773669972901</v>
      </c>
      <c r="Q367" s="26">
        <v>0.97197032151689999</v>
      </c>
      <c r="R367" s="26">
        <v>0.96738906088751297</v>
      </c>
      <c r="S367" s="28">
        <v>0.9</v>
      </c>
      <c r="T367" s="26">
        <v>0.80044898977301104</v>
      </c>
      <c r="U367" s="26">
        <v>0.73128944995491396</v>
      </c>
      <c r="V367" s="26">
        <v>0.867683429513603</v>
      </c>
      <c r="W367" s="26">
        <v>0.80753353973168196</v>
      </c>
      <c r="X367" s="28">
        <v>0.92</v>
      </c>
      <c r="Y367" s="28">
        <v>0.77312917834807005</v>
      </c>
      <c r="Z367" s="28">
        <v>0.71938972576284299</v>
      </c>
      <c r="AA367" s="28">
        <v>0.74418987967694095</v>
      </c>
      <c r="AB367" s="28">
        <v>0.75085384317453596</v>
      </c>
      <c r="AC367" s="28">
        <v>0.92</v>
      </c>
      <c r="AD367" s="26">
        <v>0.99219150025601599</v>
      </c>
      <c r="AE367" s="26">
        <v>0.98354483335657505</v>
      </c>
      <c r="AF367" s="26">
        <v>0.97669902912621398</v>
      </c>
      <c r="AG367" s="26">
        <v>0.98148955653425196</v>
      </c>
      <c r="AH367" s="28">
        <v>0.92</v>
      </c>
      <c r="AI367" s="26">
        <v>0.85641618497109795</v>
      </c>
      <c r="AJ367" s="26">
        <v>0.81509983361064897</v>
      </c>
      <c r="AK367" s="26">
        <v>0.80336549776417998</v>
      </c>
      <c r="AL367" s="26">
        <v>0.82833776067267695</v>
      </c>
      <c r="AM367" s="25">
        <v>0.99</v>
      </c>
      <c r="AN367" s="30">
        <v>1</v>
      </c>
      <c r="AO367" s="30">
        <v>1</v>
      </c>
      <c r="AP367" s="30">
        <v>1</v>
      </c>
      <c r="AQ367" s="30">
        <v>1</v>
      </c>
      <c r="AR367" s="50">
        <v>0.05</v>
      </c>
      <c r="AS367" s="34">
        <v>0.114285714285714</v>
      </c>
      <c r="AT367" s="34">
        <v>6.25E-2</v>
      </c>
      <c r="AU367" s="34">
        <v>4.1666666666666699E-2</v>
      </c>
      <c r="AV367" s="34">
        <v>5.9405940594059403E-2</v>
      </c>
      <c r="AW367" s="10"/>
      <c r="AX367" s="8"/>
    </row>
    <row r="368" spans="1:50">
      <c r="A368" s="7"/>
      <c r="B368" s="10"/>
      <c r="C368" s="45" t="s">
        <v>396</v>
      </c>
      <c r="D368" s="23" t="s">
        <v>19</v>
      </c>
      <c r="E368" s="46" t="s">
        <v>414</v>
      </c>
      <c r="F368" s="46" t="s">
        <v>414</v>
      </c>
      <c r="G368" s="46" t="s">
        <v>414</v>
      </c>
      <c r="H368" s="46" t="s">
        <v>414</v>
      </c>
      <c r="I368" s="25">
        <v>0.9</v>
      </c>
      <c r="J368" s="26">
        <v>0.83050847457627097</v>
      </c>
      <c r="K368" s="26">
        <v>0.88135593220339004</v>
      </c>
      <c r="L368" s="27">
        <v>0.78181818181818197</v>
      </c>
      <c r="M368" s="26">
        <v>0.82874617737003098</v>
      </c>
      <c r="N368" s="28">
        <v>0.9</v>
      </c>
      <c r="O368" s="26">
        <v>0.98196860415782805</v>
      </c>
      <c r="P368" s="26">
        <v>0.96039603960396003</v>
      </c>
      <c r="Q368" s="26">
        <v>0.92953736654804298</v>
      </c>
      <c r="R368" s="26">
        <v>0.92830891126915205</v>
      </c>
      <c r="S368" s="28">
        <v>0.9</v>
      </c>
      <c r="T368" s="26">
        <v>0.817776834959695</v>
      </c>
      <c r="U368" s="26">
        <v>0.78368489022815302</v>
      </c>
      <c r="V368" s="26">
        <v>0.85943060498220603</v>
      </c>
      <c r="W368" s="26">
        <v>0.80449620543172196</v>
      </c>
      <c r="X368" s="28">
        <v>0.92</v>
      </c>
      <c r="Y368" s="28">
        <v>0.95172991071428603</v>
      </c>
      <c r="Z368" s="28">
        <v>0.959411466260781</v>
      </c>
      <c r="AA368" s="28">
        <v>0.93423423423423402</v>
      </c>
      <c r="AB368" s="28">
        <v>0.92903720751822005</v>
      </c>
      <c r="AC368" s="28">
        <v>0.92</v>
      </c>
      <c r="AD368" s="26">
        <v>0.99768647786198605</v>
      </c>
      <c r="AE368" s="26">
        <v>0.98922545232770898</v>
      </c>
      <c r="AF368" s="26">
        <v>0.99392065945388997</v>
      </c>
      <c r="AG368" s="26">
        <v>0.98334291340027102</v>
      </c>
      <c r="AH368" s="28">
        <v>0.92</v>
      </c>
      <c r="AI368" s="26">
        <v>0.96326628929302704</v>
      </c>
      <c r="AJ368" s="26">
        <v>0.96972872278495703</v>
      </c>
      <c r="AK368" s="26">
        <v>0.95035167563094702</v>
      </c>
      <c r="AL368" s="26">
        <v>0.95076400679117101</v>
      </c>
      <c r="AM368" s="25">
        <v>0.99</v>
      </c>
      <c r="AN368" s="30">
        <v>1</v>
      </c>
      <c r="AO368" s="30">
        <v>1</v>
      </c>
      <c r="AP368" s="30">
        <v>1</v>
      </c>
      <c r="AQ368" s="30">
        <v>1</v>
      </c>
      <c r="AR368" s="50">
        <v>0.05</v>
      </c>
      <c r="AS368" s="34">
        <v>4.3478260869565202E-2</v>
      </c>
      <c r="AT368" s="34">
        <v>2.7027027027027001E-2</v>
      </c>
      <c r="AU368" s="34">
        <v>2.9850746268656699E-2</v>
      </c>
      <c r="AV368" s="34">
        <v>2.6970954356846499E-2</v>
      </c>
      <c r="AW368" s="10"/>
      <c r="AX368" s="8"/>
    </row>
    <row r="369" spans="1:50">
      <c r="A369" s="7"/>
      <c r="B369" s="10"/>
      <c r="C369" s="45" t="s">
        <v>396</v>
      </c>
      <c r="D369" s="23" t="s">
        <v>19</v>
      </c>
      <c r="E369" s="46" t="s">
        <v>415</v>
      </c>
      <c r="F369" s="46" t="s">
        <v>415</v>
      </c>
      <c r="G369" s="46" t="s">
        <v>415</v>
      </c>
      <c r="H369" s="46" t="s">
        <v>415</v>
      </c>
      <c r="I369" s="25">
        <v>0.9</v>
      </c>
      <c r="J369" s="26">
        <v>0.77464788732394396</v>
      </c>
      <c r="K369" s="26">
        <v>0.77941176470588203</v>
      </c>
      <c r="L369" s="27">
        <v>0.75925925925925897</v>
      </c>
      <c r="M369" s="26">
        <v>0.74309392265193397</v>
      </c>
      <c r="N369" s="28">
        <v>0.9</v>
      </c>
      <c r="O369" s="26">
        <v>0.50983899821109102</v>
      </c>
      <c r="P369" s="26">
        <v>0.44249827149112703</v>
      </c>
      <c r="Q369" s="26">
        <v>0.73924835335141403</v>
      </c>
      <c r="R369" s="26">
        <v>0.66433894418677397</v>
      </c>
      <c r="S369" s="28">
        <v>0.9</v>
      </c>
      <c r="T369" s="26">
        <v>0.62841809353437295</v>
      </c>
      <c r="U369" s="26">
        <v>0.55450564646231804</v>
      </c>
      <c r="V369" s="26">
        <v>0.67803177063153797</v>
      </c>
      <c r="W369" s="26">
        <v>0.62676533430611303</v>
      </c>
      <c r="X369" s="28">
        <v>0.92</v>
      </c>
      <c r="Y369" s="28">
        <v>0.80019782393669603</v>
      </c>
      <c r="Z369" s="28">
        <v>0.82907023954527004</v>
      </c>
      <c r="AA369" s="28">
        <v>0.77531100478468895</v>
      </c>
      <c r="AB369" s="28">
        <v>0.82692228065090501</v>
      </c>
      <c r="AC369" s="28">
        <v>0.92</v>
      </c>
      <c r="AD369" s="26">
        <v>0.977376784271479</v>
      </c>
      <c r="AE369" s="26">
        <v>0.99249394673123503</v>
      </c>
      <c r="AF369" s="26">
        <v>0.99329084199932904</v>
      </c>
      <c r="AG369" s="26">
        <v>0.98714273303796396</v>
      </c>
      <c r="AH369" s="28">
        <v>0.92</v>
      </c>
      <c r="AI369" s="26">
        <v>0.85033928122643898</v>
      </c>
      <c r="AJ369" s="26">
        <v>0.86162640207075103</v>
      </c>
      <c r="AK369" s="26">
        <v>0.80881034703547205</v>
      </c>
      <c r="AL369" s="26">
        <v>0.86168569122564298</v>
      </c>
      <c r="AM369" s="25">
        <v>0.99</v>
      </c>
      <c r="AN369" s="30">
        <v>1</v>
      </c>
      <c r="AO369" s="30">
        <v>1</v>
      </c>
      <c r="AP369" s="30">
        <v>1</v>
      </c>
      <c r="AQ369" s="30">
        <v>1</v>
      </c>
      <c r="AR369" s="50">
        <v>0.05</v>
      </c>
      <c r="AS369" s="34">
        <v>1.72413793103448E-2</v>
      </c>
      <c r="AT369" s="34">
        <v>0</v>
      </c>
      <c r="AU369" s="34">
        <v>5.4054054054054099E-2</v>
      </c>
      <c r="AV369" s="34">
        <v>3.1609195402298902E-2</v>
      </c>
      <c r="AW369" s="10"/>
      <c r="AX369" s="8"/>
    </row>
    <row r="370" spans="1:50">
      <c r="A370" s="7"/>
      <c r="B370" s="10"/>
      <c r="C370" s="45" t="s">
        <v>396</v>
      </c>
      <c r="D370" s="23" t="s">
        <v>19</v>
      </c>
      <c r="E370" s="46" t="s">
        <v>416</v>
      </c>
      <c r="F370" s="46" t="s">
        <v>416</v>
      </c>
      <c r="G370" s="46" t="s">
        <v>416</v>
      </c>
      <c r="H370" s="46" t="s">
        <v>416</v>
      </c>
      <c r="I370" s="25">
        <v>0.9</v>
      </c>
      <c r="J370" s="26">
        <v>0.90476190476190499</v>
      </c>
      <c r="K370" s="26">
        <v>0.85393258426966301</v>
      </c>
      <c r="L370" s="27">
        <v>0.734177215189873</v>
      </c>
      <c r="M370" s="26">
        <v>0.78367346938775495</v>
      </c>
      <c r="N370" s="28">
        <v>0.9</v>
      </c>
      <c r="O370" s="26">
        <v>0.96347254352855205</v>
      </c>
      <c r="P370" s="26">
        <v>0.944039291561244</v>
      </c>
      <c r="Q370" s="26">
        <v>0.97590941941700804</v>
      </c>
      <c r="R370" s="26">
        <v>0.94026055564275601</v>
      </c>
      <c r="S370" s="28">
        <v>0.9</v>
      </c>
      <c r="T370" s="26">
        <v>0.893218068915135</v>
      </c>
      <c r="U370" s="26">
        <v>0.77705015627325502</v>
      </c>
      <c r="V370" s="26">
        <v>0.89809684413394397</v>
      </c>
      <c r="W370" s="26">
        <v>0.84953696436980097</v>
      </c>
      <c r="X370" s="28">
        <v>0.92</v>
      </c>
      <c r="Y370" s="28">
        <v>0.92340286831812302</v>
      </c>
      <c r="Z370" s="28">
        <v>0.87810218978102195</v>
      </c>
      <c r="AA370" s="28">
        <v>0.90090834021469901</v>
      </c>
      <c r="AB370" s="28">
        <v>0.92723376195186302</v>
      </c>
      <c r="AC370" s="28">
        <v>0.92</v>
      </c>
      <c r="AD370" s="26">
        <v>0.99960947669877598</v>
      </c>
      <c r="AE370" s="26">
        <v>0.99414608763523604</v>
      </c>
      <c r="AF370" s="26">
        <v>0.99539840600784102</v>
      </c>
      <c r="AG370" s="26">
        <v>0.99413435762013402</v>
      </c>
      <c r="AH370" s="28">
        <v>0.92</v>
      </c>
      <c r="AI370" s="26">
        <v>0.94419673958478501</v>
      </c>
      <c r="AJ370" s="26">
        <v>0.90492179182704102</v>
      </c>
      <c r="AK370" s="26">
        <v>0.931864904552129</v>
      </c>
      <c r="AL370" s="26">
        <v>0.94670009965602597</v>
      </c>
      <c r="AM370" s="25">
        <v>0.99</v>
      </c>
      <c r="AN370" s="30">
        <v>1</v>
      </c>
      <c r="AO370" s="30">
        <v>1</v>
      </c>
      <c r="AP370" s="30">
        <v>1</v>
      </c>
      <c r="AQ370" s="30">
        <v>1</v>
      </c>
      <c r="AR370" s="50">
        <v>0.05</v>
      </c>
      <c r="AS370" s="34">
        <v>4.6153846153846198E-2</v>
      </c>
      <c r="AT370" s="34">
        <v>9.7222222222222196E-2</v>
      </c>
      <c r="AU370" s="34">
        <v>8.3333333333333301E-2</v>
      </c>
      <c r="AV370" s="34">
        <v>6.3457330415754895E-2</v>
      </c>
      <c r="AW370" s="10"/>
      <c r="AX370" s="8"/>
    </row>
    <row r="371" spans="1:50">
      <c r="A371" s="7"/>
      <c r="B371" s="10"/>
      <c r="C371" s="45" t="s">
        <v>396</v>
      </c>
      <c r="D371" s="23" t="s">
        <v>19</v>
      </c>
      <c r="E371" s="46" t="s">
        <v>417</v>
      </c>
      <c r="F371" s="46" t="s">
        <v>417</v>
      </c>
      <c r="G371" s="46" t="s">
        <v>417</v>
      </c>
      <c r="H371" s="46" t="s">
        <v>417</v>
      </c>
      <c r="I371" s="25">
        <v>0.9</v>
      </c>
      <c r="J371" s="26">
        <v>0.9375</v>
      </c>
      <c r="K371" s="26">
        <v>0.921875</v>
      </c>
      <c r="L371" s="27">
        <v>0.89130434782608703</v>
      </c>
      <c r="M371" s="26">
        <v>0.91964285714285698</v>
      </c>
      <c r="N371" s="28">
        <v>0.9</v>
      </c>
      <c r="O371" s="26">
        <v>0.93520977164099806</v>
      </c>
      <c r="P371" s="26">
        <v>0.90767409745511896</v>
      </c>
      <c r="Q371" s="26">
        <v>0.95139732685297695</v>
      </c>
      <c r="R371" s="26">
        <v>0.92499045072574504</v>
      </c>
      <c r="S371" s="28">
        <v>0.9</v>
      </c>
      <c r="T371" s="26">
        <v>0.85156664896441803</v>
      </c>
      <c r="U371" s="26">
        <v>0.86348392187808198</v>
      </c>
      <c r="V371" s="26">
        <v>0.88821385176184697</v>
      </c>
      <c r="W371" s="26">
        <v>0.87480901451489701</v>
      </c>
      <c r="X371" s="28">
        <v>0.92</v>
      </c>
      <c r="Y371" s="28">
        <v>0.92704533611255902</v>
      </c>
      <c r="Z371" s="28">
        <v>0.93109957527135401</v>
      </c>
      <c r="AA371" s="28">
        <v>0.92385218365061605</v>
      </c>
      <c r="AB371" s="28">
        <v>0.92030106196515105</v>
      </c>
      <c r="AC371" s="28">
        <v>0.92</v>
      </c>
      <c r="AD371" s="26">
        <v>0.99749373433583999</v>
      </c>
      <c r="AE371" s="26">
        <v>0.98737373737373701</v>
      </c>
      <c r="AF371" s="26">
        <v>0.98327759197324405</v>
      </c>
      <c r="AG371" s="26">
        <v>0.980900409276944</v>
      </c>
      <c r="AH371" s="28">
        <v>0.92</v>
      </c>
      <c r="AI371" s="26">
        <v>0.95444952514949</v>
      </c>
      <c r="AJ371" s="26">
        <v>0.96327722910001401</v>
      </c>
      <c r="AK371" s="26">
        <v>0.94261578794057699</v>
      </c>
      <c r="AL371" s="26">
        <v>0.95568897445100698</v>
      </c>
      <c r="AM371" s="25">
        <v>0.99</v>
      </c>
      <c r="AN371" s="30">
        <v>1</v>
      </c>
      <c r="AO371" s="30">
        <v>1</v>
      </c>
      <c r="AP371" s="30">
        <v>1</v>
      </c>
      <c r="AQ371" s="30">
        <v>1</v>
      </c>
      <c r="AR371" s="50">
        <v>0.05</v>
      </c>
      <c r="AS371" s="34">
        <v>6.25E-2</v>
      </c>
      <c r="AT371" s="34">
        <v>5.2631578947368397E-2</v>
      </c>
      <c r="AU371" s="34">
        <v>0.2</v>
      </c>
      <c r="AV371" s="34">
        <v>8.3333333333333301E-2</v>
      </c>
      <c r="AW371" s="10"/>
      <c r="AX371" s="8"/>
    </row>
    <row r="372" spans="1:50">
      <c r="A372" s="7"/>
      <c r="B372" s="10"/>
      <c r="C372" s="45" t="s">
        <v>396</v>
      </c>
      <c r="D372" s="23" t="s">
        <v>19</v>
      </c>
      <c r="E372" s="46" t="s">
        <v>418</v>
      </c>
      <c r="F372" s="46" t="s">
        <v>418</v>
      </c>
      <c r="G372" s="46" t="s">
        <v>418</v>
      </c>
      <c r="H372" s="46" t="s">
        <v>418</v>
      </c>
      <c r="I372" s="25">
        <v>0.9</v>
      </c>
      <c r="J372" s="26">
        <v>0.81720430107526898</v>
      </c>
      <c r="K372" s="26">
        <v>0.86458333333333304</v>
      </c>
      <c r="L372" s="27">
        <v>0.79746835443038</v>
      </c>
      <c r="M372" s="26">
        <v>0.83693516699410597</v>
      </c>
      <c r="N372" s="28">
        <v>0.9</v>
      </c>
      <c r="O372" s="26">
        <v>0.92771822358346101</v>
      </c>
      <c r="P372" s="26">
        <v>0.93925391637552103</v>
      </c>
      <c r="Q372" s="26">
        <v>0.87264784946236595</v>
      </c>
      <c r="R372" s="26">
        <v>0.87420894859553699</v>
      </c>
      <c r="S372" s="28">
        <v>0.9</v>
      </c>
      <c r="T372" s="26">
        <v>0.31240428790199098</v>
      </c>
      <c r="U372" s="26">
        <v>0.25774822495210198</v>
      </c>
      <c r="V372" s="26">
        <v>0.35181451612903197</v>
      </c>
      <c r="W372" s="26">
        <v>0.31481070278672102</v>
      </c>
      <c r="X372" s="28">
        <v>0.92</v>
      </c>
      <c r="Y372" s="28">
        <v>0.394175414832374</v>
      </c>
      <c r="Z372" s="28">
        <v>0.29111470113085602</v>
      </c>
      <c r="AA372" s="28">
        <v>0.34127540294323799</v>
      </c>
      <c r="AB372" s="28">
        <v>0.35226677148847002</v>
      </c>
      <c r="AC372" s="28">
        <v>0.92</v>
      </c>
      <c r="AD372" s="26">
        <v>0.99825174825174801</v>
      </c>
      <c r="AE372" s="26">
        <v>0.97442799461642005</v>
      </c>
      <c r="AF372" s="26">
        <v>0.86390977443608996</v>
      </c>
      <c r="AG372" s="26">
        <v>0.94337243031908202</v>
      </c>
      <c r="AH372" s="28">
        <v>0.92</v>
      </c>
      <c r="AI372" s="26">
        <v>0.71433090794052501</v>
      </c>
      <c r="AJ372" s="26">
        <v>0.70448284497871305</v>
      </c>
      <c r="AK372" s="26">
        <v>0.57493141289437599</v>
      </c>
      <c r="AL372" s="26">
        <v>0.68769611569120404</v>
      </c>
      <c r="AM372" s="25">
        <v>0.99</v>
      </c>
      <c r="AN372" s="30">
        <v>1</v>
      </c>
      <c r="AO372" s="30">
        <v>1</v>
      </c>
      <c r="AP372" s="30">
        <v>1</v>
      </c>
      <c r="AQ372" s="30">
        <v>1</v>
      </c>
      <c r="AR372" s="50">
        <v>0.05</v>
      </c>
      <c r="AS372" s="34">
        <v>5.5555555555555601E-2</v>
      </c>
      <c r="AT372" s="34">
        <v>0</v>
      </c>
      <c r="AU372" s="34">
        <v>0.12121212121212099</v>
      </c>
      <c r="AV372" s="34">
        <v>9.9526066350710901E-2</v>
      </c>
      <c r="AW372" s="10"/>
      <c r="AX372" s="8"/>
    </row>
    <row r="373" spans="1:50">
      <c r="A373" s="7"/>
      <c r="B373" s="10"/>
      <c r="C373" s="45" t="s">
        <v>396</v>
      </c>
      <c r="D373" s="23" t="s">
        <v>19</v>
      </c>
      <c r="E373" s="46" t="s">
        <v>419</v>
      </c>
      <c r="F373" s="46" t="s">
        <v>419</v>
      </c>
      <c r="G373" s="46" t="s">
        <v>419</v>
      </c>
      <c r="H373" s="46" t="s">
        <v>419</v>
      </c>
      <c r="I373" s="25">
        <v>0.9</v>
      </c>
      <c r="J373" s="26">
        <v>0.69230769230769196</v>
      </c>
      <c r="K373" s="26">
        <v>0.75675675675675702</v>
      </c>
      <c r="L373" s="27">
        <v>0.72413793103448298</v>
      </c>
      <c r="M373" s="26">
        <v>0.70531400966183599</v>
      </c>
      <c r="N373" s="28">
        <v>0.9</v>
      </c>
      <c r="O373" s="26">
        <v>0.67175831636116801</v>
      </c>
      <c r="P373" s="26">
        <v>0.63765347885402501</v>
      </c>
      <c r="Q373" s="26">
        <v>0.91372549019607796</v>
      </c>
      <c r="R373" s="26">
        <v>0.73987152579024396</v>
      </c>
      <c r="S373" s="28">
        <v>0.9</v>
      </c>
      <c r="T373" s="26">
        <v>0.539035980991174</v>
      </c>
      <c r="U373" s="26">
        <v>0.51541609822646695</v>
      </c>
      <c r="V373" s="26">
        <v>0.53176470588235303</v>
      </c>
      <c r="W373" s="26">
        <v>0.52362780639827</v>
      </c>
      <c r="X373" s="28">
        <v>0.92</v>
      </c>
      <c r="Y373" s="28">
        <v>0.35004248088360201</v>
      </c>
      <c r="Z373" s="28">
        <v>0.45179584120983002</v>
      </c>
      <c r="AA373" s="28">
        <v>0.360902255639098</v>
      </c>
      <c r="AB373" s="28">
        <v>0.41050656660412799</v>
      </c>
      <c r="AC373" s="28">
        <v>0.92</v>
      </c>
      <c r="AD373" s="26">
        <v>1</v>
      </c>
      <c r="AE373" s="26">
        <v>0.98347107438016501</v>
      </c>
      <c r="AF373" s="26">
        <v>0.97727272727272696</v>
      </c>
      <c r="AG373" s="26">
        <v>0.93513513513513502</v>
      </c>
      <c r="AH373" s="28">
        <v>0.92</v>
      </c>
      <c r="AI373" s="26">
        <v>0.73212121212121195</v>
      </c>
      <c r="AJ373" s="26">
        <v>0.75433770630554398</v>
      </c>
      <c r="AK373" s="26">
        <v>0.60380779691749797</v>
      </c>
      <c r="AL373" s="26">
        <v>0.732978824423132</v>
      </c>
      <c r="AM373" s="25">
        <v>0.99</v>
      </c>
      <c r="AN373" s="30">
        <v>1</v>
      </c>
      <c r="AO373" s="30">
        <v>1</v>
      </c>
      <c r="AP373" s="30">
        <v>1</v>
      </c>
      <c r="AQ373" s="30">
        <v>1</v>
      </c>
      <c r="AR373" s="50">
        <v>0.05</v>
      </c>
      <c r="AS373" s="34">
        <v>0</v>
      </c>
      <c r="AT373" s="34">
        <v>0</v>
      </c>
      <c r="AU373" s="34">
        <v>0.16666666666666699</v>
      </c>
      <c r="AV373" s="34">
        <v>0.02</v>
      </c>
      <c r="AW373" s="10"/>
      <c r="AX373" s="8"/>
    </row>
    <row r="374" spans="1:50">
      <c r="A374" s="7"/>
      <c r="B374" s="10"/>
      <c r="C374" s="45" t="s">
        <v>396</v>
      </c>
      <c r="D374" s="23" t="s">
        <v>19</v>
      </c>
      <c r="E374" s="46" t="s">
        <v>420</v>
      </c>
      <c r="F374" s="46" t="s">
        <v>420</v>
      </c>
      <c r="G374" s="46" t="s">
        <v>420</v>
      </c>
      <c r="H374" s="46" t="s">
        <v>420</v>
      </c>
      <c r="I374" s="25">
        <v>0.9</v>
      </c>
      <c r="J374" s="26">
        <v>0.88135593220339004</v>
      </c>
      <c r="K374" s="26">
        <v>0.859649122807018</v>
      </c>
      <c r="L374" s="27">
        <v>0.85714285714285698</v>
      </c>
      <c r="M374" s="26">
        <v>0.86292834890965697</v>
      </c>
      <c r="N374" s="28">
        <v>0.9</v>
      </c>
      <c r="O374" s="26">
        <v>0</v>
      </c>
      <c r="P374" s="26">
        <v>0</v>
      </c>
      <c r="Q374" s="26">
        <v>0.5</v>
      </c>
      <c r="R374" s="26">
        <v>5.2631578947368397E-2</v>
      </c>
      <c r="S374" s="28">
        <v>0.9</v>
      </c>
      <c r="T374" s="26">
        <v>0</v>
      </c>
      <c r="U374" s="26">
        <v>0</v>
      </c>
      <c r="V374" s="26">
        <v>0</v>
      </c>
      <c r="W374" s="26">
        <v>0</v>
      </c>
      <c r="X374" s="28">
        <v>0.92</v>
      </c>
      <c r="Y374" s="28">
        <v>0</v>
      </c>
      <c r="Z374" s="28">
        <v>1</v>
      </c>
      <c r="AA374" s="28">
        <v>0</v>
      </c>
      <c r="AB374" s="28">
        <v>0.2</v>
      </c>
      <c r="AC374" s="28">
        <v>0.92</v>
      </c>
      <c r="AD374" s="26">
        <v>1</v>
      </c>
      <c r="AE374" s="26">
        <v>0.96654275092936803</v>
      </c>
      <c r="AF374" s="26">
        <v>0.99095022624434403</v>
      </c>
      <c r="AG374" s="26">
        <v>0.97406914893617003</v>
      </c>
      <c r="AH374" s="28">
        <v>0.92</v>
      </c>
      <c r="AI374" s="26">
        <v>0.93525179856115104</v>
      </c>
      <c r="AJ374" s="26">
        <v>0.94352750809061503</v>
      </c>
      <c r="AK374" s="26">
        <v>0.935612788632327</v>
      </c>
      <c r="AL374" s="26">
        <v>0.94054584438710598</v>
      </c>
      <c r="AM374" s="25">
        <v>0.99</v>
      </c>
      <c r="AN374" s="30">
        <v>1</v>
      </c>
      <c r="AO374" s="30">
        <v>1</v>
      </c>
      <c r="AP374" s="30">
        <v>1</v>
      </c>
      <c r="AQ374" s="30">
        <v>1</v>
      </c>
      <c r="AR374" s="50">
        <v>0.05</v>
      </c>
      <c r="AS374" s="34">
        <v>5.2631578947368397E-2</v>
      </c>
      <c r="AT374" s="34">
        <v>0</v>
      </c>
      <c r="AU374" s="34">
        <v>0</v>
      </c>
      <c r="AV374" s="34">
        <v>0.135135135135135</v>
      </c>
      <c r="AW374" s="10"/>
      <c r="AX374" s="8"/>
    </row>
    <row r="375" spans="1:50">
      <c r="A375" s="7"/>
      <c r="B375" s="10"/>
      <c r="C375" s="45" t="s">
        <v>396</v>
      </c>
      <c r="D375" s="23" t="s">
        <v>19</v>
      </c>
      <c r="E375" s="46" t="s">
        <v>421</v>
      </c>
      <c r="F375" s="46" t="s">
        <v>421</v>
      </c>
      <c r="G375" s="46" t="s">
        <v>421</v>
      </c>
      <c r="H375" s="46" t="s">
        <v>421</v>
      </c>
      <c r="I375" s="25">
        <v>0.9</v>
      </c>
      <c r="J375" s="26">
        <v>0.65</v>
      </c>
      <c r="K375" s="26">
        <v>0.66101694915254205</v>
      </c>
      <c r="L375" s="27">
        <v>0.565217391304348</v>
      </c>
      <c r="M375" s="26">
        <v>0.66358024691357997</v>
      </c>
      <c r="N375" s="28">
        <v>0.9</v>
      </c>
      <c r="O375" s="26">
        <v>0.4</v>
      </c>
      <c r="P375" s="26">
        <v>0</v>
      </c>
      <c r="Q375" s="26">
        <v>0</v>
      </c>
      <c r="R375" s="26">
        <v>0.42857142857142899</v>
      </c>
      <c r="S375" s="28">
        <v>0.9</v>
      </c>
      <c r="T375" s="26">
        <v>0.2</v>
      </c>
      <c r="U375" s="26">
        <v>0</v>
      </c>
      <c r="V375" s="26">
        <v>0</v>
      </c>
      <c r="W375" s="26">
        <v>0.28571428571428598</v>
      </c>
      <c r="X375" s="28">
        <v>0.92</v>
      </c>
      <c r="Y375" s="28">
        <v>0</v>
      </c>
      <c r="Z375" s="28">
        <v>0.33333333333333298</v>
      </c>
      <c r="AA375" s="28">
        <v>1</v>
      </c>
      <c r="AB375" s="28">
        <v>0.33333333333333298</v>
      </c>
      <c r="AC375" s="28">
        <v>0.92</v>
      </c>
      <c r="AD375" s="26">
        <v>0.98750000000000004</v>
      </c>
      <c r="AE375" s="26">
        <v>0.91489361702127703</v>
      </c>
      <c r="AF375" s="26">
        <v>0.97701149425287404</v>
      </c>
      <c r="AG375" s="26">
        <v>0.97888810696692496</v>
      </c>
      <c r="AH375" s="28">
        <v>0.92</v>
      </c>
      <c r="AI375" s="26">
        <v>0.87668194588200499</v>
      </c>
      <c r="AJ375" s="26">
        <v>0.91461100569260001</v>
      </c>
      <c r="AK375" s="26">
        <v>0.82382720215997296</v>
      </c>
      <c r="AL375" s="26">
        <v>0.86612827650836499</v>
      </c>
      <c r="AM375" s="25">
        <v>0.99</v>
      </c>
      <c r="AN375" s="30">
        <v>1</v>
      </c>
      <c r="AO375" s="30">
        <v>1</v>
      </c>
      <c r="AP375" s="30">
        <v>1</v>
      </c>
      <c r="AQ375" s="30">
        <v>1</v>
      </c>
      <c r="AR375" s="50">
        <v>0.05</v>
      </c>
      <c r="AS375" s="34">
        <v>0.25</v>
      </c>
      <c r="AT375" s="34">
        <v>0.17857142857142899</v>
      </c>
      <c r="AU375" s="34">
        <v>0.238095238095238</v>
      </c>
      <c r="AV375" s="34">
        <v>0.20279720279720301</v>
      </c>
      <c r="AW375" s="10"/>
      <c r="AX375" s="8"/>
    </row>
    <row r="376" spans="1:50">
      <c r="A376" s="7"/>
      <c r="B376" s="10"/>
      <c r="C376" s="45" t="s">
        <v>396</v>
      </c>
      <c r="D376" s="23" t="s">
        <v>19</v>
      </c>
      <c r="E376" s="46" t="s">
        <v>422</v>
      </c>
      <c r="F376" s="46" t="s">
        <v>422</v>
      </c>
      <c r="G376" s="46" t="s">
        <v>422</v>
      </c>
      <c r="H376" s="46" t="s">
        <v>422</v>
      </c>
      <c r="I376" s="25">
        <v>0.9</v>
      </c>
      <c r="J376" s="26">
        <v>1</v>
      </c>
      <c r="K376" s="26">
        <v>0.98571428571428599</v>
      </c>
      <c r="L376" s="27">
        <v>0.98076923076923095</v>
      </c>
      <c r="M376" s="26">
        <v>0.98603351955307295</v>
      </c>
      <c r="N376" s="28">
        <v>0.9</v>
      </c>
      <c r="O376" s="26">
        <v>0.96799163179916303</v>
      </c>
      <c r="P376" s="26">
        <v>0.97811131957473396</v>
      </c>
      <c r="Q376" s="26">
        <v>0.97816399286987499</v>
      </c>
      <c r="R376" s="26">
        <v>0.97726932854792903</v>
      </c>
      <c r="S376" s="28">
        <v>0.9</v>
      </c>
      <c r="T376" s="26">
        <v>0.90020920502091994</v>
      </c>
      <c r="U376" s="26">
        <v>0.89321450906816802</v>
      </c>
      <c r="V376" s="26">
        <v>0.92736185383244196</v>
      </c>
      <c r="W376" s="26">
        <v>0.89976820696874504</v>
      </c>
      <c r="X376" s="28">
        <v>0.92</v>
      </c>
      <c r="Y376" s="28">
        <v>0.94174367215749299</v>
      </c>
      <c r="Z376" s="28">
        <v>0.94886582083813897</v>
      </c>
      <c r="AA376" s="28">
        <v>0.93562049978822504</v>
      </c>
      <c r="AB376" s="28">
        <v>0.93968766828217598</v>
      </c>
      <c r="AC376" s="28">
        <v>0.92</v>
      </c>
      <c r="AD376" s="26">
        <v>1</v>
      </c>
      <c r="AE376" s="26">
        <v>0.99576271186440701</v>
      </c>
      <c r="AF376" s="26">
        <v>0.99642004773269699</v>
      </c>
      <c r="AG376" s="26">
        <v>0.99632859109683303</v>
      </c>
      <c r="AH376" s="28">
        <v>0.92</v>
      </c>
      <c r="AI376" s="26">
        <v>0.96247422680412398</v>
      </c>
      <c r="AJ376" s="26">
        <v>0.974435923085473</v>
      </c>
      <c r="AK376" s="26">
        <v>0.95897547210766199</v>
      </c>
      <c r="AL376" s="26">
        <v>0.96737681414593701</v>
      </c>
      <c r="AM376" s="25">
        <v>0.99</v>
      </c>
      <c r="AN376" s="30">
        <v>1</v>
      </c>
      <c r="AO376" s="30">
        <v>1</v>
      </c>
      <c r="AP376" s="30">
        <v>1</v>
      </c>
      <c r="AQ376" s="30">
        <v>1</v>
      </c>
      <c r="AR376" s="50">
        <v>0.05</v>
      </c>
      <c r="AS376" s="34">
        <v>0.125</v>
      </c>
      <c r="AT376" s="34">
        <v>0.11111111111111099</v>
      </c>
      <c r="AU376" s="34">
        <v>7.69230769230769E-2</v>
      </c>
      <c r="AV376" s="34">
        <v>8.8495575221238895E-2</v>
      </c>
      <c r="AW376" s="10"/>
      <c r="AX376" s="8"/>
    </row>
    <row r="377" spans="1:50">
      <c r="A377" s="7"/>
      <c r="B377" s="10"/>
      <c r="C377" s="45" t="s">
        <v>396</v>
      </c>
      <c r="D377" s="23" t="s">
        <v>19</v>
      </c>
      <c r="E377" s="46" t="s">
        <v>423</v>
      </c>
      <c r="F377" s="46" t="s">
        <v>423</v>
      </c>
      <c r="G377" s="46" t="s">
        <v>423</v>
      </c>
      <c r="H377" s="46" t="s">
        <v>423</v>
      </c>
      <c r="I377" s="25">
        <v>0.9</v>
      </c>
      <c r="J377" s="26">
        <v>0.92500000000000004</v>
      </c>
      <c r="K377" s="26">
        <v>0.90243902439024404</v>
      </c>
      <c r="L377" s="27">
        <v>0.80327868852458995</v>
      </c>
      <c r="M377" s="26">
        <v>0.88709677419354804</v>
      </c>
      <c r="N377" s="28">
        <v>0.9</v>
      </c>
      <c r="O377" s="26">
        <v>0.96633992972073202</v>
      </c>
      <c r="P377" s="26">
        <v>0.87153825061694501</v>
      </c>
      <c r="Q377" s="26">
        <v>0.90420560747663503</v>
      </c>
      <c r="R377" s="26">
        <v>0.92333409813497702</v>
      </c>
      <c r="S377" s="28">
        <v>0.9</v>
      </c>
      <c r="T377" s="26">
        <v>0.73478823746994604</v>
      </c>
      <c r="U377" s="26">
        <v>0.64861530024677805</v>
      </c>
      <c r="V377" s="26">
        <v>0.769859813084112</v>
      </c>
      <c r="W377" s="26">
        <v>0.71424825461339303</v>
      </c>
      <c r="X377" s="28">
        <v>0.92</v>
      </c>
      <c r="Y377" s="28">
        <v>0.85010989010989002</v>
      </c>
      <c r="Z377" s="28">
        <v>0.84222526219790195</v>
      </c>
      <c r="AA377" s="28">
        <v>0.74335812964930903</v>
      </c>
      <c r="AB377" s="28">
        <v>0.79656477975805695</v>
      </c>
      <c r="AC377" s="28">
        <v>0.92</v>
      </c>
      <c r="AD377" s="26">
        <v>0.92173913043478295</v>
      </c>
      <c r="AE377" s="26">
        <v>0.97814207650273199</v>
      </c>
      <c r="AF377" s="26">
        <v>0.96</v>
      </c>
      <c r="AG377" s="26">
        <v>0.97142857142857097</v>
      </c>
      <c r="AH377" s="28">
        <v>0.92</v>
      </c>
      <c r="AI377" s="26">
        <v>0.92333723805805001</v>
      </c>
      <c r="AJ377" s="26">
        <v>0.93773048150879801</v>
      </c>
      <c r="AK377" s="26">
        <v>0.85916442048517505</v>
      </c>
      <c r="AL377" s="26">
        <v>0.91121698752055702</v>
      </c>
      <c r="AM377" s="25">
        <v>0.99</v>
      </c>
      <c r="AN377" s="30">
        <v>1</v>
      </c>
      <c r="AO377" s="30">
        <v>1</v>
      </c>
      <c r="AP377" s="30">
        <v>1</v>
      </c>
      <c r="AQ377" s="30">
        <v>1</v>
      </c>
      <c r="AR377" s="50">
        <v>0.05</v>
      </c>
      <c r="AS377" s="34">
        <v>0.38095238095238099</v>
      </c>
      <c r="AT377" s="34">
        <v>7.1428571428571397E-2</v>
      </c>
      <c r="AU377" s="34">
        <v>0.2</v>
      </c>
      <c r="AV377" s="34">
        <v>0.13157894736842099</v>
      </c>
      <c r="AW377" s="10"/>
      <c r="AX377" s="8"/>
    </row>
    <row r="378" spans="1:50">
      <c r="A378" s="7"/>
      <c r="B378" s="10"/>
      <c r="C378" s="45" t="s">
        <v>396</v>
      </c>
      <c r="D378" s="23" t="s">
        <v>19</v>
      </c>
      <c r="E378" s="46" t="s">
        <v>424</v>
      </c>
      <c r="F378" s="46" t="s">
        <v>424</v>
      </c>
      <c r="G378" s="46" t="s">
        <v>424</v>
      </c>
      <c r="H378" s="46" t="s">
        <v>424</v>
      </c>
      <c r="I378" s="25">
        <v>0.9</v>
      </c>
      <c r="J378" s="26">
        <v>0.96907216494845405</v>
      </c>
      <c r="K378" s="26">
        <v>0.96078431372549</v>
      </c>
      <c r="L378" s="27">
        <v>0.931506849315068</v>
      </c>
      <c r="M378" s="26">
        <v>0.95256166982922197</v>
      </c>
      <c r="N378" s="28">
        <v>0.9</v>
      </c>
      <c r="O378" s="26">
        <v>0.97945205479452102</v>
      </c>
      <c r="P378" s="26">
        <v>0.85599237045671295</v>
      </c>
      <c r="Q378" s="26">
        <v>0.97790404040404</v>
      </c>
      <c r="R378" s="26">
        <v>0.95089765229400003</v>
      </c>
      <c r="S378" s="28">
        <v>0.9</v>
      </c>
      <c r="T378" s="26">
        <v>0.82734018264840203</v>
      </c>
      <c r="U378" s="26">
        <v>0.75267563844442098</v>
      </c>
      <c r="V378" s="26">
        <v>0.79356060606060597</v>
      </c>
      <c r="W378" s="26">
        <v>0.77791417318807199</v>
      </c>
      <c r="X378" s="28">
        <v>0.92</v>
      </c>
      <c r="Y378" s="28">
        <v>0.87395709177592396</v>
      </c>
      <c r="Z378" s="28">
        <v>0.87399549983928004</v>
      </c>
      <c r="AA378" s="28">
        <v>0.83333333333333304</v>
      </c>
      <c r="AB378" s="28">
        <v>0.86010935676107403</v>
      </c>
      <c r="AC378" s="28">
        <v>0.92</v>
      </c>
      <c r="AD378" s="26">
        <v>0.969135802469136</v>
      </c>
      <c r="AE378" s="26">
        <v>0.96328293736501103</v>
      </c>
      <c r="AF378" s="26">
        <v>0.96022727272727304</v>
      </c>
      <c r="AG378" s="26">
        <v>0.96645569620253202</v>
      </c>
      <c r="AH378" s="28">
        <v>0.92</v>
      </c>
      <c r="AI378" s="26">
        <v>0.9296875</v>
      </c>
      <c r="AJ378" s="26">
        <v>0.93706683661276202</v>
      </c>
      <c r="AK378" s="26">
        <v>0.88545897644191696</v>
      </c>
      <c r="AL378" s="26">
        <v>0.92889635004873805</v>
      </c>
      <c r="AM378" s="25">
        <v>0.99</v>
      </c>
      <c r="AN378" s="30">
        <v>1</v>
      </c>
      <c r="AO378" s="30">
        <v>1</v>
      </c>
      <c r="AP378" s="30">
        <v>1</v>
      </c>
      <c r="AQ378" s="30">
        <v>1</v>
      </c>
      <c r="AR378" s="50">
        <v>0.05</v>
      </c>
      <c r="AS378" s="34">
        <v>8.5106382978723402E-2</v>
      </c>
      <c r="AT378" s="34">
        <v>0.146341463414634</v>
      </c>
      <c r="AU378" s="34">
        <v>9.375E-2</v>
      </c>
      <c r="AV378" s="34">
        <v>0.116182572614108</v>
      </c>
      <c r="AW378" s="10"/>
      <c r="AX378" s="8"/>
    </row>
    <row r="379" spans="1:50">
      <c r="A379" s="7"/>
      <c r="B379" s="10"/>
      <c r="C379" s="45" t="s">
        <v>396</v>
      </c>
      <c r="D379" s="23" t="s">
        <v>19</v>
      </c>
      <c r="E379" s="46" t="s">
        <v>425</v>
      </c>
      <c r="F379" s="46" t="s">
        <v>425</v>
      </c>
      <c r="G379" s="46" t="s">
        <v>425</v>
      </c>
      <c r="H379" s="46" t="s">
        <v>425</v>
      </c>
      <c r="I379" s="25">
        <v>0.9</v>
      </c>
      <c r="J379" s="26">
        <v>0.88888888888888895</v>
      </c>
      <c r="K379" s="26">
        <v>0.97142857142857097</v>
      </c>
      <c r="L379" s="27">
        <v>0.82352941176470595</v>
      </c>
      <c r="M379" s="26">
        <v>0.89423076923076905</v>
      </c>
      <c r="N379" s="28">
        <v>0.9</v>
      </c>
      <c r="O379" s="26">
        <v>8.3333333333333301E-2</v>
      </c>
      <c r="P379" s="26">
        <v>0</v>
      </c>
      <c r="Q379" s="26">
        <v>0</v>
      </c>
      <c r="R379" s="26">
        <v>7.69230769230769E-2</v>
      </c>
      <c r="S379" s="28">
        <v>0.9</v>
      </c>
      <c r="T379" s="26">
        <v>8.3333333333333301E-2</v>
      </c>
      <c r="U379" s="26">
        <v>0</v>
      </c>
      <c r="V379" s="26">
        <v>0</v>
      </c>
      <c r="W379" s="26">
        <v>0.15384615384615399</v>
      </c>
      <c r="X379" s="28">
        <v>0.92</v>
      </c>
      <c r="Y379" s="28">
        <v>0</v>
      </c>
      <c r="Z379" s="28">
        <v>0.75</v>
      </c>
      <c r="AA379" s="28">
        <v>0.8</v>
      </c>
      <c r="AB379" s="28">
        <v>0.71428571428571397</v>
      </c>
      <c r="AC379" s="28">
        <v>0.92</v>
      </c>
      <c r="AD379" s="26">
        <v>1</v>
      </c>
      <c r="AE379" s="26">
        <v>0.98019801980197996</v>
      </c>
      <c r="AF379" s="26">
        <v>0.99485861182519297</v>
      </c>
      <c r="AG379" s="26">
        <v>0.98527528809218901</v>
      </c>
      <c r="AH379" s="28">
        <v>0.92</v>
      </c>
      <c r="AI379" s="26">
        <v>0.91789709172259504</v>
      </c>
      <c r="AJ379" s="26">
        <v>0.92072713643178405</v>
      </c>
      <c r="AK379" s="26">
        <v>0.95500803427959302</v>
      </c>
      <c r="AL379" s="26">
        <v>0.92202562015337797</v>
      </c>
      <c r="AM379" s="25">
        <v>0.99</v>
      </c>
      <c r="AN379" s="30">
        <v>1</v>
      </c>
      <c r="AO379" s="30">
        <v>1</v>
      </c>
      <c r="AP379" s="30">
        <v>1</v>
      </c>
      <c r="AQ379" s="30">
        <v>1</v>
      </c>
      <c r="AR379" s="50">
        <v>0.05</v>
      </c>
      <c r="AS379" s="34">
        <v>0.18181818181818199</v>
      </c>
      <c r="AT379" s="34">
        <v>0</v>
      </c>
      <c r="AU379" s="34">
        <v>0.25</v>
      </c>
      <c r="AV379" s="34">
        <v>0.152542372881356</v>
      </c>
      <c r="AW379" s="10"/>
      <c r="AX379" s="8"/>
    </row>
    <row r="380" spans="1:50">
      <c r="A380" s="7"/>
      <c r="B380" s="10"/>
      <c r="C380" s="45" t="s">
        <v>396</v>
      </c>
      <c r="D380" s="23" t="s">
        <v>19</v>
      </c>
      <c r="E380" s="46" t="s">
        <v>426</v>
      </c>
      <c r="F380" s="46" t="s">
        <v>426</v>
      </c>
      <c r="G380" s="46" t="s">
        <v>426</v>
      </c>
      <c r="H380" s="46" t="s">
        <v>426</v>
      </c>
      <c r="I380" s="25">
        <v>0.9</v>
      </c>
      <c r="J380" s="26">
        <v>0.96</v>
      </c>
      <c r="K380" s="26">
        <v>0.98076923076923095</v>
      </c>
      <c r="L380" s="27">
        <v>0.97674418604651203</v>
      </c>
      <c r="M380" s="26">
        <v>0.98601398601398604</v>
      </c>
      <c r="N380" s="28">
        <v>0.9</v>
      </c>
      <c r="O380" s="26">
        <v>0.92177650429799396</v>
      </c>
      <c r="P380" s="26">
        <v>0.93317370483239004</v>
      </c>
      <c r="Q380" s="26">
        <v>0.93966059082338105</v>
      </c>
      <c r="R380" s="26">
        <v>0.93269729337343199</v>
      </c>
      <c r="S380" s="28">
        <v>0.9</v>
      </c>
      <c r="T380" s="26">
        <v>0.83753581661891097</v>
      </c>
      <c r="U380" s="26">
        <v>0.83652590335219901</v>
      </c>
      <c r="V380" s="26">
        <v>0.86235072281583902</v>
      </c>
      <c r="W380" s="26">
        <v>0.85963911645753399</v>
      </c>
      <c r="X380" s="28">
        <v>0.92</v>
      </c>
      <c r="Y380" s="28">
        <v>0.88501934770591495</v>
      </c>
      <c r="Z380" s="28">
        <v>0.92047817047817004</v>
      </c>
      <c r="AA380" s="28">
        <v>0.88228004956629502</v>
      </c>
      <c r="AB380" s="28">
        <v>0.89955526629786298</v>
      </c>
      <c r="AC380" s="28">
        <v>0.92</v>
      </c>
      <c r="AD380" s="26">
        <v>0.97938144329896903</v>
      </c>
      <c r="AE380" s="26">
        <v>0.98165137614678899</v>
      </c>
      <c r="AF380" s="26">
        <v>0.96153846153846201</v>
      </c>
      <c r="AG380" s="26">
        <v>0.97866287339971503</v>
      </c>
      <c r="AH380" s="28">
        <v>0.92</v>
      </c>
      <c r="AI380" s="26">
        <v>0.92547169811320795</v>
      </c>
      <c r="AJ380" s="26">
        <v>0.95244669427826401</v>
      </c>
      <c r="AK380" s="26">
        <v>0.91731669266770699</v>
      </c>
      <c r="AL380" s="26">
        <v>0.94236503314975295</v>
      </c>
      <c r="AM380" s="25">
        <v>0.99</v>
      </c>
      <c r="AN380" s="30">
        <v>1</v>
      </c>
      <c r="AO380" s="30">
        <v>1</v>
      </c>
      <c r="AP380" s="30">
        <v>1</v>
      </c>
      <c r="AQ380" s="30">
        <v>1</v>
      </c>
      <c r="AR380" s="50">
        <v>0.05</v>
      </c>
      <c r="AS380" s="34">
        <v>0</v>
      </c>
      <c r="AT380" s="34">
        <v>5.2631578947368397E-2</v>
      </c>
      <c r="AU380" s="34">
        <v>0.11111111111111099</v>
      </c>
      <c r="AV380" s="34">
        <v>6.7307692307692304E-2</v>
      </c>
      <c r="AW380" s="10"/>
      <c r="AX380" s="8"/>
    </row>
    <row r="381" spans="1:50">
      <c r="A381" s="7"/>
      <c r="B381" s="10"/>
      <c r="C381" s="45" t="s">
        <v>396</v>
      </c>
      <c r="D381" s="23" t="s">
        <v>19</v>
      </c>
      <c r="E381" s="46" t="s">
        <v>427</v>
      </c>
      <c r="F381" s="46" t="s">
        <v>427</v>
      </c>
      <c r="G381" s="46" t="s">
        <v>427</v>
      </c>
      <c r="H381" s="46" t="s">
        <v>427</v>
      </c>
      <c r="I381" s="25">
        <v>0.9</v>
      </c>
      <c r="J381" s="26">
        <v>0.88235294117647101</v>
      </c>
      <c r="K381" s="26">
        <v>0.80392156862745101</v>
      </c>
      <c r="L381" s="27">
        <v>0.88888888888888895</v>
      </c>
      <c r="M381" s="26">
        <v>0.76258992805755399</v>
      </c>
      <c r="N381" s="28">
        <v>0.9</v>
      </c>
      <c r="O381" s="26">
        <v>0</v>
      </c>
      <c r="P381" s="26">
        <v>0</v>
      </c>
      <c r="Q381" s="26">
        <v>0</v>
      </c>
      <c r="R381" s="26">
        <v>0</v>
      </c>
      <c r="S381" s="28">
        <v>0.9</v>
      </c>
      <c r="T381" s="26">
        <v>0</v>
      </c>
      <c r="U381" s="26">
        <v>0</v>
      </c>
      <c r="V381" s="26">
        <v>0</v>
      </c>
      <c r="W381" s="26">
        <v>0</v>
      </c>
      <c r="X381" s="28">
        <v>0.92</v>
      </c>
      <c r="Y381" s="28">
        <v>0.25</v>
      </c>
      <c r="Z381" s="28">
        <v>0.6</v>
      </c>
      <c r="AA381" s="28">
        <v>0.33333333333333298</v>
      </c>
      <c r="AB381" s="28">
        <v>0.5</v>
      </c>
      <c r="AC381" s="28">
        <v>0.92</v>
      </c>
      <c r="AD381" s="26">
        <v>0.89583333333333304</v>
      </c>
      <c r="AE381" s="26">
        <v>0.75862068965517204</v>
      </c>
      <c r="AF381" s="26">
        <v>0.85714285714285698</v>
      </c>
      <c r="AG381" s="26">
        <v>0.84251968503937003</v>
      </c>
      <c r="AH381" s="28">
        <v>0.92</v>
      </c>
      <c r="AI381" s="26">
        <v>0.87312283403927604</v>
      </c>
      <c r="AJ381" s="26">
        <v>0.86153846153846203</v>
      </c>
      <c r="AK381" s="26">
        <v>0.83737975263399</v>
      </c>
      <c r="AL381" s="26">
        <v>0.83015352511551599</v>
      </c>
      <c r="AM381" s="25">
        <v>0.99</v>
      </c>
      <c r="AN381" s="30">
        <v>1</v>
      </c>
      <c r="AO381" s="30">
        <v>1</v>
      </c>
      <c r="AP381" s="30">
        <v>1</v>
      </c>
      <c r="AQ381" s="30">
        <v>1</v>
      </c>
      <c r="AR381" s="50">
        <v>0.05</v>
      </c>
      <c r="AS381" s="34">
        <v>0.1</v>
      </c>
      <c r="AT381" s="34">
        <v>0.16</v>
      </c>
      <c r="AU381" s="34">
        <v>4.1666666666666699E-2</v>
      </c>
      <c r="AV381" s="34">
        <v>0.12751677852349</v>
      </c>
      <c r="AW381" s="10"/>
      <c r="AX381" s="8"/>
    </row>
    <row r="382" spans="1:50">
      <c r="A382" s="7"/>
      <c r="B382" s="10"/>
      <c r="C382" s="45" t="s">
        <v>396</v>
      </c>
      <c r="D382" s="23" t="s">
        <v>19</v>
      </c>
      <c r="E382" s="46" t="s">
        <v>428</v>
      </c>
      <c r="F382" s="46" t="s">
        <v>428</v>
      </c>
      <c r="G382" s="46" t="s">
        <v>428</v>
      </c>
      <c r="H382" s="46" t="s">
        <v>428</v>
      </c>
      <c r="I382" s="25">
        <v>0.9</v>
      </c>
      <c r="J382" s="26">
        <v>0.59210526315789502</v>
      </c>
      <c r="K382" s="26">
        <v>0.60256410256410298</v>
      </c>
      <c r="L382" s="27">
        <v>0.59154929577464799</v>
      </c>
      <c r="M382" s="26">
        <v>0.62242562929061795</v>
      </c>
      <c r="N382" s="28">
        <v>0.9</v>
      </c>
      <c r="O382" s="26">
        <v>0.62827306733167099</v>
      </c>
      <c r="P382" s="26">
        <v>0.65835472436132503</v>
      </c>
      <c r="Q382" s="26">
        <v>0.92998955067920597</v>
      </c>
      <c r="R382" s="26">
        <v>0.68562410497705795</v>
      </c>
      <c r="S382" s="28">
        <v>0.9</v>
      </c>
      <c r="T382" s="26">
        <v>0.464307980049875</v>
      </c>
      <c r="U382" s="26">
        <v>0.43564356435643597</v>
      </c>
      <c r="V382" s="26">
        <v>0.59839777081156398</v>
      </c>
      <c r="W382" s="26">
        <v>0.50299558698892399</v>
      </c>
      <c r="X382" s="28">
        <v>0.92</v>
      </c>
      <c r="Y382" s="28">
        <v>0.65253963118731795</v>
      </c>
      <c r="Z382" s="28">
        <v>0.69380908813662701</v>
      </c>
      <c r="AA382" s="28">
        <v>0.78896216591461299</v>
      </c>
      <c r="AB382" s="28">
        <v>0.70037030063390404</v>
      </c>
      <c r="AC382" s="28">
        <v>0.92</v>
      </c>
      <c r="AD382" s="26">
        <v>0.99404761904761896</v>
      </c>
      <c r="AE382" s="26">
        <v>0.98111658456485995</v>
      </c>
      <c r="AF382" s="26">
        <v>0.99059561128526596</v>
      </c>
      <c r="AG382" s="26">
        <v>0.99209026404559697</v>
      </c>
      <c r="AH382" s="28">
        <v>0.92</v>
      </c>
      <c r="AI382" s="26">
        <v>0.80105152471083096</v>
      </c>
      <c r="AJ382" s="26">
        <v>0.83994766681203703</v>
      </c>
      <c r="AK382" s="26">
        <v>0.85850860420650099</v>
      </c>
      <c r="AL382" s="26">
        <v>0.82578445835492997</v>
      </c>
      <c r="AM382" s="25">
        <v>0.99</v>
      </c>
      <c r="AN382" s="30">
        <v>1</v>
      </c>
      <c r="AO382" s="30">
        <v>1</v>
      </c>
      <c r="AP382" s="30">
        <v>1</v>
      </c>
      <c r="AQ382" s="30">
        <v>1</v>
      </c>
      <c r="AR382" s="50">
        <v>0.05</v>
      </c>
      <c r="AS382" s="34">
        <v>4.4444444444444398E-2</v>
      </c>
      <c r="AT382" s="34">
        <v>0</v>
      </c>
      <c r="AU382" s="34">
        <v>0.08</v>
      </c>
      <c r="AV382" s="34">
        <v>5.9360730593607303E-2</v>
      </c>
      <c r="AW382" s="10"/>
      <c r="AX382" s="8"/>
    </row>
    <row r="383" spans="1:50">
      <c r="A383" s="7"/>
      <c r="B383" s="10"/>
      <c r="C383" s="45" t="s">
        <v>396</v>
      </c>
      <c r="D383" s="23" t="s">
        <v>19</v>
      </c>
      <c r="E383" s="46" t="s">
        <v>429</v>
      </c>
      <c r="F383" s="46" t="s">
        <v>429</v>
      </c>
      <c r="G383" s="46" t="s">
        <v>429</v>
      </c>
      <c r="H383" s="46" t="s">
        <v>429</v>
      </c>
      <c r="I383" s="25">
        <v>0.9</v>
      </c>
      <c r="J383" s="26">
        <v>0</v>
      </c>
      <c r="K383" s="26">
        <v>0</v>
      </c>
      <c r="L383" s="27">
        <v>0</v>
      </c>
      <c r="M383" s="26">
        <v>0</v>
      </c>
      <c r="N383" s="28">
        <v>0.9</v>
      </c>
      <c r="O383" s="26">
        <v>1</v>
      </c>
      <c r="P383" s="26">
        <v>1</v>
      </c>
      <c r="Q383" s="26">
        <v>0.94444444444444398</v>
      </c>
      <c r="R383" s="26">
        <v>0.98181818181818203</v>
      </c>
      <c r="S383" s="28">
        <v>0.9</v>
      </c>
      <c r="T383" s="26">
        <v>0.75</v>
      </c>
      <c r="U383" s="26">
        <v>1</v>
      </c>
      <c r="V383" s="26">
        <v>0.94444444444444398</v>
      </c>
      <c r="W383" s="26">
        <v>0.96363636363636396</v>
      </c>
      <c r="X383" s="28">
        <v>0.92</v>
      </c>
      <c r="Y383" s="28">
        <v>0</v>
      </c>
      <c r="Z383" s="28">
        <v>0</v>
      </c>
      <c r="AA383" s="28">
        <v>0</v>
      </c>
      <c r="AB383" s="28">
        <v>0</v>
      </c>
      <c r="AC383" s="28">
        <v>0.92</v>
      </c>
      <c r="AD383" s="26">
        <v>1</v>
      </c>
      <c r="AE383" s="26">
        <v>0.81994047619047605</v>
      </c>
      <c r="AF383" s="26">
        <v>1</v>
      </c>
      <c r="AG383" s="26">
        <v>0.93344334433443299</v>
      </c>
      <c r="AH383" s="28">
        <v>0.92</v>
      </c>
      <c r="AI383" s="26">
        <v>1</v>
      </c>
      <c r="AJ383" s="26">
        <v>1</v>
      </c>
      <c r="AK383" s="26">
        <v>1</v>
      </c>
      <c r="AL383" s="26">
        <v>1</v>
      </c>
      <c r="AM383" s="25">
        <v>0.99</v>
      </c>
      <c r="AN383" s="30">
        <v>1</v>
      </c>
      <c r="AO383" s="30">
        <v>1</v>
      </c>
      <c r="AP383" s="30">
        <v>1</v>
      </c>
      <c r="AQ383" s="30">
        <v>1</v>
      </c>
      <c r="AR383" s="50">
        <v>0.05</v>
      </c>
      <c r="AS383" s="34">
        <v>0</v>
      </c>
      <c r="AT383" s="34">
        <v>0</v>
      </c>
      <c r="AU383" s="34">
        <v>0</v>
      </c>
      <c r="AV383" s="34">
        <v>0</v>
      </c>
      <c r="AW383" s="10"/>
      <c r="AX383" s="8"/>
    </row>
    <row r="384" spans="1:50">
      <c r="A384" s="7"/>
      <c r="B384" s="10"/>
      <c r="C384" s="45" t="s">
        <v>396</v>
      </c>
      <c r="D384" s="23" t="s">
        <v>19</v>
      </c>
      <c r="E384" s="46" t="s">
        <v>430</v>
      </c>
      <c r="F384" s="46" t="s">
        <v>430</v>
      </c>
      <c r="G384" s="46" t="s">
        <v>430</v>
      </c>
      <c r="H384" s="46" t="s">
        <v>430</v>
      </c>
      <c r="I384" s="25">
        <v>0.9</v>
      </c>
      <c r="J384" s="26">
        <v>0.94736842105263197</v>
      </c>
      <c r="K384" s="26">
        <v>0.97435897435897401</v>
      </c>
      <c r="L384" s="27">
        <v>0.93333333333333302</v>
      </c>
      <c r="M384" s="26">
        <v>0.95714285714285696</v>
      </c>
      <c r="N384" s="28">
        <v>0.9</v>
      </c>
      <c r="O384" s="26">
        <v>0.97412543986752198</v>
      </c>
      <c r="P384" s="26">
        <v>0.98143502257902704</v>
      </c>
      <c r="Q384" s="26">
        <v>0.93928571428571395</v>
      </c>
      <c r="R384" s="26">
        <v>0.97447731573360397</v>
      </c>
      <c r="S384" s="28">
        <v>0.9</v>
      </c>
      <c r="T384" s="26">
        <v>0.86524529083005597</v>
      </c>
      <c r="U384" s="26">
        <v>0.80030105368790805</v>
      </c>
      <c r="V384" s="26">
        <v>0.84419642857142896</v>
      </c>
      <c r="W384" s="26">
        <v>0.86098675404993796</v>
      </c>
      <c r="X384" s="28">
        <v>0.92</v>
      </c>
      <c r="Y384" s="28">
        <v>0</v>
      </c>
      <c r="Z384" s="28">
        <v>0</v>
      </c>
      <c r="AA384" s="28">
        <v>0</v>
      </c>
      <c r="AB384" s="28">
        <v>0</v>
      </c>
      <c r="AC384" s="28">
        <v>0.92</v>
      </c>
      <c r="AD384" s="26">
        <v>0.99326558835908796</v>
      </c>
      <c r="AE384" s="26">
        <v>0.90488712478293198</v>
      </c>
      <c r="AF384" s="26">
        <v>0.673796457969568</v>
      </c>
      <c r="AG384" s="26">
        <v>0.91753363703782198</v>
      </c>
      <c r="AH384" s="28">
        <v>0.92</v>
      </c>
      <c r="AI384" s="26">
        <v>0.94567238173931001</v>
      </c>
      <c r="AJ384" s="26">
        <v>0.95059880239521</v>
      </c>
      <c r="AK384" s="26">
        <v>0.93532560214094596</v>
      </c>
      <c r="AL384" s="26">
        <v>0.95243138699576302</v>
      </c>
      <c r="AM384" s="25">
        <v>0.99</v>
      </c>
      <c r="AN384" s="30">
        <v>1</v>
      </c>
      <c r="AO384" s="30">
        <v>1</v>
      </c>
      <c r="AP384" s="30">
        <v>1</v>
      </c>
      <c r="AQ384" s="30">
        <v>1</v>
      </c>
      <c r="AR384" s="50">
        <v>0.05</v>
      </c>
      <c r="AS384" s="34">
        <v>0</v>
      </c>
      <c r="AT384" s="34">
        <v>0</v>
      </c>
      <c r="AU384" s="34">
        <v>0</v>
      </c>
      <c r="AV384" s="34">
        <v>2.2222222222222199E-2</v>
      </c>
      <c r="AW384" s="10"/>
      <c r="AX384" s="8"/>
    </row>
    <row r="385" spans="1:50">
      <c r="A385" s="7"/>
      <c r="B385" s="10"/>
      <c r="C385" s="45" t="s">
        <v>396</v>
      </c>
      <c r="D385" s="23" t="s">
        <v>19</v>
      </c>
      <c r="E385" s="46" t="s">
        <v>431</v>
      </c>
      <c r="F385" s="46" t="s">
        <v>431</v>
      </c>
      <c r="G385" s="46" t="s">
        <v>431</v>
      </c>
      <c r="H385" s="46" t="s">
        <v>431</v>
      </c>
      <c r="I385" s="25">
        <v>0.9</v>
      </c>
      <c r="J385" s="26">
        <v>0.96875</v>
      </c>
      <c r="K385" s="26">
        <v>1</v>
      </c>
      <c r="L385" s="27">
        <v>0.8</v>
      </c>
      <c r="M385" s="26">
        <v>0.898876404494382</v>
      </c>
      <c r="N385" s="28">
        <v>0.9</v>
      </c>
      <c r="O385" s="26">
        <v>0</v>
      </c>
      <c r="P385" s="26">
        <v>0</v>
      </c>
      <c r="Q385" s="26">
        <v>0</v>
      </c>
      <c r="R385" s="26">
        <v>0</v>
      </c>
      <c r="S385" s="28">
        <v>0.9</v>
      </c>
      <c r="T385" s="26">
        <v>0</v>
      </c>
      <c r="U385" s="26">
        <v>0</v>
      </c>
      <c r="V385" s="26">
        <v>0</v>
      </c>
      <c r="W385" s="26">
        <v>0</v>
      </c>
      <c r="X385" s="28">
        <v>0.92</v>
      </c>
      <c r="Y385" s="28">
        <v>0</v>
      </c>
      <c r="Z385" s="28">
        <v>0</v>
      </c>
      <c r="AA385" s="28">
        <v>0</v>
      </c>
      <c r="AB385" s="28">
        <v>0</v>
      </c>
      <c r="AC385" s="28">
        <v>0.92</v>
      </c>
      <c r="AD385" s="26">
        <v>0.99392423159399601</v>
      </c>
      <c r="AE385" s="26">
        <v>0.98399999999999999</v>
      </c>
      <c r="AF385" s="26">
        <v>0.99266759776536295</v>
      </c>
      <c r="AG385" s="26">
        <v>0.99428862248360095</v>
      </c>
      <c r="AH385" s="28">
        <v>0.92</v>
      </c>
      <c r="AI385" s="26">
        <v>0.961757105943152</v>
      </c>
      <c r="AJ385" s="26">
        <v>0.96148084742135698</v>
      </c>
      <c r="AK385" s="26">
        <v>0.934001178550383</v>
      </c>
      <c r="AL385" s="26">
        <v>0.96414005769422095</v>
      </c>
      <c r="AM385" s="25">
        <v>0.99</v>
      </c>
      <c r="AN385" s="30">
        <v>1</v>
      </c>
      <c r="AO385" s="30">
        <v>1</v>
      </c>
      <c r="AP385" s="30">
        <v>1</v>
      </c>
      <c r="AQ385" s="30">
        <v>1</v>
      </c>
      <c r="AR385" s="50">
        <v>0.05</v>
      </c>
      <c r="AS385" s="34">
        <v>0</v>
      </c>
      <c r="AT385" s="34">
        <v>0.25</v>
      </c>
      <c r="AU385" s="34">
        <v>0.25</v>
      </c>
      <c r="AV385" s="34">
        <v>6.6666666666666693E-2</v>
      </c>
      <c r="AW385" s="10"/>
      <c r="AX385" s="8"/>
    </row>
    <row r="386" spans="1:50">
      <c r="A386" s="7"/>
      <c r="B386" s="10"/>
      <c r="C386" s="45" t="s">
        <v>396</v>
      </c>
      <c r="D386" s="23" t="s">
        <v>19</v>
      </c>
      <c r="E386" s="46" t="s">
        <v>432</v>
      </c>
      <c r="F386" s="46" t="s">
        <v>432</v>
      </c>
      <c r="G386" s="46" t="s">
        <v>432</v>
      </c>
      <c r="H386" s="46" t="s">
        <v>432</v>
      </c>
      <c r="I386" s="25">
        <v>0.9</v>
      </c>
      <c r="J386" s="26">
        <v>0.86666666666666703</v>
      </c>
      <c r="K386" s="26">
        <v>0.96551724137931005</v>
      </c>
      <c r="L386" s="27">
        <v>1</v>
      </c>
      <c r="M386" s="26">
        <v>0.90184049079754602</v>
      </c>
      <c r="N386" s="28">
        <v>0.9</v>
      </c>
      <c r="O386" s="26">
        <v>1</v>
      </c>
      <c r="P386" s="26">
        <v>0.5</v>
      </c>
      <c r="Q386" s="26">
        <v>0</v>
      </c>
      <c r="R386" s="26">
        <v>0.66666666666666696</v>
      </c>
      <c r="S386" s="28">
        <v>0.9</v>
      </c>
      <c r="T386" s="26">
        <v>0</v>
      </c>
      <c r="U386" s="26">
        <v>1</v>
      </c>
      <c r="V386" s="26">
        <v>0</v>
      </c>
      <c r="W386" s="26">
        <v>0.66666666666666696</v>
      </c>
      <c r="X386" s="28">
        <v>0.92</v>
      </c>
      <c r="Y386" s="28">
        <v>0</v>
      </c>
      <c r="Z386" s="28">
        <v>0</v>
      </c>
      <c r="AA386" s="28">
        <v>0</v>
      </c>
      <c r="AB386" s="28">
        <v>0</v>
      </c>
      <c r="AC386" s="28">
        <v>0.92</v>
      </c>
      <c r="AD386" s="26">
        <v>1</v>
      </c>
      <c r="AE386" s="26">
        <v>0.98571428571428599</v>
      </c>
      <c r="AF386" s="26">
        <v>0.98333333333333295</v>
      </c>
      <c r="AG386" s="26">
        <v>0.98507462686567204</v>
      </c>
      <c r="AH386" s="28">
        <v>0.92</v>
      </c>
      <c r="AI386" s="26">
        <v>0.94507637309067305</v>
      </c>
      <c r="AJ386" s="26">
        <v>0.89746588693957097</v>
      </c>
      <c r="AK386" s="26">
        <v>0.91671144545942995</v>
      </c>
      <c r="AL386" s="26">
        <v>0.90566418060874798</v>
      </c>
      <c r="AM386" s="25">
        <v>0.99</v>
      </c>
      <c r="AN386" s="30">
        <v>1</v>
      </c>
      <c r="AO386" s="30">
        <v>1</v>
      </c>
      <c r="AP386" s="30">
        <v>1</v>
      </c>
      <c r="AQ386" s="30">
        <v>1</v>
      </c>
      <c r="AR386" s="50">
        <v>0.05</v>
      </c>
      <c r="AS386" s="34">
        <v>0.5</v>
      </c>
      <c r="AT386" s="34">
        <v>0.11111111111111099</v>
      </c>
      <c r="AU386" s="34">
        <v>0.33333333333333298</v>
      </c>
      <c r="AV386" s="34">
        <v>0.107142857142857</v>
      </c>
      <c r="AW386" s="10"/>
      <c r="AX386" s="8"/>
    </row>
    <row r="387" spans="1:50">
      <c r="A387" s="7"/>
      <c r="B387" s="10"/>
      <c r="C387" s="45" t="s">
        <v>396</v>
      </c>
      <c r="D387" s="23" t="s">
        <v>19</v>
      </c>
      <c r="E387" s="46" t="s">
        <v>433</v>
      </c>
      <c r="F387" s="46" t="s">
        <v>433</v>
      </c>
      <c r="G387" s="46" t="s">
        <v>433</v>
      </c>
      <c r="H387" s="46" t="s">
        <v>433</v>
      </c>
      <c r="I387" s="25">
        <v>0.9</v>
      </c>
      <c r="J387" s="26">
        <v>0.97560975609756095</v>
      </c>
      <c r="K387" s="26">
        <v>1</v>
      </c>
      <c r="L387" s="27">
        <v>0.86111111111111105</v>
      </c>
      <c r="M387" s="26">
        <v>0.94347826086956499</v>
      </c>
      <c r="N387" s="28">
        <v>0.9</v>
      </c>
      <c r="O387" s="26">
        <v>0</v>
      </c>
      <c r="P387" s="26">
        <v>0.25</v>
      </c>
      <c r="Q387" s="26">
        <v>0</v>
      </c>
      <c r="R387" s="26">
        <v>0.3</v>
      </c>
      <c r="S387" s="28">
        <v>0.9</v>
      </c>
      <c r="T387" s="26">
        <v>0.33333333333333298</v>
      </c>
      <c r="U387" s="26">
        <v>0</v>
      </c>
      <c r="V387" s="26">
        <v>0</v>
      </c>
      <c r="W387" s="26">
        <v>0.3</v>
      </c>
      <c r="X387" s="28">
        <v>0.92</v>
      </c>
      <c r="Y387" s="28">
        <v>0</v>
      </c>
      <c r="Z387" s="28">
        <v>0</v>
      </c>
      <c r="AA387" s="28">
        <v>0</v>
      </c>
      <c r="AB387" s="28">
        <v>0</v>
      </c>
      <c r="AC387" s="28">
        <v>0.92</v>
      </c>
      <c r="AD387" s="26">
        <v>0.98349633251833701</v>
      </c>
      <c r="AE387" s="26">
        <v>0.99130907115697997</v>
      </c>
      <c r="AF387" s="26">
        <v>0.98652291105121304</v>
      </c>
      <c r="AG387" s="26">
        <v>0.991784989858012</v>
      </c>
      <c r="AH387" s="28">
        <v>0.92</v>
      </c>
      <c r="AI387" s="26">
        <v>0.92182338691918098</v>
      </c>
      <c r="AJ387" s="26">
        <v>0.93497001499250398</v>
      </c>
      <c r="AK387" s="26">
        <v>0.92468024632875401</v>
      </c>
      <c r="AL387" s="26">
        <v>0.92453956343792598</v>
      </c>
      <c r="AM387" s="25">
        <v>0.99</v>
      </c>
      <c r="AN387" s="30">
        <v>1</v>
      </c>
      <c r="AO387" s="30">
        <v>1</v>
      </c>
      <c r="AP387" s="30">
        <v>1</v>
      </c>
      <c r="AQ387" s="30">
        <v>1</v>
      </c>
      <c r="AR387" s="50">
        <v>0.05</v>
      </c>
      <c r="AS387" s="34">
        <v>0</v>
      </c>
      <c r="AT387" s="34">
        <v>5.2631578947368397E-2</v>
      </c>
      <c r="AU387" s="34">
        <v>0</v>
      </c>
      <c r="AV387" s="34">
        <v>3.8461538461538498E-2</v>
      </c>
      <c r="AW387" s="10"/>
      <c r="AX387" s="8"/>
    </row>
    <row r="388" spans="1:50">
      <c r="A388" s="7"/>
      <c r="B388" s="10"/>
      <c r="C388" s="45" t="s">
        <v>396</v>
      </c>
      <c r="D388" s="23" t="s">
        <v>19</v>
      </c>
      <c r="E388" s="46" t="s">
        <v>434</v>
      </c>
      <c r="F388" s="46" t="s">
        <v>434</v>
      </c>
      <c r="G388" s="46" t="s">
        <v>434</v>
      </c>
      <c r="H388" s="46" t="s">
        <v>434</v>
      </c>
      <c r="I388" s="25">
        <v>0.9</v>
      </c>
      <c r="J388" s="26">
        <v>0.953125</v>
      </c>
      <c r="K388" s="26">
        <v>1</v>
      </c>
      <c r="L388" s="27">
        <v>1</v>
      </c>
      <c r="M388" s="26">
        <v>0.98016997167138797</v>
      </c>
      <c r="N388" s="28">
        <v>0.9</v>
      </c>
      <c r="O388" s="26">
        <v>0.16666666666666699</v>
      </c>
      <c r="P388" s="26">
        <v>0.2</v>
      </c>
      <c r="Q388" s="26">
        <v>0</v>
      </c>
      <c r="R388" s="26">
        <v>0.15</v>
      </c>
      <c r="S388" s="28">
        <v>0.9</v>
      </c>
      <c r="T388" s="26">
        <v>0</v>
      </c>
      <c r="U388" s="26">
        <v>0</v>
      </c>
      <c r="V388" s="26">
        <v>0</v>
      </c>
      <c r="W388" s="26">
        <v>0</v>
      </c>
      <c r="X388" s="28">
        <v>0.92</v>
      </c>
      <c r="Y388" s="28">
        <v>0.25</v>
      </c>
      <c r="Z388" s="28">
        <v>0</v>
      </c>
      <c r="AA388" s="28">
        <v>0</v>
      </c>
      <c r="AB388" s="28">
        <v>0.5</v>
      </c>
      <c r="AC388" s="28">
        <v>0.92</v>
      </c>
      <c r="AD388" s="26">
        <v>0.99535714285714305</v>
      </c>
      <c r="AE388" s="26">
        <v>0.98971877834895705</v>
      </c>
      <c r="AF388" s="26">
        <v>0.99607182940516303</v>
      </c>
      <c r="AG388" s="26">
        <v>0.99483737738771305</v>
      </c>
      <c r="AH388" s="28">
        <v>0.92</v>
      </c>
      <c r="AI388" s="26">
        <v>0.95114754098360699</v>
      </c>
      <c r="AJ388" s="26">
        <v>0.95341025266540103</v>
      </c>
      <c r="AK388" s="26">
        <v>0.93214019388516001</v>
      </c>
      <c r="AL388" s="26">
        <v>0.95008779345776195</v>
      </c>
      <c r="AM388" s="25">
        <v>0.99</v>
      </c>
      <c r="AN388" s="30">
        <v>1</v>
      </c>
      <c r="AO388" s="30">
        <v>1</v>
      </c>
      <c r="AP388" s="30">
        <v>1</v>
      </c>
      <c r="AQ388" s="30">
        <v>1</v>
      </c>
      <c r="AR388" s="50">
        <v>0.05</v>
      </c>
      <c r="AS388" s="34">
        <v>0.13636363636363599</v>
      </c>
      <c r="AT388" s="34">
        <v>8.3333333333333301E-2</v>
      </c>
      <c r="AU388" s="34">
        <v>4.5454545454545497E-2</v>
      </c>
      <c r="AV388" s="34">
        <v>6.7796610169491497E-2</v>
      </c>
      <c r="AW388" s="10"/>
      <c r="AX388" s="8"/>
    </row>
    <row r="389" spans="1:50">
      <c r="A389" s="7"/>
      <c r="B389" s="10"/>
      <c r="C389" s="45" t="s">
        <v>396</v>
      </c>
      <c r="D389" s="23" t="s">
        <v>19</v>
      </c>
      <c r="E389" s="46" t="s">
        <v>435</v>
      </c>
      <c r="F389" s="46" t="s">
        <v>435</v>
      </c>
      <c r="G389" s="46" t="s">
        <v>435</v>
      </c>
      <c r="H389" s="46" t="s">
        <v>435</v>
      </c>
      <c r="I389" s="25">
        <v>0.9</v>
      </c>
      <c r="J389" s="26">
        <v>0.95833333333333304</v>
      </c>
      <c r="K389" s="26">
        <v>0.96078431372549</v>
      </c>
      <c r="L389" s="27">
        <v>0.88571428571428601</v>
      </c>
      <c r="M389" s="26">
        <v>0.91941391941391903</v>
      </c>
      <c r="N389" s="28">
        <v>0.9</v>
      </c>
      <c r="O389" s="26">
        <v>0</v>
      </c>
      <c r="P389" s="26">
        <v>0</v>
      </c>
      <c r="Q389" s="26">
        <v>0</v>
      </c>
      <c r="R389" s="26">
        <v>0</v>
      </c>
      <c r="S389" s="28">
        <v>0.9</v>
      </c>
      <c r="T389" s="26">
        <v>0</v>
      </c>
      <c r="U389" s="26">
        <v>0</v>
      </c>
      <c r="V389" s="26">
        <v>0</v>
      </c>
      <c r="W389" s="26">
        <v>0</v>
      </c>
      <c r="X389" s="28">
        <v>0.92</v>
      </c>
      <c r="Y389" s="28">
        <v>1</v>
      </c>
      <c r="Z389" s="28">
        <v>0</v>
      </c>
      <c r="AA389" s="28">
        <v>0</v>
      </c>
      <c r="AB389" s="28">
        <v>1</v>
      </c>
      <c r="AC389" s="28">
        <v>0.92</v>
      </c>
      <c r="AD389" s="26">
        <v>0.70588235294117696</v>
      </c>
      <c r="AE389" s="26">
        <v>0.95762711864406802</v>
      </c>
      <c r="AF389" s="26">
        <v>0.97727272727272696</v>
      </c>
      <c r="AG389" s="26">
        <v>0.95464362850971896</v>
      </c>
      <c r="AH389" s="28">
        <v>0.92</v>
      </c>
      <c r="AI389" s="26">
        <v>0.94896230410842897</v>
      </c>
      <c r="AJ389" s="26">
        <v>0.94066423653300901</v>
      </c>
      <c r="AK389" s="26">
        <v>0.88123415046492004</v>
      </c>
      <c r="AL389" s="26">
        <v>0.92933491686460801</v>
      </c>
      <c r="AM389" s="25">
        <v>0.99</v>
      </c>
      <c r="AN389" s="30">
        <v>1</v>
      </c>
      <c r="AO389" s="30">
        <v>1</v>
      </c>
      <c r="AP389" s="30">
        <v>1</v>
      </c>
      <c r="AQ389" s="30">
        <v>1</v>
      </c>
      <c r="AR389" s="50">
        <v>0.05</v>
      </c>
      <c r="AS389" s="34">
        <v>5.8823529411764698E-2</v>
      </c>
      <c r="AT389" s="34">
        <v>3.7037037037037E-2</v>
      </c>
      <c r="AU389" s="34">
        <v>9.0909090909090898E-2</v>
      </c>
      <c r="AV389" s="34">
        <v>4.5045045045045001E-2</v>
      </c>
      <c r="AW389" s="10"/>
      <c r="AX389" s="8"/>
    </row>
    <row r="390" spans="1:50">
      <c r="A390" s="7"/>
      <c r="B390" s="10"/>
      <c r="C390" s="45" t="s">
        <v>396</v>
      </c>
      <c r="D390" s="23" t="s">
        <v>19</v>
      </c>
      <c r="E390" s="46" t="s">
        <v>436</v>
      </c>
      <c r="F390" s="46" t="s">
        <v>436</v>
      </c>
      <c r="G390" s="46" t="s">
        <v>436</v>
      </c>
      <c r="H390" s="46" t="s">
        <v>436</v>
      </c>
      <c r="I390" s="25">
        <v>0.9</v>
      </c>
      <c r="J390" s="26">
        <v>0.91111111111111098</v>
      </c>
      <c r="K390" s="26">
        <v>0.95454545454545503</v>
      </c>
      <c r="L390" s="27">
        <v>0.97222222222222199</v>
      </c>
      <c r="M390" s="26">
        <v>0.96031746031746001</v>
      </c>
      <c r="N390" s="28">
        <v>0.9</v>
      </c>
      <c r="O390" s="26">
        <v>0</v>
      </c>
      <c r="P390" s="26">
        <v>0</v>
      </c>
      <c r="Q390" s="26">
        <v>0</v>
      </c>
      <c r="R390" s="26">
        <v>0.2</v>
      </c>
      <c r="S390" s="28">
        <v>0.9</v>
      </c>
      <c r="T390" s="26">
        <v>0</v>
      </c>
      <c r="U390" s="26">
        <v>0</v>
      </c>
      <c r="V390" s="26">
        <v>0</v>
      </c>
      <c r="W390" s="26">
        <v>0.4</v>
      </c>
      <c r="X390" s="28">
        <v>0.92</v>
      </c>
      <c r="Y390" s="28">
        <v>0</v>
      </c>
      <c r="Z390" s="28">
        <v>1</v>
      </c>
      <c r="AA390" s="28">
        <v>0</v>
      </c>
      <c r="AB390" s="28">
        <v>1</v>
      </c>
      <c r="AC390" s="28">
        <v>0.92</v>
      </c>
      <c r="AD390" s="26">
        <v>0.997702139882235</v>
      </c>
      <c r="AE390" s="26">
        <v>0.99758184523809501</v>
      </c>
      <c r="AF390" s="26">
        <v>0.99639949906073899</v>
      </c>
      <c r="AG390" s="26">
        <v>0.99804716106039204</v>
      </c>
      <c r="AH390" s="28">
        <v>0.92</v>
      </c>
      <c r="AI390" s="26">
        <v>0.93686644140138697</v>
      </c>
      <c r="AJ390" s="26">
        <v>0.95565261212833896</v>
      </c>
      <c r="AK390" s="26">
        <v>0.94224104736234104</v>
      </c>
      <c r="AL390" s="26">
        <v>0.94576845673127896</v>
      </c>
      <c r="AM390" s="25">
        <v>0.99</v>
      </c>
      <c r="AN390" s="30">
        <v>1</v>
      </c>
      <c r="AO390" s="30">
        <v>1</v>
      </c>
      <c r="AP390" s="30">
        <v>1</v>
      </c>
      <c r="AQ390" s="30">
        <v>1</v>
      </c>
      <c r="AR390" s="50">
        <v>0.05</v>
      </c>
      <c r="AS390" s="34">
        <v>0</v>
      </c>
      <c r="AT390" s="34">
        <v>0.16666666666666699</v>
      </c>
      <c r="AU390" s="34">
        <v>0</v>
      </c>
      <c r="AV390" s="34">
        <v>6.3291139240506306E-2</v>
      </c>
      <c r="AW390" s="10"/>
      <c r="AX390" s="8"/>
    </row>
    <row r="391" spans="1:50">
      <c r="A391" s="7"/>
      <c r="B391" s="10"/>
      <c r="C391" s="45" t="s">
        <v>396</v>
      </c>
      <c r="D391" s="23" t="s">
        <v>19</v>
      </c>
      <c r="E391" s="46" t="s">
        <v>437</v>
      </c>
      <c r="F391" s="46" t="s">
        <v>437</v>
      </c>
      <c r="G391" s="46" t="s">
        <v>437</v>
      </c>
      <c r="H391" s="46" t="s">
        <v>437</v>
      </c>
      <c r="I391" s="25">
        <v>0.9</v>
      </c>
      <c r="J391" s="26">
        <v>0.95744680851063801</v>
      </c>
      <c r="K391" s="26">
        <v>0.95652173913043503</v>
      </c>
      <c r="L391" s="27">
        <v>0.92857142857142905</v>
      </c>
      <c r="M391" s="26">
        <v>0.93725490196078398</v>
      </c>
      <c r="N391" s="28">
        <v>0.9</v>
      </c>
      <c r="O391" s="26">
        <v>0.96398268398268405</v>
      </c>
      <c r="P391" s="26">
        <v>0.87250922509225104</v>
      </c>
      <c r="Q391" s="26">
        <v>0.965425531914894</v>
      </c>
      <c r="R391" s="26">
        <v>0.94931620078148504</v>
      </c>
      <c r="S391" s="28">
        <v>0.9</v>
      </c>
      <c r="T391" s="26">
        <v>0.89541125541125499</v>
      </c>
      <c r="U391" s="26">
        <v>0.80756457564575601</v>
      </c>
      <c r="V391" s="26">
        <v>0.89140070921985803</v>
      </c>
      <c r="W391" s="26">
        <v>0.87289600240456899</v>
      </c>
      <c r="X391" s="28">
        <v>0.92</v>
      </c>
      <c r="Y391" s="28">
        <v>1</v>
      </c>
      <c r="Z391" s="28">
        <v>0</v>
      </c>
      <c r="AA391" s="28">
        <v>0</v>
      </c>
      <c r="AB391" s="28">
        <v>0.75</v>
      </c>
      <c r="AC391" s="28">
        <v>0.92</v>
      </c>
      <c r="AD391" s="26">
        <v>0.99097744360902296</v>
      </c>
      <c r="AE391" s="26">
        <v>0.96842732327243797</v>
      </c>
      <c r="AF391" s="26">
        <v>0.904919748778786</v>
      </c>
      <c r="AG391" s="26">
        <v>0.97080827343406195</v>
      </c>
      <c r="AH391" s="28">
        <v>0.92</v>
      </c>
      <c r="AI391" s="26">
        <v>0.97024736204808903</v>
      </c>
      <c r="AJ391" s="26">
        <v>0.95608856088560901</v>
      </c>
      <c r="AK391" s="26">
        <v>0.96898537882144398</v>
      </c>
      <c r="AL391" s="26">
        <v>0.96473504337702298</v>
      </c>
      <c r="AM391" s="25">
        <v>0.99</v>
      </c>
      <c r="AN391" s="30">
        <v>1</v>
      </c>
      <c r="AO391" s="30">
        <v>1</v>
      </c>
      <c r="AP391" s="30">
        <v>1</v>
      </c>
      <c r="AQ391" s="30">
        <v>1</v>
      </c>
      <c r="AR391" s="50">
        <v>0.05</v>
      </c>
      <c r="AS391" s="34">
        <v>0.1</v>
      </c>
      <c r="AT391" s="34">
        <v>5.2631578947368397E-2</v>
      </c>
      <c r="AU391" s="34">
        <v>0</v>
      </c>
      <c r="AV391" s="34">
        <v>3.0534351145038201E-2</v>
      </c>
      <c r="AW391" s="10"/>
      <c r="AX391" s="8"/>
    </row>
    <row r="392" spans="1:50">
      <c r="A392" s="7"/>
      <c r="B392" s="10"/>
      <c r="C392" s="45" t="s">
        <v>396</v>
      </c>
      <c r="D392" s="23" t="s">
        <v>19</v>
      </c>
      <c r="E392" s="46" t="s">
        <v>438</v>
      </c>
      <c r="F392" s="46" t="s">
        <v>438</v>
      </c>
      <c r="G392" s="46" t="s">
        <v>438</v>
      </c>
      <c r="H392" s="46" t="s">
        <v>438</v>
      </c>
      <c r="I392" s="25">
        <v>0.9</v>
      </c>
      <c r="J392" s="26">
        <v>0.95555555555555605</v>
      </c>
      <c r="K392" s="26">
        <v>0.97777777777777797</v>
      </c>
      <c r="L392" s="27">
        <v>0.88571428571428601</v>
      </c>
      <c r="M392" s="26">
        <v>0.93469387755101996</v>
      </c>
      <c r="N392" s="28">
        <v>0.9</v>
      </c>
      <c r="O392" s="26">
        <v>0</v>
      </c>
      <c r="P392" s="26">
        <v>1</v>
      </c>
      <c r="Q392" s="26">
        <v>0</v>
      </c>
      <c r="R392" s="26">
        <v>0.5</v>
      </c>
      <c r="S392" s="28">
        <v>0.9</v>
      </c>
      <c r="T392" s="26">
        <v>0</v>
      </c>
      <c r="U392" s="26">
        <v>0</v>
      </c>
      <c r="V392" s="26">
        <v>0</v>
      </c>
      <c r="W392" s="26">
        <v>0</v>
      </c>
      <c r="X392" s="28">
        <v>0.92</v>
      </c>
      <c r="Y392" s="28">
        <v>0</v>
      </c>
      <c r="Z392" s="28">
        <v>0</v>
      </c>
      <c r="AA392" s="28">
        <v>0</v>
      </c>
      <c r="AB392" s="28">
        <v>0</v>
      </c>
      <c r="AC392" s="28">
        <v>0.92</v>
      </c>
      <c r="AD392" s="26">
        <v>0.98591549295774605</v>
      </c>
      <c r="AE392" s="26">
        <v>0.83673469387755095</v>
      </c>
      <c r="AF392" s="26">
        <v>0.91836734693877597</v>
      </c>
      <c r="AG392" s="26">
        <v>0.94017094017094005</v>
      </c>
      <c r="AH392" s="28">
        <v>0.92</v>
      </c>
      <c r="AI392" s="26">
        <v>0.93003533568904595</v>
      </c>
      <c r="AJ392" s="26">
        <v>0.95408370581064605</v>
      </c>
      <c r="AK392" s="26">
        <v>0.89386913961875303</v>
      </c>
      <c r="AL392" s="26">
        <v>0.92254340433148396</v>
      </c>
      <c r="AM392" s="25">
        <v>0.99</v>
      </c>
      <c r="AN392" s="30">
        <v>1</v>
      </c>
      <c r="AO392" s="30">
        <v>1</v>
      </c>
      <c r="AP392" s="30">
        <v>1</v>
      </c>
      <c r="AQ392" s="30">
        <v>1</v>
      </c>
      <c r="AR392" s="50">
        <v>0.05</v>
      </c>
      <c r="AS392" s="34">
        <v>-8.3333333333333301E-2</v>
      </c>
      <c r="AT392" s="34">
        <v>0.375</v>
      </c>
      <c r="AU392" s="34">
        <v>0</v>
      </c>
      <c r="AV392" s="34">
        <v>5.0847457627118599E-2</v>
      </c>
      <c r="AW392" s="10"/>
      <c r="AX392" s="8"/>
    </row>
    <row r="393" spans="1:50">
      <c r="A393" s="7"/>
      <c r="B393" s="10"/>
      <c r="C393" s="45" t="s">
        <v>396</v>
      </c>
      <c r="D393" s="23" t="s">
        <v>19</v>
      </c>
      <c r="E393" s="46" t="s">
        <v>439</v>
      </c>
      <c r="F393" s="46" t="s">
        <v>439</v>
      </c>
      <c r="G393" s="46" t="s">
        <v>439</v>
      </c>
      <c r="H393" s="46" t="s">
        <v>439</v>
      </c>
      <c r="I393" s="25">
        <v>0.9</v>
      </c>
      <c r="J393" s="26">
        <v>0.93617021276595702</v>
      </c>
      <c r="K393" s="26">
        <v>0.95918367346938804</v>
      </c>
      <c r="L393" s="27">
        <v>0.97297297297297303</v>
      </c>
      <c r="M393" s="26">
        <v>0.95719844357976702</v>
      </c>
      <c r="N393" s="28">
        <v>0.9</v>
      </c>
      <c r="O393" s="26">
        <v>0.2</v>
      </c>
      <c r="P393" s="26">
        <v>0.2</v>
      </c>
      <c r="Q393" s="26">
        <v>0</v>
      </c>
      <c r="R393" s="26">
        <v>0.33333333333333298</v>
      </c>
      <c r="S393" s="28">
        <v>0.9</v>
      </c>
      <c r="T393" s="26">
        <v>0.2</v>
      </c>
      <c r="U393" s="26">
        <v>0.2</v>
      </c>
      <c r="V393" s="26">
        <v>0</v>
      </c>
      <c r="W393" s="26">
        <v>0.33333333333333298</v>
      </c>
      <c r="X393" s="28">
        <v>0.92</v>
      </c>
      <c r="Y393" s="28">
        <v>0</v>
      </c>
      <c r="Z393" s="28">
        <v>1</v>
      </c>
      <c r="AA393" s="28">
        <v>1</v>
      </c>
      <c r="AB393" s="28">
        <v>1</v>
      </c>
      <c r="AC393" s="28">
        <v>0.92</v>
      </c>
      <c r="AD393" s="26">
        <v>0.99681731381285799</v>
      </c>
      <c r="AE393" s="26">
        <v>0.84830758238813997</v>
      </c>
      <c r="AF393" s="26">
        <v>0.88125364999026701</v>
      </c>
      <c r="AG393" s="26">
        <v>0.94225990706079799</v>
      </c>
      <c r="AH393" s="28">
        <v>0.92</v>
      </c>
      <c r="AI393" s="26">
        <v>0.96473883671115501</v>
      </c>
      <c r="AJ393" s="26">
        <v>0.97488226059654604</v>
      </c>
      <c r="AK393" s="26">
        <v>0.96193265007320605</v>
      </c>
      <c r="AL393" s="26">
        <v>0.97138303769401302</v>
      </c>
      <c r="AM393" s="25">
        <v>0.99</v>
      </c>
      <c r="AN393" s="30">
        <v>1</v>
      </c>
      <c r="AO393" s="30">
        <v>1</v>
      </c>
      <c r="AP393" s="30">
        <v>1</v>
      </c>
      <c r="AQ393" s="30">
        <v>1</v>
      </c>
      <c r="AR393" s="50">
        <v>0.05</v>
      </c>
      <c r="AS393" s="34">
        <v>0</v>
      </c>
      <c r="AT393" s="34">
        <v>0.1</v>
      </c>
      <c r="AU393" s="34">
        <v>0</v>
      </c>
      <c r="AV393" s="34">
        <v>3.7383177570093497E-2</v>
      </c>
      <c r="AW393" s="10"/>
      <c r="AX393" s="8"/>
    </row>
    <row r="394" spans="1:50">
      <c r="A394" s="7"/>
      <c r="B394" s="10"/>
      <c r="C394" s="45" t="s">
        <v>396</v>
      </c>
      <c r="D394" s="23" t="s">
        <v>19</v>
      </c>
      <c r="E394" s="46" t="s">
        <v>440</v>
      </c>
      <c r="F394" s="46" t="s">
        <v>440</v>
      </c>
      <c r="G394" s="46" t="s">
        <v>440</v>
      </c>
      <c r="H394" s="46" t="s">
        <v>440</v>
      </c>
      <c r="I394" s="25">
        <v>0.9</v>
      </c>
      <c r="J394" s="26">
        <v>0.97777777777777797</v>
      </c>
      <c r="K394" s="26">
        <v>1</v>
      </c>
      <c r="L394" s="27">
        <v>0.9375</v>
      </c>
      <c r="M394" s="26">
        <v>0.97356828193832601</v>
      </c>
      <c r="N394" s="28">
        <v>0.9</v>
      </c>
      <c r="O394" s="26">
        <v>0.963229078613694</v>
      </c>
      <c r="P394" s="26">
        <v>0.97163120567375905</v>
      </c>
      <c r="Q394" s="26">
        <v>0.96876501681883698</v>
      </c>
      <c r="R394" s="26">
        <v>0.95406732117812099</v>
      </c>
      <c r="S394" s="28">
        <v>0.9</v>
      </c>
      <c r="T394" s="26">
        <v>0.933009298393914</v>
      </c>
      <c r="U394" s="26">
        <v>0.89447668171072403</v>
      </c>
      <c r="V394" s="26">
        <v>0.90004805382027897</v>
      </c>
      <c r="W394" s="26">
        <v>0.89077840112202</v>
      </c>
      <c r="X394" s="28">
        <v>0.92</v>
      </c>
      <c r="Y394" s="28">
        <v>0</v>
      </c>
      <c r="Z394" s="28">
        <v>0</v>
      </c>
      <c r="AA394" s="28">
        <v>0</v>
      </c>
      <c r="AB394" s="28">
        <v>0.11111111111111099</v>
      </c>
      <c r="AC394" s="28">
        <v>0.92</v>
      </c>
      <c r="AD394" s="26">
        <v>0.99852019498607203</v>
      </c>
      <c r="AE394" s="26">
        <v>0.98912901113294005</v>
      </c>
      <c r="AF394" s="26">
        <v>0.90636400486420798</v>
      </c>
      <c r="AG394" s="26">
        <v>0.98156156812539996</v>
      </c>
      <c r="AH394" s="28">
        <v>0.92</v>
      </c>
      <c r="AI394" s="26">
        <v>0.95951929158760296</v>
      </c>
      <c r="AJ394" s="26">
        <v>0.96434707903780104</v>
      </c>
      <c r="AK394" s="26">
        <v>0.96347909658817898</v>
      </c>
      <c r="AL394" s="26">
        <v>0.94290218057623298</v>
      </c>
      <c r="AM394" s="25">
        <v>0.99</v>
      </c>
      <c r="AN394" s="30">
        <v>1</v>
      </c>
      <c r="AO394" s="30">
        <v>1</v>
      </c>
      <c r="AP394" s="30">
        <v>1</v>
      </c>
      <c r="AQ394" s="30">
        <v>1</v>
      </c>
      <c r="AR394" s="50">
        <v>0.05</v>
      </c>
      <c r="AS394" s="34">
        <v>0</v>
      </c>
      <c r="AT394" s="34">
        <v>3.125E-2</v>
      </c>
      <c r="AU394" s="34">
        <v>0</v>
      </c>
      <c r="AV394" s="34">
        <v>2.06185567010309E-2</v>
      </c>
      <c r="AW394" s="10"/>
      <c r="AX394" s="8"/>
    </row>
    <row r="395" spans="1:50">
      <c r="A395" s="7"/>
      <c r="B395" s="10"/>
      <c r="C395" s="45" t="s">
        <v>396</v>
      </c>
      <c r="D395" s="23" t="s">
        <v>19</v>
      </c>
      <c r="E395" s="46" t="s">
        <v>441</v>
      </c>
      <c r="F395" s="46" t="s">
        <v>441</v>
      </c>
      <c r="G395" s="46" t="s">
        <v>441</v>
      </c>
      <c r="H395" s="46" t="s">
        <v>441</v>
      </c>
      <c r="I395" s="25">
        <v>0.9</v>
      </c>
      <c r="J395" s="26">
        <v>0.96969696969696995</v>
      </c>
      <c r="K395" s="26">
        <v>1</v>
      </c>
      <c r="L395" s="27">
        <v>0.95454545454545503</v>
      </c>
      <c r="M395" s="26">
        <v>0.95580110497237603</v>
      </c>
      <c r="N395" s="28">
        <v>0.9</v>
      </c>
      <c r="O395" s="26">
        <v>0</v>
      </c>
      <c r="P395" s="26">
        <v>1</v>
      </c>
      <c r="Q395" s="26">
        <v>0.5</v>
      </c>
      <c r="R395" s="26">
        <v>0.57142857142857095</v>
      </c>
      <c r="S395" s="28">
        <v>0.9</v>
      </c>
      <c r="T395" s="26">
        <v>0</v>
      </c>
      <c r="U395" s="26">
        <v>1</v>
      </c>
      <c r="V395" s="26">
        <v>0</v>
      </c>
      <c r="W395" s="26">
        <v>0.42857142857142899</v>
      </c>
      <c r="X395" s="28">
        <v>0.92</v>
      </c>
      <c r="Y395" s="28">
        <v>0</v>
      </c>
      <c r="Z395" s="28">
        <v>0</v>
      </c>
      <c r="AA395" s="28">
        <v>0</v>
      </c>
      <c r="AB395" s="28">
        <v>0</v>
      </c>
      <c r="AC395" s="28">
        <v>0.92</v>
      </c>
      <c r="AD395" s="26">
        <v>0.99748883928571397</v>
      </c>
      <c r="AE395" s="26">
        <v>0.94389587073608605</v>
      </c>
      <c r="AF395" s="26">
        <v>0.99450016175994804</v>
      </c>
      <c r="AG395" s="26">
        <v>0.98801978667491097</v>
      </c>
      <c r="AH395" s="28">
        <v>0.92</v>
      </c>
      <c r="AI395" s="26">
        <v>0.95945570674812597</v>
      </c>
      <c r="AJ395" s="26">
        <v>0.97012000979671797</v>
      </c>
      <c r="AK395" s="26">
        <v>0.923892701185278</v>
      </c>
      <c r="AL395" s="26">
        <v>0.96247498332221504</v>
      </c>
      <c r="AM395" s="25">
        <v>0.99</v>
      </c>
      <c r="AN395" s="30">
        <v>1</v>
      </c>
      <c r="AO395" s="30">
        <v>1</v>
      </c>
      <c r="AP395" s="30">
        <v>1</v>
      </c>
      <c r="AQ395" s="30">
        <v>1</v>
      </c>
      <c r="AR395" s="50">
        <v>0.05</v>
      </c>
      <c r="AS395" s="34">
        <v>0</v>
      </c>
      <c r="AT395" s="34">
        <v>0.11764705882352899</v>
      </c>
      <c r="AU395" s="34">
        <v>7.69230769230769E-2</v>
      </c>
      <c r="AV395" s="34">
        <v>6.6666666666666693E-2</v>
      </c>
      <c r="AW395" s="10"/>
      <c r="AX395" s="8"/>
    </row>
    <row r="396" spans="1:50">
      <c r="A396" s="7"/>
      <c r="B396" s="10"/>
      <c r="C396" s="45" t="s">
        <v>396</v>
      </c>
      <c r="D396" s="23" t="s">
        <v>19</v>
      </c>
      <c r="E396" s="46" t="s">
        <v>442</v>
      </c>
      <c r="F396" s="46" t="s">
        <v>442</v>
      </c>
      <c r="G396" s="46" t="s">
        <v>442</v>
      </c>
      <c r="H396" s="46" t="s">
        <v>442</v>
      </c>
      <c r="I396" s="25">
        <v>0.9</v>
      </c>
      <c r="J396" s="26">
        <v>1</v>
      </c>
      <c r="K396" s="26">
        <v>1</v>
      </c>
      <c r="L396" s="27">
        <v>0.97560975609756095</v>
      </c>
      <c r="M396" s="26">
        <v>0.97761194029850795</v>
      </c>
      <c r="N396" s="28">
        <v>0.9</v>
      </c>
      <c r="O396" s="26">
        <v>0.5</v>
      </c>
      <c r="P396" s="26">
        <v>0.33333333333333298</v>
      </c>
      <c r="Q396" s="26">
        <v>0</v>
      </c>
      <c r="R396" s="26">
        <v>0.36363636363636398</v>
      </c>
      <c r="S396" s="28">
        <v>0.9</v>
      </c>
      <c r="T396" s="26">
        <v>0.5</v>
      </c>
      <c r="U396" s="26">
        <v>0</v>
      </c>
      <c r="V396" s="26">
        <v>0</v>
      </c>
      <c r="W396" s="26">
        <v>0.27272727272727298</v>
      </c>
      <c r="X396" s="28">
        <v>0.92</v>
      </c>
      <c r="Y396" s="28">
        <v>0</v>
      </c>
      <c r="Z396" s="28">
        <v>0</v>
      </c>
      <c r="AA396" s="28">
        <v>0</v>
      </c>
      <c r="AB396" s="28">
        <v>0</v>
      </c>
      <c r="AC396" s="28">
        <v>0.92</v>
      </c>
      <c r="AD396" s="26">
        <v>0.98371040723981895</v>
      </c>
      <c r="AE396" s="26">
        <v>0.98330550918197002</v>
      </c>
      <c r="AF396" s="26">
        <v>0.98126463700234201</v>
      </c>
      <c r="AG396" s="26">
        <v>0.99123588829471199</v>
      </c>
      <c r="AH396" s="28">
        <v>0.92</v>
      </c>
      <c r="AI396" s="26">
        <v>0.93047112462006099</v>
      </c>
      <c r="AJ396" s="26">
        <v>0.96428571428571397</v>
      </c>
      <c r="AK396" s="26">
        <v>0.93399913156752101</v>
      </c>
      <c r="AL396" s="26">
        <v>0.94815064390536097</v>
      </c>
      <c r="AM396" s="25">
        <v>0.99</v>
      </c>
      <c r="AN396" s="30">
        <v>1</v>
      </c>
      <c r="AO396" s="30">
        <v>1</v>
      </c>
      <c r="AP396" s="30">
        <v>1</v>
      </c>
      <c r="AQ396" s="30">
        <v>1</v>
      </c>
      <c r="AR396" s="50">
        <v>0.05</v>
      </c>
      <c r="AS396" s="34">
        <v>0.133333333333333</v>
      </c>
      <c r="AT396" s="34">
        <v>5.8823529411764698E-2</v>
      </c>
      <c r="AU396" s="34">
        <v>0</v>
      </c>
      <c r="AV396" s="34">
        <v>6.4516129032258104E-2</v>
      </c>
      <c r="AW396" s="10"/>
      <c r="AX396" s="8"/>
    </row>
    <row r="397" spans="1:50">
      <c r="A397" s="7"/>
      <c r="B397" s="10"/>
      <c r="C397" s="45" t="s">
        <v>396</v>
      </c>
      <c r="D397" s="23" t="s">
        <v>19</v>
      </c>
      <c r="E397" s="46" t="s">
        <v>443</v>
      </c>
      <c r="F397" s="46" t="s">
        <v>443</v>
      </c>
      <c r="G397" s="46" t="s">
        <v>443</v>
      </c>
      <c r="H397" s="46" t="s">
        <v>443</v>
      </c>
      <c r="I397" s="25">
        <v>0.9</v>
      </c>
      <c r="J397" s="26">
        <v>0.95652173913043503</v>
      </c>
      <c r="K397" s="26">
        <v>0.96153846153846201</v>
      </c>
      <c r="L397" s="27">
        <v>0.86363636363636398</v>
      </c>
      <c r="M397" s="26">
        <v>0.900709219858156</v>
      </c>
      <c r="N397" s="28">
        <v>0.9</v>
      </c>
      <c r="O397" s="26">
        <v>0.99355254674403604</v>
      </c>
      <c r="P397" s="26">
        <v>0.98955431754874701</v>
      </c>
      <c r="Q397" s="26">
        <v>0.98852772466539196</v>
      </c>
      <c r="R397" s="26">
        <v>0.99050135694900698</v>
      </c>
      <c r="S397" s="28">
        <v>0.9</v>
      </c>
      <c r="T397" s="26">
        <v>0.879110251450677</v>
      </c>
      <c r="U397" s="26">
        <v>0.89972144846796698</v>
      </c>
      <c r="V397" s="26">
        <v>0.95506692160611895</v>
      </c>
      <c r="W397" s="26">
        <v>0.89587201828310203</v>
      </c>
      <c r="X397" s="28">
        <v>0.92</v>
      </c>
      <c r="Y397" s="28">
        <v>0</v>
      </c>
      <c r="Z397" s="28">
        <v>0</v>
      </c>
      <c r="AA397" s="28">
        <v>0</v>
      </c>
      <c r="AB397" s="28">
        <v>0</v>
      </c>
      <c r="AC397" s="28">
        <v>0.92</v>
      </c>
      <c r="AD397" s="26">
        <v>0.99559794570799698</v>
      </c>
      <c r="AE397" s="26">
        <v>0.90554480980012897</v>
      </c>
      <c r="AF397" s="26">
        <v>0.99849849849849803</v>
      </c>
      <c r="AG397" s="26">
        <v>0.97620994721582</v>
      </c>
      <c r="AH397" s="28">
        <v>0.92</v>
      </c>
      <c r="AI397" s="26">
        <v>0.98423930524284298</v>
      </c>
      <c r="AJ397" s="26">
        <v>0.98782185107863596</v>
      </c>
      <c r="AK397" s="26">
        <v>0.97801147227533503</v>
      </c>
      <c r="AL397" s="26">
        <v>0.98280168415043201</v>
      </c>
      <c r="AM397" s="25">
        <v>0.99</v>
      </c>
      <c r="AN397" s="30">
        <v>1</v>
      </c>
      <c r="AO397" s="30">
        <v>1</v>
      </c>
      <c r="AP397" s="30">
        <v>1</v>
      </c>
      <c r="AQ397" s="30">
        <v>1</v>
      </c>
      <c r="AR397" s="50">
        <v>0.05</v>
      </c>
      <c r="AS397" s="34">
        <v>0</v>
      </c>
      <c r="AT397" s="34">
        <v>0.16666666666666699</v>
      </c>
      <c r="AU397" s="34">
        <v>0</v>
      </c>
      <c r="AV397" s="34">
        <v>5.7692307692307702E-2</v>
      </c>
      <c r="AW397" s="10"/>
      <c r="AX397" s="8"/>
    </row>
    <row r="398" spans="1:50">
      <c r="A398" s="7"/>
      <c r="B398" s="10"/>
      <c r="C398" s="45" t="s">
        <v>396</v>
      </c>
      <c r="D398" s="23" t="s">
        <v>19</v>
      </c>
      <c r="E398" s="46" t="s">
        <v>444</v>
      </c>
      <c r="F398" s="46" t="s">
        <v>444</v>
      </c>
      <c r="G398" s="46" t="s">
        <v>444</v>
      </c>
      <c r="H398" s="46" t="s">
        <v>444</v>
      </c>
      <c r="I398" s="25">
        <v>0.9</v>
      </c>
      <c r="J398" s="26">
        <v>0.94871794871794901</v>
      </c>
      <c r="K398" s="26">
        <v>1</v>
      </c>
      <c r="L398" s="27">
        <v>0.93333333333333302</v>
      </c>
      <c r="M398" s="26">
        <v>0.94761904761904803</v>
      </c>
      <c r="N398" s="28">
        <v>0.9</v>
      </c>
      <c r="O398" s="26">
        <v>0</v>
      </c>
      <c r="P398" s="26">
        <v>0</v>
      </c>
      <c r="Q398" s="26">
        <v>0</v>
      </c>
      <c r="R398" s="26">
        <v>0</v>
      </c>
      <c r="S398" s="28">
        <v>0.9</v>
      </c>
      <c r="T398" s="26">
        <v>0</v>
      </c>
      <c r="U398" s="26">
        <v>0.5</v>
      </c>
      <c r="V398" s="26">
        <v>0</v>
      </c>
      <c r="W398" s="26">
        <v>0.4</v>
      </c>
      <c r="X398" s="28">
        <v>0.92</v>
      </c>
      <c r="Y398" s="28">
        <v>0</v>
      </c>
      <c r="Z398" s="28">
        <v>0</v>
      </c>
      <c r="AA398" s="28">
        <v>0</v>
      </c>
      <c r="AB398" s="28">
        <v>0</v>
      </c>
      <c r="AC398" s="28">
        <v>0.92</v>
      </c>
      <c r="AD398" s="26">
        <v>0.99124827268539795</v>
      </c>
      <c r="AE398" s="26">
        <v>0.91184939091915795</v>
      </c>
      <c r="AF398" s="26">
        <v>0.99807692307692297</v>
      </c>
      <c r="AG398" s="26">
        <v>0.96970055161544499</v>
      </c>
      <c r="AH398" s="28">
        <v>0.92</v>
      </c>
      <c r="AI398" s="26">
        <v>0.96710090527710302</v>
      </c>
      <c r="AJ398" s="26">
        <v>0.95192307692307698</v>
      </c>
      <c r="AK398" s="26">
        <v>0.94828443560417697</v>
      </c>
      <c r="AL398" s="26">
        <v>0.95411914931090702</v>
      </c>
      <c r="AM398" s="25">
        <v>0.99</v>
      </c>
      <c r="AN398" s="30">
        <v>1</v>
      </c>
      <c r="AO398" s="30">
        <v>1</v>
      </c>
      <c r="AP398" s="30">
        <v>1</v>
      </c>
      <c r="AQ398" s="30">
        <v>1</v>
      </c>
      <c r="AR398" s="50">
        <v>0.05</v>
      </c>
      <c r="AS398" s="34">
        <v>0</v>
      </c>
      <c r="AT398" s="34">
        <v>6.6666666666666693E-2</v>
      </c>
      <c r="AU398" s="34">
        <v>0.11764705882352899</v>
      </c>
      <c r="AV398" s="34">
        <v>7.7586206896551699E-2</v>
      </c>
      <c r="AW398" s="10"/>
      <c r="AX398" s="8"/>
    </row>
    <row r="399" spans="1:50">
      <c r="A399" s="7"/>
      <c r="B399" s="10"/>
      <c r="C399" s="45" t="s">
        <v>396</v>
      </c>
      <c r="D399" s="23" t="s">
        <v>19</v>
      </c>
      <c r="E399" s="46" t="s">
        <v>445</v>
      </c>
      <c r="F399" s="46" t="s">
        <v>445</v>
      </c>
      <c r="G399" s="46" t="s">
        <v>445</v>
      </c>
      <c r="H399" s="46" t="s">
        <v>445</v>
      </c>
      <c r="I399" s="25">
        <v>0.9</v>
      </c>
      <c r="J399" s="26">
        <v>0.90476190476190499</v>
      </c>
      <c r="K399" s="26">
        <v>0.84</v>
      </c>
      <c r="L399" s="27">
        <v>0.78947368421052599</v>
      </c>
      <c r="M399" s="26">
        <v>0.84172661870503596</v>
      </c>
      <c r="N399" s="28">
        <v>0.9</v>
      </c>
      <c r="O399" s="26">
        <v>0</v>
      </c>
      <c r="P399" s="26">
        <v>0</v>
      </c>
      <c r="Q399" s="26">
        <v>0</v>
      </c>
      <c r="R399" s="26">
        <v>0</v>
      </c>
      <c r="S399" s="28">
        <v>0.9</v>
      </c>
      <c r="T399" s="26">
        <v>0</v>
      </c>
      <c r="U399" s="26">
        <v>0</v>
      </c>
      <c r="V399" s="26">
        <v>0</v>
      </c>
      <c r="W399" s="26">
        <v>0</v>
      </c>
      <c r="X399" s="28">
        <v>0.92</v>
      </c>
      <c r="Y399" s="28">
        <v>0</v>
      </c>
      <c r="Z399" s="28">
        <v>0</v>
      </c>
      <c r="AA399" s="28">
        <v>0</v>
      </c>
      <c r="AB399" s="28">
        <v>0</v>
      </c>
      <c r="AC399" s="28">
        <v>0.92</v>
      </c>
      <c r="AD399" s="26">
        <v>1</v>
      </c>
      <c r="AE399" s="26">
        <v>1</v>
      </c>
      <c r="AF399" s="26">
        <v>1</v>
      </c>
      <c r="AG399" s="26">
        <v>0.92222222222222205</v>
      </c>
      <c r="AH399" s="28">
        <v>0.92</v>
      </c>
      <c r="AI399" s="26">
        <v>0.93230537796164004</v>
      </c>
      <c r="AJ399" s="26">
        <v>0.93141877411058704</v>
      </c>
      <c r="AK399" s="26">
        <v>0.911157024793388</v>
      </c>
      <c r="AL399" s="26">
        <v>0.94291181629724097</v>
      </c>
      <c r="AM399" s="25">
        <v>0.99</v>
      </c>
      <c r="AN399" s="30">
        <v>1</v>
      </c>
      <c r="AO399" s="30">
        <v>1</v>
      </c>
      <c r="AP399" s="30">
        <v>1</v>
      </c>
      <c r="AQ399" s="30">
        <v>1</v>
      </c>
      <c r="AR399" s="50">
        <v>0.05</v>
      </c>
      <c r="AS399" s="34">
        <v>0</v>
      </c>
      <c r="AT399" s="34">
        <v>0</v>
      </c>
      <c r="AU399" s="34">
        <v>0.25</v>
      </c>
      <c r="AV399" s="34">
        <v>6.0606060606060601E-2</v>
      </c>
      <c r="AW399" s="10"/>
      <c r="AX399" s="8"/>
    </row>
    <row r="400" spans="1:50">
      <c r="A400" s="7"/>
      <c r="B400" s="10"/>
      <c r="C400" s="45" t="s">
        <v>396</v>
      </c>
      <c r="D400" s="23" t="s">
        <v>19</v>
      </c>
      <c r="E400" s="46" t="s">
        <v>446</v>
      </c>
      <c r="F400" s="46" t="s">
        <v>446</v>
      </c>
      <c r="G400" s="46" t="s">
        <v>446</v>
      </c>
      <c r="H400" s="46" t="s">
        <v>446</v>
      </c>
      <c r="I400" s="25">
        <v>0.9</v>
      </c>
      <c r="J400" s="26">
        <v>0.967741935483871</v>
      </c>
      <c r="K400" s="26">
        <v>0.9375</v>
      </c>
      <c r="L400" s="27">
        <v>0.95</v>
      </c>
      <c r="M400" s="26">
        <v>0.90476190476190499</v>
      </c>
      <c r="N400" s="28">
        <v>0.9</v>
      </c>
      <c r="O400" s="26">
        <v>0</v>
      </c>
      <c r="P400" s="26">
        <v>0</v>
      </c>
      <c r="Q400" s="26">
        <v>0</v>
      </c>
      <c r="R400" s="26">
        <v>0.33333333333333298</v>
      </c>
      <c r="S400" s="28">
        <v>0.9</v>
      </c>
      <c r="T400" s="26">
        <v>0</v>
      </c>
      <c r="U400" s="26">
        <v>0</v>
      </c>
      <c r="V400" s="26">
        <v>0</v>
      </c>
      <c r="W400" s="26">
        <v>0</v>
      </c>
      <c r="X400" s="28">
        <v>0.92</v>
      </c>
      <c r="Y400" s="28">
        <v>0</v>
      </c>
      <c r="Z400" s="28">
        <v>0</v>
      </c>
      <c r="AA400" s="28">
        <v>0</v>
      </c>
      <c r="AB400" s="28">
        <v>0</v>
      </c>
      <c r="AC400" s="28">
        <v>0.92</v>
      </c>
      <c r="AD400" s="26">
        <v>0.97826086956521696</v>
      </c>
      <c r="AE400" s="26">
        <v>1</v>
      </c>
      <c r="AF400" s="26">
        <v>1</v>
      </c>
      <c r="AG400" s="26">
        <v>0.99295774647887303</v>
      </c>
      <c r="AH400" s="28">
        <v>0.92</v>
      </c>
      <c r="AI400" s="26">
        <v>0.96346010439970198</v>
      </c>
      <c r="AJ400" s="26">
        <v>0.96442468037798801</v>
      </c>
      <c r="AK400" s="26">
        <v>0.91268436578171097</v>
      </c>
      <c r="AL400" s="26">
        <v>0.95248416138712899</v>
      </c>
      <c r="AM400" s="25">
        <v>0.99</v>
      </c>
      <c r="AN400" s="30">
        <v>1</v>
      </c>
      <c r="AO400" s="30">
        <v>1</v>
      </c>
      <c r="AP400" s="30">
        <v>1</v>
      </c>
      <c r="AQ400" s="30">
        <v>1</v>
      </c>
      <c r="AR400" s="50">
        <v>0.05</v>
      </c>
      <c r="AS400" s="34">
        <v>0.2</v>
      </c>
      <c r="AT400" s="34">
        <v>0.25</v>
      </c>
      <c r="AU400" s="34">
        <v>0</v>
      </c>
      <c r="AV400" s="34">
        <v>6.25E-2</v>
      </c>
      <c r="AW400" s="10"/>
      <c r="AX400" s="8"/>
    </row>
    <row r="401" spans="1:50">
      <c r="A401" s="7"/>
      <c r="B401" s="10"/>
      <c r="C401" s="45" t="s">
        <v>396</v>
      </c>
      <c r="D401" s="23" t="s">
        <v>19</v>
      </c>
      <c r="E401" s="46" t="s">
        <v>447</v>
      </c>
      <c r="F401" s="46" t="s">
        <v>447</v>
      </c>
      <c r="G401" s="46" t="s">
        <v>447</v>
      </c>
      <c r="H401" s="46" t="s">
        <v>447</v>
      </c>
      <c r="I401" s="25">
        <v>0.9</v>
      </c>
      <c r="J401" s="26">
        <v>0.65909090909090895</v>
      </c>
      <c r="K401" s="26">
        <v>0.97674418604651203</v>
      </c>
      <c r="L401" s="27">
        <v>1</v>
      </c>
      <c r="M401" s="26">
        <v>0.90909090909090895</v>
      </c>
      <c r="N401" s="28">
        <v>0.9</v>
      </c>
      <c r="O401" s="26">
        <v>0.97570474777448102</v>
      </c>
      <c r="P401" s="26">
        <v>0.98845836768342998</v>
      </c>
      <c r="Q401" s="26">
        <v>0.95187413234613605</v>
      </c>
      <c r="R401" s="26">
        <v>0.97688384336952905</v>
      </c>
      <c r="S401" s="28">
        <v>0.9</v>
      </c>
      <c r="T401" s="26">
        <v>0.90727002967359005</v>
      </c>
      <c r="U401" s="26">
        <v>0.81904369332234095</v>
      </c>
      <c r="V401" s="26">
        <v>0.90189726978250795</v>
      </c>
      <c r="W401" s="26">
        <v>0.88281507074695598</v>
      </c>
      <c r="X401" s="28">
        <v>0.92</v>
      </c>
      <c r="Y401" s="28">
        <v>1</v>
      </c>
      <c r="Z401" s="28">
        <v>0</v>
      </c>
      <c r="AA401" s="28">
        <v>1</v>
      </c>
      <c r="AB401" s="28">
        <v>0.4</v>
      </c>
      <c r="AC401" s="28">
        <v>0.92</v>
      </c>
      <c r="AD401" s="26">
        <v>0.99753587476445904</v>
      </c>
      <c r="AE401" s="26">
        <v>0.97824568406346701</v>
      </c>
      <c r="AF401" s="26">
        <v>0.80139462809917394</v>
      </c>
      <c r="AG401" s="26">
        <v>0.95266649354328503</v>
      </c>
      <c r="AH401" s="28">
        <v>0.92</v>
      </c>
      <c r="AI401" s="26">
        <v>0.97367933271547702</v>
      </c>
      <c r="AJ401" s="26">
        <v>0.96480032935364302</v>
      </c>
      <c r="AK401" s="26">
        <v>0.951918631530282</v>
      </c>
      <c r="AL401" s="26">
        <v>0.96502116815323302</v>
      </c>
      <c r="AM401" s="25">
        <v>0.99</v>
      </c>
      <c r="AN401" s="30">
        <v>1</v>
      </c>
      <c r="AO401" s="30">
        <v>1</v>
      </c>
      <c r="AP401" s="30">
        <v>1</v>
      </c>
      <c r="AQ401" s="30">
        <v>1</v>
      </c>
      <c r="AR401" s="50">
        <v>0.05</v>
      </c>
      <c r="AS401" s="34">
        <v>0.238095238095238</v>
      </c>
      <c r="AT401" s="34">
        <v>6.6666666666666693E-2</v>
      </c>
      <c r="AU401" s="34">
        <v>0.25</v>
      </c>
      <c r="AV401" s="34">
        <v>0.1</v>
      </c>
      <c r="AW401" s="10"/>
      <c r="AX401" s="8"/>
    </row>
    <row r="402" spans="1:50">
      <c r="A402" s="7"/>
      <c r="B402" s="10"/>
      <c r="C402" s="45" t="s">
        <v>396</v>
      </c>
      <c r="D402" s="23" t="s">
        <v>19</v>
      </c>
      <c r="E402" s="46" t="s">
        <v>448</v>
      </c>
      <c r="F402" s="46" t="s">
        <v>448</v>
      </c>
      <c r="G402" s="46" t="s">
        <v>448</v>
      </c>
      <c r="H402" s="46" t="s">
        <v>448</v>
      </c>
      <c r="I402" s="25">
        <v>0.9</v>
      </c>
      <c r="J402" s="26">
        <v>1</v>
      </c>
      <c r="K402" s="26">
        <v>1</v>
      </c>
      <c r="L402" s="27">
        <v>0.91176470588235303</v>
      </c>
      <c r="M402" s="26">
        <v>0.97424892703862698</v>
      </c>
      <c r="N402" s="28">
        <v>0.9</v>
      </c>
      <c r="O402" s="26">
        <v>0.42857142857142899</v>
      </c>
      <c r="P402" s="26">
        <v>0.42857142857142899</v>
      </c>
      <c r="Q402" s="26">
        <v>0.5</v>
      </c>
      <c r="R402" s="26">
        <v>0.53488372093023295</v>
      </c>
      <c r="S402" s="28">
        <v>0.9</v>
      </c>
      <c r="T402" s="26">
        <v>0.57142857142857095</v>
      </c>
      <c r="U402" s="26">
        <v>0.42857142857142899</v>
      </c>
      <c r="V402" s="26">
        <v>0.5</v>
      </c>
      <c r="W402" s="26">
        <v>0.55813953488372103</v>
      </c>
      <c r="X402" s="28">
        <v>0.92</v>
      </c>
      <c r="Y402" s="28">
        <v>0</v>
      </c>
      <c r="Z402" s="28">
        <v>1</v>
      </c>
      <c r="AA402" s="28">
        <v>0</v>
      </c>
      <c r="AB402" s="28">
        <v>0.5</v>
      </c>
      <c r="AC402" s="28">
        <v>0.92</v>
      </c>
      <c r="AD402" s="26">
        <v>0.99279245980410302</v>
      </c>
      <c r="AE402" s="26">
        <v>0.97063316924121501</v>
      </c>
      <c r="AF402" s="26">
        <v>0.78076873301410599</v>
      </c>
      <c r="AG402" s="26">
        <v>0.92085980967437897</v>
      </c>
      <c r="AH402" s="28">
        <v>0.92</v>
      </c>
      <c r="AI402" s="26">
        <v>0.93203028702236301</v>
      </c>
      <c r="AJ402" s="26">
        <v>0.94818822757829202</v>
      </c>
      <c r="AK402" s="26">
        <v>0.95108919030004102</v>
      </c>
      <c r="AL402" s="26">
        <v>0.9420168373483</v>
      </c>
      <c r="AM402" s="25">
        <v>0.99</v>
      </c>
      <c r="AN402" s="30">
        <v>1</v>
      </c>
      <c r="AO402" s="30">
        <v>1</v>
      </c>
      <c r="AP402" s="30">
        <v>1</v>
      </c>
      <c r="AQ402" s="30">
        <v>1</v>
      </c>
      <c r="AR402" s="50">
        <v>0.05</v>
      </c>
      <c r="AS402" s="34">
        <v>6.25E-2</v>
      </c>
      <c r="AT402" s="34">
        <v>0</v>
      </c>
      <c r="AU402" s="34">
        <v>3.8461538461538498E-2</v>
      </c>
      <c r="AV402" s="34">
        <v>4.1450777202072499E-2</v>
      </c>
      <c r="AW402" s="10"/>
      <c r="AX402" s="8"/>
    </row>
    <row r="403" spans="1:50">
      <c r="A403" s="7"/>
      <c r="B403" s="10"/>
      <c r="C403" s="45" t="s">
        <v>396</v>
      </c>
      <c r="D403" s="23" t="s">
        <v>19</v>
      </c>
      <c r="E403" s="46" t="s">
        <v>449</v>
      </c>
      <c r="F403" s="46" t="s">
        <v>449</v>
      </c>
      <c r="G403" s="46" t="s">
        <v>449</v>
      </c>
      <c r="H403" s="46" t="s">
        <v>449</v>
      </c>
      <c r="I403" s="25">
        <v>0.9</v>
      </c>
      <c r="J403" s="26">
        <v>1</v>
      </c>
      <c r="K403" s="26">
        <v>1</v>
      </c>
      <c r="L403" s="27">
        <v>1</v>
      </c>
      <c r="M403" s="26">
        <v>0.99612403100775204</v>
      </c>
      <c r="N403" s="28">
        <v>0.9</v>
      </c>
      <c r="O403" s="26">
        <v>0.5</v>
      </c>
      <c r="P403" s="26">
        <v>0</v>
      </c>
      <c r="Q403" s="26">
        <v>0</v>
      </c>
      <c r="R403" s="26">
        <v>0.6</v>
      </c>
      <c r="S403" s="28">
        <v>0.9</v>
      </c>
      <c r="T403" s="26">
        <v>0.5</v>
      </c>
      <c r="U403" s="26">
        <v>0</v>
      </c>
      <c r="V403" s="26">
        <v>0</v>
      </c>
      <c r="W403" s="26">
        <v>0.8</v>
      </c>
      <c r="X403" s="28">
        <v>0.92</v>
      </c>
      <c r="Y403" s="28">
        <v>0</v>
      </c>
      <c r="Z403" s="28">
        <v>0</v>
      </c>
      <c r="AA403" s="28">
        <v>0</v>
      </c>
      <c r="AB403" s="28">
        <v>0</v>
      </c>
      <c r="AC403" s="28">
        <v>0.92</v>
      </c>
      <c r="AD403" s="26">
        <v>0.95</v>
      </c>
      <c r="AE403" s="26">
        <v>0.828599412340842</v>
      </c>
      <c r="AF403" s="26">
        <v>0.98964803312629401</v>
      </c>
      <c r="AG403" s="26">
        <v>0.95690080605362704</v>
      </c>
      <c r="AH403" s="28">
        <v>0.92</v>
      </c>
      <c r="AI403" s="26">
        <v>0.95951082465708104</v>
      </c>
      <c r="AJ403" s="26">
        <v>0.96538685282140801</v>
      </c>
      <c r="AK403" s="26">
        <v>0.94305799648506194</v>
      </c>
      <c r="AL403" s="26">
        <v>0.956598648051046</v>
      </c>
      <c r="AM403" s="25">
        <v>0.99</v>
      </c>
      <c r="AN403" s="30">
        <v>1</v>
      </c>
      <c r="AO403" s="30">
        <v>1</v>
      </c>
      <c r="AP403" s="30">
        <v>1</v>
      </c>
      <c r="AQ403" s="30">
        <v>1</v>
      </c>
      <c r="AR403" s="50">
        <v>0.05</v>
      </c>
      <c r="AS403" s="34">
        <v>0.14285714285714299</v>
      </c>
      <c r="AT403" s="34">
        <v>9.0909090909090898E-2</v>
      </c>
      <c r="AU403" s="34">
        <v>0</v>
      </c>
      <c r="AV403" s="34">
        <v>6.5573770491803296E-2</v>
      </c>
      <c r="AW403" s="10"/>
      <c r="AX403" s="8"/>
    </row>
    <row r="404" spans="1:50">
      <c r="A404" s="7"/>
      <c r="B404" s="10"/>
      <c r="C404" s="45" t="s">
        <v>396</v>
      </c>
      <c r="D404" s="23" t="s">
        <v>19</v>
      </c>
      <c r="E404" s="46" t="s">
        <v>450</v>
      </c>
      <c r="F404" s="46" t="s">
        <v>450</v>
      </c>
      <c r="G404" s="46" t="s">
        <v>450</v>
      </c>
      <c r="H404" s="46" t="s">
        <v>450</v>
      </c>
      <c r="I404" s="25">
        <v>0.9</v>
      </c>
      <c r="J404" s="26">
        <v>0.89655172413793105</v>
      </c>
      <c r="K404" s="26">
        <v>0.89655172413793105</v>
      </c>
      <c r="L404" s="27">
        <v>0.85185185185185197</v>
      </c>
      <c r="M404" s="26">
        <v>0.83647798742138402</v>
      </c>
      <c r="N404" s="28">
        <v>0.9</v>
      </c>
      <c r="O404" s="26">
        <v>0</v>
      </c>
      <c r="P404" s="26">
        <v>0.5</v>
      </c>
      <c r="Q404" s="26">
        <v>0</v>
      </c>
      <c r="R404" s="26">
        <v>0.22222222222222199</v>
      </c>
      <c r="S404" s="28">
        <v>0.9</v>
      </c>
      <c r="T404" s="26">
        <v>0</v>
      </c>
      <c r="U404" s="26">
        <v>0.25</v>
      </c>
      <c r="V404" s="26">
        <v>0</v>
      </c>
      <c r="W404" s="26">
        <v>0.11111111111111099</v>
      </c>
      <c r="X404" s="28">
        <v>0.92</v>
      </c>
      <c r="Y404" s="28">
        <v>0</v>
      </c>
      <c r="Z404" s="28">
        <v>0</v>
      </c>
      <c r="AA404" s="28">
        <v>0</v>
      </c>
      <c r="AB404" s="28">
        <v>0.25</v>
      </c>
      <c r="AC404" s="28">
        <v>0.92</v>
      </c>
      <c r="AD404" s="26">
        <v>0.996920369555653</v>
      </c>
      <c r="AE404" s="26">
        <v>0.99596088435374197</v>
      </c>
      <c r="AF404" s="26">
        <v>0.99690315315315303</v>
      </c>
      <c r="AG404" s="26">
        <v>0.99765245691724902</v>
      </c>
      <c r="AH404" s="28">
        <v>0.92</v>
      </c>
      <c r="AI404" s="26">
        <v>0.95389773679798795</v>
      </c>
      <c r="AJ404" s="26">
        <v>0.94186902133922001</v>
      </c>
      <c r="AK404" s="26">
        <v>0.95050847457627097</v>
      </c>
      <c r="AL404" s="26">
        <v>0.94283095606347</v>
      </c>
      <c r="AM404" s="25">
        <v>0.99</v>
      </c>
      <c r="AN404" s="30">
        <v>1</v>
      </c>
      <c r="AO404" s="30">
        <v>1</v>
      </c>
      <c r="AP404" s="30">
        <v>1</v>
      </c>
      <c r="AQ404" s="30">
        <v>1</v>
      </c>
      <c r="AR404" s="50">
        <v>0.05</v>
      </c>
      <c r="AS404" s="34">
        <v>0</v>
      </c>
      <c r="AT404" s="34">
        <v>0</v>
      </c>
      <c r="AU404" s="34">
        <v>0</v>
      </c>
      <c r="AV404" s="34">
        <v>-1.49253731343284E-2</v>
      </c>
      <c r="AW404" s="10"/>
      <c r="AX404" s="8"/>
    </row>
    <row r="405" spans="1:50">
      <c r="A405" s="7"/>
      <c r="B405" s="10"/>
      <c r="C405" s="45" t="s">
        <v>396</v>
      </c>
      <c r="D405" s="23" t="s">
        <v>19</v>
      </c>
      <c r="E405" s="46" t="s">
        <v>451</v>
      </c>
      <c r="F405" s="46" t="s">
        <v>451</v>
      </c>
      <c r="G405" s="46" t="s">
        <v>451</v>
      </c>
      <c r="H405" s="46" t="s">
        <v>451</v>
      </c>
      <c r="I405" s="25">
        <v>0.9</v>
      </c>
      <c r="J405" s="26">
        <v>1</v>
      </c>
      <c r="K405" s="26">
        <v>1</v>
      </c>
      <c r="L405" s="27">
        <v>1</v>
      </c>
      <c r="M405" s="26">
        <v>1</v>
      </c>
      <c r="N405" s="28">
        <v>0.9</v>
      </c>
      <c r="O405" s="26">
        <v>0</v>
      </c>
      <c r="P405" s="26">
        <v>0</v>
      </c>
      <c r="Q405" s="26">
        <v>0</v>
      </c>
      <c r="R405" s="26">
        <v>0</v>
      </c>
      <c r="S405" s="28">
        <v>0.9</v>
      </c>
      <c r="T405" s="26">
        <v>0</v>
      </c>
      <c r="U405" s="26">
        <v>0</v>
      </c>
      <c r="V405" s="26">
        <v>0.5</v>
      </c>
      <c r="W405" s="26">
        <v>0.5</v>
      </c>
      <c r="X405" s="28">
        <v>0.92</v>
      </c>
      <c r="Y405" s="28">
        <v>0</v>
      </c>
      <c r="Z405" s="28">
        <v>0</v>
      </c>
      <c r="AA405" s="28">
        <v>0</v>
      </c>
      <c r="AB405" s="28">
        <v>0</v>
      </c>
      <c r="AC405" s="28">
        <v>0.92</v>
      </c>
      <c r="AD405" s="26">
        <v>0.92397660818713401</v>
      </c>
      <c r="AE405" s="26">
        <v>0.95373665480427094</v>
      </c>
      <c r="AF405" s="26">
        <v>0.940217391304348</v>
      </c>
      <c r="AG405" s="26">
        <v>0.95253955037468796</v>
      </c>
      <c r="AH405" s="28">
        <v>0.92</v>
      </c>
      <c r="AI405" s="26">
        <v>0.94876174210076902</v>
      </c>
      <c r="AJ405" s="26">
        <v>0.95600298284861995</v>
      </c>
      <c r="AK405" s="26">
        <v>0.95025906735751298</v>
      </c>
      <c r="AL405" s="26">
        <v>0.95390130043347798</v>
      </c>
      <c r="AM405" s="25">
        <v>0.99</v>
      </c>
      <c r="AN405" s="30">
        <v>1</v>
      </c>
      <c r="AO405" s="30">
        <v>1</v>
      </c>
      <c r="AP405" s="30">
        <v>1</v>
      </c>
      <c r="AQ405" s="30">
        <v>1</v>
      </c>
      <c r="AR405" s="50">
        <v>0.05</v>
      </c>
      <c r="AS405" s="34">
        <v>0.33333333333333298</v>
      </c>
      <c r="AT405" s="34">
        <v>0.6</v>
      </c>
      <c r="AU405" s="34">
        <v>0.8</v>
      </c>
      <c r="AV405" s="34">
        <v>0.214285714285714</v>
      </c>
      <c r="AW405" s="10"/>
      <c r="AX405" s="8"/>
    </row>
    <row r="406" spans="1:50">
      <c r="A406" s="7"/>
      <c r="B406" s="10"/>
      <c r="C406" s="45" t="s">
        <v>396</v>
      </c>
      <c r="D406" s="23" t="s">
        <v>19</v>
      </c>
      <c r="E406" s="46" t="s">
        <v>452</v>
      </c>
      <c r="F406" s="46" t="s">
        <v>452</v>
      </c>
      <c r="G406" s="46" t="s">
        <v>452</v>
      </c>
      <c r="H406" s="46" t="s">
        <v>452</v>
      </c>
      <c r="I406" s="25">
        <v>0.9</v>
      </c>
      <c r="J406" s="26">
        <v>1</v>
      </c>
      <c r="K406" s="26">
        <v>1</v>
      </c>
      <c r="L406" s="27">
        <v>1</v>
      </c>
      <c r="M406" s="26">
        <v>1</v>
      </c>
      <c r="N406" s="28">
        <v>0.9</v>
      </c>
      <c r="O406" s="26">
        <v>0</v>
      </c>
      <c r="P406" s="26">
        <v>0</v>
      </c>
      <c r="Q406" s="26">
        <v>0</v>
      </c>
      <c r="R406" s="26">
        <v>0</v>
      </c>
      <c r="S406" s="28">
        <v>0.9</v>
      </c>
      <c r="T406" s="26">
        <v>0</v>
      </c>
      <c r="U406" s="26">
        <v>0</v>
      </c>
      <c r="V406" s="26">
        <v>0</v>
      </c>
      <c r="W406" s="26">
        <v>0</v>
      </c>
      <c r="X406" s="28">
        <v>0.92</v>
      </c>
      <c r="Y406" s="28">
        <v>0</v>
      </c>
      <c r="Z406" s="28">
        <v>0</v>
      </c>
      <c r="AA406" s="28">
        <v>0</v>
      </c>
      <c r="AB406" s="28">
        <v>0</v>
      </c>
      <c r="AC406" s="28">
        <v>0.92</v>
      </c>
      <c r="AD406" s="26">
        <v>0.65217391304347805</v>
      </c>
      <c r="AE406" s="26">
        <v>0.6</v>
      </c>
      <c r="AF406" s="26">
        <v>0.86486486486486502</v>
      </c>
      <c r="AG406" s="26">
        <v>0.72649572649572602</v>
      </c>
      <c r="AH406" s="28">
        <v>0.92</v>
      </c>
      <c r="AI406" s="26">
        <v>0.96356589147286797</v>
      </c>
      <c r="AJ406" s="26">
        <v>0.96721311475409799</v>
      </c>
      <c r="AK406" s="26">
        <v>0.91903914590747304</v>
      </c>
      <c r="AL406" s="26">
        <v>0.94916020185282801</v>
      </c>
      <c r="AM406" s="25">
        <v>0.99</v>
      </c>
      <c r="AN406" s="30">
        <v>1</v>
      </c>
      <c r="AO406" s="30">
        <v>1</v>
      </c>
      <c r="AP406" s="30">
        <v>1</v>
      </c>
      <c r="AQ406" s="30">
        <v>1</v>
      </c>
      <c r="AR406" s="50">
        <v>0.05</v>
      </c>
      <c r="AS406" s="34">
        <v>0</v>
      </c>
      <c r="AT406" s="34">
        <v>0</v>
      </c>
      <c r="AU406" s="34">
        <v>0</v>
      </c>
      <c r="AV406" s="34">
        <v>2.2222222222222199E-2</v>
      </c>
      <c r="AW406" s="10"/>
      <c r="AX406" s="8"/>
    </row>
    <row r="407" spans="1:50">
      <c r="A407" s="7"/>
      <c r="B407" s="10"/>
      <c r="C407" s="45" t="s">
        <v>396</v>
      </c>
      <c r="D407" s="23" t="s">
        <v>19</v>
      </c>
      <c r="E407" s="46" t="s">
        <v>453</v>
      </c>
      <c r="F407" s="46" t="s">
        <v>453</v>
      </c>
      <c r="G407" s="46" t="s">
        <v>453</v>
      </c>
      <c r="H407" s="46" t="s">
        <v>453</v>
      </c>
      <c r="I407" s="25">
        <v>0.9</v>
      </c>
      <c r="J407" s="26">
        <v>0.83928571428571397</v>
      </c>
      <c r="K407" s="26">
        <v>0.88524590163934402</v>
      </c>
      <c r="L407" s="27">
        <v>0.87755102040816302</v>
      </c>
      <c r="M407" s="26">
        <v>0.873493975903614</v>
      </c>
      <c r="N407" s="28">
        <v>0.9</v>
      </c>
      <c r="O407" s="26">
        <v>0</v>
      </c>
      <c r="P407" s="26">
        <v>0</v>
      </c>
      <c r="Q407" s="26">
        <v>0</v>
      </c>
      <c r="R407" s="26">
        <v>0.22222222222222199</v>
      </c>
      <c r="S407" s="28">
        <v>0.9</v>
      </c>
      <c r="T407" s="26">
        <v>0</v>
      </c>
      <c r="U407" s="26">
        <v>0</v>
      </c>
      <c r="V407" s="26">
        <v>0</v>
      </c>
      <c r="W407" s="26">
        <v>0.33333333333333298</v>
      </c>
      <c r="X407" s="28">
        <v>0.92</v>
      </c>
      <c r="Y407" s="28">
        <v>0</v>
      </c>
      <c r="Z407" s="28">
        <v>0</v>
      </c>
      <c r="AA407" s="28">
        <v>0</v>
      </c>
      <c r="AB407" s="28">
        <v>0.33333333333333298</v>
      </c>
      <c r="AC407" s="28">
        <v>0.92</v>
      </c>
      <c r="AD407" s="26">
        <v>0.97762206148282105</v>
      </c>
      <c r="AE407" s="26">
        <v>0.96259143155694904</v>
      </c>
      <c r="AF407" s="26">
        <v>0.97591925018024495</v>
      </c>
      <c r="AG407" s="26">
        <v>0.98249906548407895</v>
      </c>
      <c r="AH407" s="28">
        <v>0.92</v>
      </c>
      <c r="AI407" s="26">
        <v>0.92645716521058796</v>
      </c>
      <c r="AJ407" s="26">
        <v>0.94829983567184895</v>
      </c>
      <c r="AK407" s="26">
        <v>0.91468823375945696</v>
      </c>
      <c r="AL407" s="26">
        <v>0.92965814436240402</v>
      </c>
      <c r="AM407" s="25">
        <v>0.99</v>
      </c>
      <c r="AN407" s="30">
        <v>1</v>
      </c>
      <c r="AO407" s="30">
        <v>1</v>
      </c>
      <c r="AP407" s="30">
        <v>1</v>
      </c>
      <c r="AQ407" s="30">
        <v>1</v>
      </c>
      <c r="AR407" s="50">
        <v>0.05</v>
      </c>
      <c r="AS407" s="34">
        <v>0.1</v>
      </c>
      <c r="AT407" s="34">
        <v>9.5238095238095205E-2</v>
      </c>
      <c r="AU407" s="34">
        <v>0.11111111111111099</v>
      </c>
      <c r="AV407" s="34">
        <v>8.0645161290322606E-2</v>
      </c>
      <c r="AW407" s="10"/>
      <c r="AX407" s="8"/>
    </row>
    <row r="408" spans="1:50">
      <c r="A408" s="7"/>
      <c r="B408" s="10"/>
      <c r="C408" s="45" t="s">
        <v>396</v>
      </c>
      <c r="D408" s="23" t="s">
        <v>19</v>
      </c>
      <c r="E408" s="46" t="s">
        <v>454</v>
      </c>
      <c r="F408" s="46" t="s">
        <v>454</v>
      </c>
      <c r="G408" s="46" t="s">
        <v>454</v>
      </c>
      <c r="H408" s="46" t="s">
        <v>454</v>
      </c>
      <c r="I408" s="25">
        <v>0.9</v>
      </c>
      <c r="J408" s="26">
        <v>1</v>
      </c>
      <c r="K408" s="26">
        <v>0.94285714285714295</v>
      </c>
      <c r="L408" s="27">
        <v>1</v>
      </c>
      <c r="M408" s="26">
        <v>0.98888888888888904</v>
      </c>
      <c r="N408" s="28">
        <v>0.9</v>
      </c>
      <c r="O408" s="26">
        <v>0.98276886512180595</v>
      </c>
      <c r="P408" s="26">
        <v>0.989150943396226</v>
      </c>
      <c r="Q408" s="26">
        <v>1</v>
      </c>
      <c r="R408" s="26">
        <v>0.98913043478260898</v>
      </c>
      <c r="S408" s="28">
        <v>0.9</v>
      </c>
      <c r="T408" s="26">
        <v>0.90790255496137895</v>
      </c>
      <c r="U408" s="26">
        <v>0.94150943396226405</v>
      </c>
      <c r="V408" s="26">
        <v>0.95305164319248803</v>
      </c>
      <c r="W408" s="26">
        <v>0.93704710144927505</v>
      </c>
      <c r="X408" s="28">
        <v>0.92</v>
      </c>
      <c r="Y408" s="28">
        <v>0.93806727175654003</v>
      </c>
      <c r="Z408" s="28">
        <v>0.963917525773196</v>
      </c>
      <c r="AA408" s="28">
        <v>0.93650793650793696</v>
      </c>
      <c r="AB408" s="28">
        <v>0.94773812868783402</v>
      </c>
      <c r="AC408" s="28">
        <v>0.92</v>
      </c>
      <c r="AD408" s="26">
        <v>1</v>
      </c>
      <c r="AE408" s="26">
        <v>0.99809160305343503</v>
      </c>
      <c r="AF408" s="26">
        <v>0.99955387017622099</v>
      </c>
      <c r="AG408" s="26">
        <v>0.99886685552407894</v>
      </c>
      <c r="AH408" s="28">
        <v>0.92</v>
      </c>
      <c r="AI408" s="26">
        <v>0.95984274080314502</v>
      </c>
      <c r="AJ408" s="26">
        <v>0.97615535889872196</v>
      </c>
      <c r="AK408" s="26">
        <v>0.95532233883058504</v>
      </c>
      <c r="AL408" s="26">
        <v>0.96688165438165397</v>
      </c>
      <c r="AM408" s="25">
        <v>0.99</v>
      </c>
      <c r="AN408" s="30">
        <v>1</v>
      </c>
      <c r="AO408" s="30">
        <v>1</v>
      </c>
      <c r="AP408" s="30">
        <v>1</v>
      </c>
      <c r="AQ408" s="30">
        <v>1</v>
      </c>
      <c r="AR408" s="50">
        <v>0.05</v>
      </c>
      <c r="AS408" s="34">
        <v>0</v>
      </c>
      <c r="AT408" s="34">
        <v>0.125</v>
      </c>
      <c r="AU408" s="34">
        <v>0</v>
      </c>
      <c r="AV408" s="34">
        <v>0</v>
      </c>
      <c r="AW408" s="10"/>
      <c r="AX408" s="8"/>
    </row>
    <row r="409" spans="1:50">
      <c r="A409" s="7"/>
      <c r="B409" s="10"/>
      <c r="C409" s="45" t="s">
        <v>396</v>
      </c>
      <c r="D409" s="23" t="s">
        <v>19</v>
      </c>
      <c r="E409" s="46" t="s">
        <v>455</v>
      </c>
      <c r="F409" s="46" t="s">
        <v>455</v>
      </c>
      <c r="G409" s="46" t="s">
        <v>455</v>
      </c>
      <c r="H409" s="46" t="s">
        <v>455</v>
      </c>
      <c r="I409" s="25">
        <v>0.9</v>
      </c>
      <c r="J409" s="26">
        <v>0.96666666666666701</v>
      </c>
      <c r="K409" s="26">
        <v>0.93650793650793696</v>
      </c>
      <c r="L409" s="27">
        <v>1</v>
      </c>
      <c r="M409" s="26">
        <v>0.94970414201183395</v>
      </c>
      <c r="N409" s="28">
        <v>0.9</v>
      </c>
      <c r="O409" s="26">
        <v>0.96221362689675705</v>
      </c>
      <c r="P409" s="26">
        <v>0.96389569868508995</v>
      </c>
      <c r="Q409" s="26">
        <v>0.96955128205128205</v>
      </c>
      <c r="R409" s="26">
        <v>0.964566929133858</v>
      </c>
      <c r="S409" s="28">
        <v>0.9</v>
      </c>
      <c r="T409" s="26">
        <v>0.89913716155905998</v>
      </c>
      <c r="U409" s="26">
        <v>0.89369289057276602</v>
      </c>
      <c r="V409" s="26">
        <v>0.91025641025641002</v>
      </c>
      <c r="W409" s="26">
        <v>0.88422914526988505</v>
      </c>
      <c r="X409" s="28">
        <v>0.92</v>
      </c>
      <c r="Y409" s="28">
        <v>0.86940298507462699</v>
      </c>
      <c r="Z409" s="28">
        <v>0.92608300514995501</v>
      </c>
      <c r="AA409" s="28">
        <v>0.91066882666049498</v>
      </c>
      <c r="AB409" s="28">
        <v>0.88347124751230799</v>
      </c>
      <c r="AC409" s="28">
        <v>0.92</v>
      </c>
      <c r="AD409" s="26">
        <v>0.99571658040335498</v>
      </c>
      <c r="AE409" s="26">
        <v>0.996038163001294</v>
      </c>
      <c r="AF409" s="26">
        <v>0.99653551101212601</v>
      </c>
      <c r="AG409" s="26">
        <v>0.902174251143115</v>
      </c>
      <c r="AH409" s="28">
        <v>0.92</v>
      </c>
      <c r="AI409" s="26">
        <v>0.915171784737002</v>
      </c>
      <c r="AJ409" s="26">
        <v>0.95661103979460804</v>
      </c>
      <c r="AK409" s="26">
        <v>0.929977412068409</v>
      </c>
      <c r="AL409" s="26">
        <v>0.92038877361581295</v>
      </c>
      <c r="AM409" s="25">
        <v>0.99</v>
      </c>
      <c r="AN409" s="30">
        <v>1</v>
      </c>
      <c r="AO409" s="30">
        <v>1</v>
      </c>
      <c r="AP409" s="30">
        <v>1</v>
      </c>
      <c r="AQ409" s="30">
        <v>1</v>
      </c>
      <c r="AR409" s="50">
        <v>0.05</v>
      </c>
      <c r="AS409" s="34">
        <v>3.4482758620689703E-2</v>
      </c>
      <c r="AT409" s="34">
        <v>6.25E-2</v>
      </c>
      <c r="AU409" s="34">
        <v>0</v>
      </c>
      <c r="AV409" s="34">
        <v>2.5751072961373401E-2</v>
      </c>
      <c r="AW409" s="10"/>
      <c r="AX409" s="8"/>
    </row>
    <row r="410" spans="1:50">
      <c r="A410" s="7"/>
      <c r="B410" s="10"/>
      <c r="C410" s="45" t="s">
        <v>396</v>
      </c>
      <c r="D410" s="23" t="s">
        <v>19</v>
      </c>
      <c r="E410" s="46" t="s">
        <v>456</v>
      </c>
      <c r="F410" s="46" t="s">
        <v>456</v>
      </c>
      <c r="G410" s="46" t="s">
        <v>456</v>
      </c>
      <c r="H410" s="46" t="s">
        <v>456</v>
      </c>
      <c r="I410" s="25">
        <v>0.9</v>
      </c>
      <c r="J410" s="26">
        <v>0.98333333333333295</v>
      </c>
      <c r="K410" s="26">
        <v>0.95161290322580605</v>
      </c>
      <c r="L410" s="27">
        <v>1</v>
      </c>
      <c r="M410" s="26">
        <v>0.96996996996996998</v>
      </c>
      <c r="N410" s="28">
        <v>0.9</v>
      </c>
      <c r="O410" s="26">
        <v>0.97454000855797995</v>
      </c>
      <c r="P410" s="26">
        <v>0.97378890709103705</v>
      </c>
      <c r="Q410" s="26">
        <v>0.96428571428571397</v>
      </c>
      <c r="R410" s="26">
        <v>0.96631142987019503</v>
      </c>
      <c r="S410" s="28">
        <v>0.9</v>
      </c>
      <c r="T410" s="26">
        <v>0.94052203679931501</v>
      </c>
      <c r="U410" s="26">
        <v>0.93400421249707499</v>
      </c>
      <c r="V410" s="26">
        <v>0.91454081632653095</v>
      </c>
      <c r="W410" s="26">
        <v>0.92802666801353595</v>
      </c>
      <c r="X410" s="28">
        <v>0.92</v>
      </c>
      <c r="Y410" s="28">
        <v>0.94474327628361898</v>
      </c>
      <c r="Z410" s="28">
        <v>0.93725893545898697</v>
      </c>
      <c r="AA410" s="28">
        <v>0.92945599292348502</v>
      </c>
      <c r="AB410" s="28">
        <v>0.92431101929585502</v>
      </c>
      <c r="AC410" s="28">
        <v>0.92</v>
      </c>
      <c r="AD410" s="26">
        <v>0.999671951886277</v>
      </c>
      <c r="AE410" s="26">
        <v>0.99668587161576505</v>
      </c>
      <c r="AF410" s="26">
        <v>0.99439717057113797</v>
      </c>
      <c r="AG410" s="26">
        <v>0.99305044925482899</v>
      </c>
      <c r="AH410" s="28">
        <v>0.92</v>
      </c>
      <c r="AI410" s="26">
        <v>0.963947518539646</v>
      </c>
      <c r="AJ410" s="26">
        <v>0.96178343949044598</v>
      </c>
      <c r="AK410" s="26">
        <v>0.94345108300625102</v>
      </c>
      <c r="AL410" s="26">
        <v>0.94847395502925202</v>
      </c>
      <c r="AM410" s="25">
        <v>0.99</v>
      </c>
      <c r="AN410" s="30">
        <v>1</v>
      </c>
      <c r="AO410" s="30">
        <v>1</v>
      </c>
      <c r="AP410" s="30">
        <v>1</v>
      </c>
      <c r="AQ410" s="30">
        <v>1</v>
      </c>
      <c r="AR410" s="50">
        <v>0.05</v>
      </c>
      <c r="AS410" s="34">
        <v>7.4074074074074098E-2</v>
      </c>
      <c r="AT410" s="34">
        <v>3.8461538461538498E-2</v>
      </c>
      <c r="AU410" s="34">
        <v>4.7619047619047603E-2</v>
      </c>
      <c r="AV410" s="34">
        <v>7.69230769230769E-2</v>
      </c>
      <c r="AW410" s="10"/>
      <c r="AX410" s="8"/>
    </row>
    <row r="411" spans="1:50">
      <c r="A411" s="7"/>
      <c r="B411" s="10"/>
      <c r="C411" s="45" t="s">
        <v>396</v>
      </c>
      <c r="D411" s="23" t="s">
        <v>19</v>
      </c>
      <c r="E411" s="46" t="s">
        <v>457</v>
      </c>
      <c r="F411" s="46" t="s">
        <v>457</v>
      </c>
      <c r="G411" s="46" t="s">
        <v>457</v>
      </c>
      <c r="H411" s="46" t="s">
        <v>457</v>
      </c>
      <c r="I411" s="25">
        <v>0.9</v>
      </c>
      <c r="J411" s="26">
        <v>0.98</v>
      </c>
      <c r="K411" s="26">
        <v>0.98113207547169801</v>
      </c>
      <c r="L411" s="27">
        <v>0.97826086956521696</v>
      </c>
      <c r="M411" s="26">
        <v>0.97153024911032004</v>
      </c>
      <c r="N411" s="28">
        <v>0.9</v>
      </c>
      <c r="O411" s="26">
        <v>0.93890339425587499</v>
      </c>
      <c r="P411" s="26">
        <v>0.97142247814032801</v>
      </c>
      <c r="Q411" s="26">
        <v>0.90879871434310999</v>
      </c>
      <c r="R411" s="26">
        <v>0.93804146792563003</v>
      </c>
      <c r="S411" s="28">
        <v>0.9</v>
      </c>
      <c r="T411" s="26">
        <v>0.89634464751958198</v>
      </c>
      <c r="U411" s="26">
        <v>0.86116442738323695</v>
      </c>
      <c r="V411" s="26">
        <v>0.92808356769787104</v>
      </c>
      <c r="W411" s="26">
        <v>0.89861773581232396</v>
      </c>
      <c r="X411" s="28">
        <v>0.92</v>
      </c>
      <c r="Y411" s="28">
        <v>0.86668569797316597</v>
      </c>
      <c r="Z411" s="28">
        <v>0.921545319465082</v>
      </c>
      <c r="AA411" s="28">
        <v>0.87384305835010101</v>
      </c>
      <c r="AB411" s="28">
        <v>0.913145652486691</v>
      </c>
      <c r="AC411" s="28">
        <v>0.92</v>
      </c>
      <c r="AD411" s="26">
        <v>0.94350282485875703</v>
      </c>
      <c r="AE411" s="26">
        <v>0.992864296444667</v>
      </c>
      <c r="AF411" s="26">
        <v>0.84176592351284396</v>
      </c>
      <c r="AG411" s="26">
        <v>0.91568857738207998</v>
      </c>
      <c r="AH411" s="28">
        <v>0.92</v>
      </c>
      <c r="AI411" s="26">
        <v>0.91278277459798296</v>
      </c>
      <c r="AJ411" s="26">
        <v>0.95062647314228998</v>
      </c>
      <c r="AK411" s="26">
        <v>0.90927365317609199</v>
      </c>
      <c r="AL411" s="26">
        <v>0.94367319346193801</v>
      </c>
      <c r="AM411" s="25">
        <v>0.99</v>
      </c>
      <c r="AN411" s="30">
        <v>1</v>
      </c>
      <c r="AO411" s="30">
        <v>1</v>
      </c>
      <c r="AP411" s="30">
        <v>1</v>
      </c>
      <c r="AQ411" s="30">
        <v>1</v>
      </c>
      <c r="AR411" s="50">
        <v>0.05</v>
      </c>
      <c r="AS411" s="34">
        <v>3.7037037037037E-2</v>
      </c>
      <c r="AT411" s="34">
        <v>7.3170731707317097E-2</v>
      </c>
      <c r="AU411" s="34">
        <v>2.9411764705882401E-2</v>
      </c>
      <c r="AV411" s="34">
        <v>3.4934497816593899E-2</v>
      </c>
      <c r="AW411" s="10"/>
      <c r="AX411" s="8"/>
    </row>
    <row r="412" spans="1:50">
      <c r="A412" s="7"/>
      <c r="B412" s="10"/>
      <c r="C412" s="45" t="s">
        <v>396</v>
      </c>
      <c r="D412" s="23" t="s">
        <v>19</v>
      </c>
      <c r="E412" s="46" t="s">
        <v>458</v>
      </c>
      <c r="F412" s="46" t="s">
        <v>458</v>
      </c>
      <c r="G412" s="46" t="s">
        <v>458</v>
      </c>
      <c r="H412" s="46" t="s">
        <v>458</v>
      </c>
      <c r="I412" s="25">
        <v>0.9</v>
      </c>
      <c r="J412" s="26">
        <v>1</v>
      </c>
      <c r="K412" s="26">
        <v>0.98275862068965503</v>
      </c>
      <c r="L412" s="27">
        <v>0.98181818181818203</v>
      </c>
      <c r="M412" s="26">
        <v>0.97897897897897901</v>
      </c>
      <c r="N412" s="28">
        <v>0.9</v>
      </c>
      <c r="O412" s="26">
        <v>0.99266581632653095</v>
      </c>
      <c r="P412" s="26">
        <v>0.99589427764947402</v>
      </c>
      <c r="Q412" s="26">
        <v>0.98847926267281105</v>
      </c>
      <c r="R412" s="26">
        <v>0.99045149121773002</v>
      </c>
      <c r="S412" s="28">
        <v>0.9</v>
      </c>
      <c r="T412" s="26">
        <v>0.93335459183673497</v>
      </c>
      <c r="U412" s="26">
        <v>0.94021041827046403</v>
      </c>
      <c r="V412" s="26">
        <v>0.95576036866359404</v>
      </c>
      <c r="W412" s="26">
        <v>0.94259106448190499</v>
      </c>
      <c r="X412" s="28">
        <v>0.92</v>
      </c>
      <c r="Y412" s="28">
        <v>0.96527626119239995</v>
      </c>
      <c r="Z412" s="28">
        <v>0.96720867208672101</v>
      </c>
      <c r="AA412" s="28">
        <v>0.95548678885979499</v>
      </c>
      <c r="AB412" s="28">
        <v>0.95690328509074196</v>
      </c>
      <c r="AC412" s="28">
        <v>0.92</v>
      </c>
      <c r="AD412" s="26">
        <v>0.99601379013143698</v>
      </c>
      <c r="AE412" s="26">
        <v>0.99747954714486398</v>
      </c>
      <c r="AF412" s="26">
        <v>0.98989351212778498</v>
      </c>
      <c r="AG412" s="26">
        <v>0.99340786152181704</v>
      </c>
      <c r="AH412" s="28">
        <v>0.92</v>
      </c>
      <c r="AI412" s="26">
        <v>0.97009321595028497</v>
      </c>
      <c r="AJ412" s="26">
        <v>0.97669519420671502</v>
      </c>
      <c r="AK412" s="26">
        <v>0.96720539777185</v>
      </c>
      <c r="AL412" s="26">
        <v>0.96969931404404597</v>
      </c>
      <c r="AM412" s="25">
        <v>0.99</v>
      </c>
      <c r="AN412" s="30">
        <v>1</v>
      </c>
      <c r="AO412" s="30">
        <v>1</v>
      </c>
      <c r="AP412" s="30">
        <v>1</v>
      </c>
      <c r="AQ412" s="30">
        <v>1</v>
      </c>
      <c r="AR412" s="50">
        <v>0.05</v>
      </c>
      <c r="AS412" s="34">
        <v>3.8461538461538498E-2</v>
      </c>
      <c r="AT412" s="34">
        <v>0</v>
      </c>
      <c r="AU412" s="34">
        <v>4.5454545454545497E-2</v>
      </c>
      <c r="AV412" s="34">
        <v>3.7313432835820899E-2</v>
      </c>
      <c r="AW412" s="10"/>
      <c r="AX412" s="8"/>
    </row>
    <row r="413" spans="1:50">
      <c r="A413" s="7"/>
      <c r="B413" s="10"/>
      <c r="C413" s="45" t="s">
        <v>396</v>
      </c>
      <c r="D413" s="23" t="s">
        <v>19</v>
      </c>
      <c r="E413" s="46" t="s">
        <v>459</v>
      </c>
      <c r="F413" s="46" t="s">
        <v>459</v>
      </c>
      <c r="G413" s="46" t="s">
        <v>459</v>
      </c>
      <c r="H413" s="46" t="s">
        <v>459</v>
      </c>
      <c r="I413" s="25">
        <v>0.9</v>
      </c>
      <c r="J413" s="26">
        <v>0.98148148148148195</v>
      </c>
      <c r="K413" s="26">
        <v>1</v>
      </c>
      <c r="L413" s="27">
        <v>0.97959183673469397</v>
      </c>
      <c r="M413" s="26">
        <v>0.99337748344370902</v>
      </c>
      <c r="N413" s="28">
        <v>0.9</v>
      </c>
      <c r="O413" s="26">
        <v>0.99381522999613403</v>
      </c>
      <c r="P413" s="26">
        <v>0.98305616567304699</v>
      </c>
      <c r="Q413" s="26">
        <v>0.99681933842239201</v>
      </c>
      <c r="R413" s="26">
        <v>0.990343905518829</v>
      </c>
      <c r="S413" s="28">
        <v>0.9</v>
      </c>
      <c r="T413" s="26">
        <v>0.96443757247777395</v>
      </c>
      <c r="U413" s="26">
        <v>0.96611233134609398</v>
      </c>
      <c r="V413" s="26">
        <v>0.95610687022900798</v>
      </c>
      <c r="W413" s="26">
        <v>0.96434672806952404</v>
      </c>
      <c r="X413" s="28">
        <v>0.92</v>
      </c>
      <c r="Y413" s="28">
        <v>0.970656370656371</v>
      </c>
      <c r="Z413" s="28">
        <v>0.98324958123953099</v>
      </c>
      <c r="AA413" s="28">
        <v>0.97723869421982601</v>
      </c>
      <c r="AB413" s="28">
        <v>0.97820691325140796</v>
      </c>
      <c r="AC413" s="28">
        <v>0.92</v>
      </c>
      <c r="AD413" s="26">
        <v>0.99835526315789502</v>
      </c>
      <c r="AE413" s="26">
        <v>0.99683210137275602</v>
      </c>
      <c r="AF413" s="26">
        <v>0.99733096085409301</v>
      </c>
      <c r="AG413" s="26">
        <v>0.997194256477967</v>
      </c>
      <c r="AH413" s="28">
        <v>0.92</v>
      </c>
      <c r="AI413" s="26">
        <v>0.98129218900674997</v>
      </c>
      <c r="AJ413" s="26">
        <v>0.98817813765182205</v>
      </c>
      <c r="AK413" s="26">
        <v>0.98229187868919199</v>
      </c>
      <c r="AL413" s="26">
        <v>0.985005497984073</v>
      </c>
      <c r="AM413" s="25">
        <v>0.99</v>
      </c>
      <c r="AN413" s="30">
        <v>1</v>
      </c>
      <c r="AO413" s="30">
        <v>1</v>
      </c>
      <c r="AP413" s="30">
        <v>1</v>
      </c>
      <c r="AQ413" s="30">
        <v>1</v>
      </c>
      <c r="AR413" s="50">
        <v>0.05</v>
      </c>
      <c r="AS413" s="34">
        <v>0.105263157894737</v>
      </c>
      <c r="AT413" s="34">
        <v>0</v>
      </c>
      <c r="AU413" s="34">
        <v>0</v>
      </c>
      <c r="AV413" s="34">
        <v>4.1322314049586799E-2</v>
      </c>
      <c r="AW413" s="10"/>
      <c r="AX413" s="8"/>
    </row>
    <row r="414" spans="1:50">
      <c r="A414" s="7"/>
      <c r="B414" s="10"/>
      <c r="C414" s="45" t="s">
        <v>396</v>
      </c>
      <c r="D414" s="23" t="s">
        <v>19</v>
      </c>
      <c r="E414" s="46" t="s">
        <v>460</v>
      </c>
      <c r="F414" s="46" t="s">
        <v>460</v>
      </c>
      <c r="G414" s="46" t="s">
        <v>460</v>
      </c>
      <c r="H414" s="46" t="s">
        <v>460</v>
      </c>
      <c r="I414" s="25">
        <v>0.9</v>
      </c>
      <c r="J414" s="26">
        <v>0.94545454545454499</v>
      </c>
      <c r="K414" s="26">
        <v>0.94915254237288105</v>
      </c>
      <c r="L414" s="27">
        <v>0.96296296296296302</v>
      </c>
      <c r="M414" s="26">
        <v>0.95583596214511002</v>
      </c>
      <c r="N414" s="28">
        <v>0.9</v>
      </c>
      <c r="O414" s="26">
        <v>0.973605874181385</v>
      </c>
      <c r="P414" s="26">
        <v>0.97958115183246097</v>
      </c>
      <c r="Q414" s="26">
        <v>0.98490865766481295</v>
      </c>
      <c r="R414" s="26">
        <v>0.97968782303080404</v>
      </c>
      <c r="S414" s="28">
        <v>0.9</v>
      </c>
      <c r="T414" s="26">
        <v>0.95217305020837495</v>
      </c>
      <c r="U414" s="26">
        <v>0.95340314136125703</v>
      </c>
      <c r="V414" s="26">
        <v>0.96822875297855404</v>
      </c>
      <c r="W414" s="26">
        <v>0.95136448211701496</v>
      </c>
      <c r="X414" s="28">
        <v>0.92</v>
      </c>
      <c r="Y414" s="28">
        <v>0.96570993141986305</v>
      </c>
      <c r="Z414" s="28">
        <v>0.96229089878083396</v>
      </c>
      <c r="AA414" s="28">
        <v>0.96980645161290302</v>
      </c>
      <c r="AB414" s="28">
        <v>0.96373270229950103</v>
      </c>
      <c r="AC414" s="28">
        <v>0.92</v>
      </c>
      <c r="AD414" s="26">
        <v>0.99843398650819104</v>
      </c>
      <c r="AE414" s="26">
        <v>0.99699968417728202</v>
      </c>
      <c r="AF414" s="26">
        <v>0.993709650720079</v>
      </c>
      <c r="AG414" s="26">
        <v>0.98504739618450798</v>
      </c>
      <c r="AH414" s="28">
        <v>0.92</v>
      </c>
      <c r="AI414" s="26">
        <v>0.96872217275155803</v>
      </c>
      <c r="AJ414" s="26">
        <v>0.97047619047619005</v>
      </c>
      <c r="AK414" s="26">
        <v>0.97811816192560197</v>
      </c>
      <c r="AL414" s="26">
        <v>0.97143960855009004</v>
      </c>
      <c r="AM414" s="25">
        <v>0.99</v>
      </c>
      <c r="AN414" s="30">
        <v>1</v>
      </c>
      <c r="AO414" s="30">
        <v>1</v>
      </c>
      <c r="AP414" s="30">
        <v>1</v>
      </c>
      <c r="AQ414" s="30">
        <v>1</v>
      </c>
      <c r="AR414" s="50">
        <v>0.05</v>
      </c>
      <c r="AS414" s="34">
        <v>3.03030303030303E-2</v>
      </c>
      <c r="AT414" s="34">
        <v>2.7777777777777801E-2</v>
      </c>
      <c r="AU414" s="34">
        <v>3.3333333333333298E-2</v>
      </c>
      <c r="AV414" s="34">
        <v>3.1914893617021302E-2</v>
      </c>
      <c r="AW414" s="10"/>
      <c r="AX414" s="8"/>
    </row>
    <row r="415" spans="1:50">
      <c r="A415" s="7"/>
      <c r="B415" s="10"/>
      <c r="C415" s="45" t="s">
        <v>396</v>
      </c>
      <c r="D415" s="23" t="s">
        <v>19</v>
      </c>
      <c r="E415" s="46" t="s">
        <v>461</v>
      </c>
      <c r="F415" s="46" t="s">
        <v>461</v>
      </c>
      <c r="G415" s="46" t="s">
        <v>461</v>
      </c>
      <c r="H415" s="46" t="s">
        <v>461</v>
      </c>
      <c r="I415" s="25">
        <v>0.9</v>
      </c>
      <c r="J415" s="26">
        <v>0.94736842105263197</v>
      </c>
      <c r="K415" s="26">
        <v>0.97560975609756095</v>
      </c>
      <c r="L415" s="27">
        <v>0.97222222222222199</v>
      </c>
      <c r="M415" s="26">
        <v>0.97321428571428603</v>
      </c>
      <c r="N415" s="28">
        <v>0.9</v>
      </c>
      <c r="O415" s="26">
        <v>0.85271028037383201</v>
      </c>
      <c r="P415" s="26">
        <v>0.955700123915737</v>
      </c>
      <c r="Q415" s="26">
        <v>0.98116438356164404</v>
      </c>
      <c r="R415" s="26">
        <v>0.91421827948237999</v>
      </c>
      <c r="S415" s="28">
        <v>0.9</v>
      </c>
      <c r="T415" s="26">
        <v>0.81121495327102799</v>
      </c>
      <c r="U415" s="26">
        <v>0.88940520446096605</v>
      </c>
      <c r="V415" s="26">
        <v>0.95547945205479501</v>
      </c>
      <c r="W415" s="26">
        <v>0.89354602425327601</v>
      </c>
      <c r="X415" s="28">
        <v>0.92</v>
      </c>
      <c r="Y415" s="28">
        <v>0.908789386401327</v>
      </c>
      <c r="Z415" s="28">
        <v>0.97969782813975403</v>
      </c>
      <c r="AA415" s="28">
        <v>0.98469671675013903</v>
      </c>
      <c r="AB415" s="28">
        <v>0.96273025846065996</v>
      </c>
      <c r="AC415" s="28">
        <v>0.92</v>
      </c>
      <c r="AD415" s="26">
        <v>0.99429354028760597</v>
      </c>
      <c r="AE415" s="26">
        <v>0.976443918785728</v>
      </c>
      <c r="AF415" s="26">
        <v>0.99896841771147404</v>
      </c>
      <c r="AG415" s="26">
        <v>0.99296989954404302</v>
      </c>
      <c r="AH415" s="28">
        <v>0.92</v>
      </c>
      <c r="AI415" s="26">
        <v>0.89943036731486903</v>
      </c>
      <c r="AJ415" s="26">
        <v>0.98485981308411197</v>
      </c>
      <c r="AK415" s="26">
        <v>0.98612108159846901</v>
      </c>
      <c r="AL415" s="26">
        <v>0.96502831945869905</v>
      </c>
      <c r="AM415" s="25">
        <v>0.99</v>
      </c>
      <c r="AN415" s="30">
        <v>1</v>
      </c>
      <c r="AO415" s="30">
        <v>1</v>
      </c>
      <c r="AP415" s="30">
        <v>1</v>
      </c>
      <c r="AQ415" s="30">
        <v>1</v>
      </c>
      <c r="AR415" s="50">
        <v>0.05</v>
      </c>
      <c r="AS415" s="34">
        <v>1.6949152542372899E-2</v>
      </c>
      <c r="AT415" s="34">
        <v>0</v>
      </c>
      <c r="AU415" s="34">
        <v>8.9686098654708502E-3</v>
      </c>
      <c r="AV415" s="34">
        <v>7.9491255961844191E-3</v>
      </c>
      <c r="AW415" s="10"/>
      <c r="AX415" s="8"/>
    </row>
    <row r="416" spans="1:50">
      <c r="A416" s="7"/>
      <c r="B416" s="10"/>
      <c r="C416" s="45" t="s">
        <v>396</v>
      </c>
      <c r="D416" s="23" t="s">
        <v>19</v>
      </c>
      <c r="E416" s="46" t="s">
        <v>462</v>
      </c>
      <c r="F416" s="46" t="s">
        <v>462</v>
      </c>
      <c r="G416" s="46" t="s">
        <v>462</v>
      </c>
      <c r="H416" s="46" t="s">
        <v>462</v>
      </c>
      <c r="I416" s="25">
        <v>0.9</v>
      </c>
      <c r="J416" s="26">
        <v>0.88235294117647101</v>
      </c>
      <c r="K416" s="26">
        <v>0.94444444444444398</v>
      </c>
      <c r="L416" s="27">
        <v>0.93181818181818199</v>
      </c>
      <c r="M416" s="26">
        <v>0.89492753623188404</v>
      </c>
      <c r="N416" s="28">
        <v>0.9</v>
      </c>
      <c r="O416" s="26">
        <v>0.969387755102041</v>
      </c>
      <c r="P416" s="26">
        <v>0.99357326478149099</v>
      </c>
      <c r="Q416" s="26">
        <v>0.99206698986337605</v>
      </c>
      <c r="R416" s="26">
        <v>0.97203661070245395</v>
      </c>
      <c r="S416" s="28">
        <v>0.9</v>
      </c>
      <c r="T416" s="26">
        <v>0.94467120181405895</v>
      </c>
      <c r="U416" s="26">
        <v>0.92802056555269896</v>
      </c>
      <c r="V416" s="26">
        <v>0.92155134420449503</v>
      </c>
      <c r="W416" s="26">
        <v>0.91998427761244295</v>
      </c>
      <c r="X416" s="28">
        <v>0.92</v>
      </c>
      <c r="Y416" s="28">
        <v>0.94385391114745198</v>
      </c>
      <c r="Z416" s="28">
        <v>0.94343240651965499</v>
      </c>
      <c r="AA416" s="28">
        <v>0.94331983805667996</v>
      </c>
      <c r="AB416" s="28">
        <v>0.928065363958405</v>
      </c>
      <c r="AC416" s="28">
        <v>0.92</v>
      </c>
      <c r="AD416" s="26">
        <v>0.99897924464103405</v>
      </c>
      <c r="AE416" s="26">
        <v>0.99634867700396801</v>
      </c>
      <c r="AF416" s="26">
        <v>0.99184263928793903</v>
      </c>
      <c r="AG416" s="26">
        <v>0.98638100278873697</v>
      </c>
      <c r="AH416" s="28">
        <v>0.92</v>
      </c>
      <c r="AI416" s="26">
        <v>0.96139091696572199</v>
      </c>
      <c r="AJ416" s="26">
        <v>0.96415362731152199</v>
      </c>
      <c r="AK416" s="26">
        <v>0.95936519009417498</v>
      </c>
      <c r="AL416" s="26">
        <v>0.95098566054812295</v>
      </c>
      <c r="AM416" s="25">
        <v>0.99</v>
      </c>
      <c r="AN416" s="30">
        <v>1</v>
      </c>
      <c r="AO416" s="30">
        <v>1</v>
      </c>
      <c r="AP416" s="30">
        <v>1</v>
      </c>
      <c r="AQ416" s="30">
        <v>1</v>
      </c>
      <c r="AR416" s="50">
        <v>0.05</v>
      </c>
      <c r="AS416" s="34">
        <v>8.3333333333333301E-2</v>
      </c>
      <c r="AT416" s="34">
        <v>6.25E-2</v>
      </c>
      <c r="AU416" s="34">
        <v>4.3478260869565202E-2</v>
      </c>
      <c r="AV416" s="34">
        <v>4.8672566371681401E-2</v>
      </c>
      <c r="AW416" s="10"/>
      <c r="AX416" s="8"/>
    </row>
    <row r="417" spans="1:50">
      <c r="A417" s="7"/>
      <c r="B417" s="10"/>
      <c r="C417" s="45" t="s">
        <v>396</v>
      </c>
      <c r="D417" s="23" t="s">
        <v>19</v>
      </c>
      <c r="E417" s="46" t="s">
        <v>463</v>
      </c>
      <c r="F417" s="46" t="s">
        <v>463</v>
      </c>
      <c r="G417" s="46" t="s">
        <v>463</v>
      </c>
      <c r="H417" s="46" t="s">
        <v>463</v>
      </c>
      <c r="I417" s="25">
        <v>0.9</v>
      </c>
      <c r="J417" s="26">
        <v>0.972727272727273</v>
      </c>
      <c r="K417" s="26">
        <v>1</v>
      </c>
      <c r="L417" s="27">
        <v>0.97826086956521696</v>
      </c>
      <c r="M417" s="26">
        <v>0.971476510067114</v>
      </c>
      <c r="N417" s="28">
        <v>0.9</v>
      </c>
      <c r="O417" s="26">
        <v>0.97950819672131195</v>
      </c>
      <c r="P417" s="26">
        <v>0.97800958556526596</v>
      </c>
      <c r="Q417" s="26">
        <v>0.97709320695102697</v>
      </c>
      <c r="R417" s="26">
        <v>0.98137723375008201</v>
      </c>
      <c r="S417" s="28">
        <v>0.9</v>
      </c>
      <c r="T417" s="26">
        <v>0.96201134930643095</v>
      </c>
      <c r="U417" s="26">
        <v>0.95249506625317204</v>
      </c>
      <c r="V417" s="26">
        <v>0.95734597156398105</v>
      </c>
      <c r="W417" s="26">
        <v>0.95748510833278799</v>
      </c>
      <c r="X417" s="28">
        <v>0.92</v>
      </c>
      <c r="Y417" s="28">
        <v>0.96287736530405899</v>
      </c>
      <c r="Z417" s="28">
        <v>0.96735537190082599</v>
      </c>
      <c r="AA417" s="28">
        <v>0.948552223371251</v>
      </c>
      <c r="AB417" s="28">
        <v>0.96163467429038196</v>
      </c>
      <c r="AC417" s="28">
        <v>0.92</v>
      </c>
      <c r="AD417" s="26">
        <v>0.99214988062962794</v>
      </c>
      <c r="AE417" s="26">
        <v>0.98335080222526805</v>
      </c>
      <c r="AF417" s="26">
        <v>0.98860434537599395</v>
      </c>
      <c r="AG417" s="26">
        <v>0.978713063763608</v>
      </c>
      <c r="AH417" s="28">
        <v>0.92</v>
      </c>
      <c r="AI417" s="26">
        <v>0.97439373399608398</v>
      </c>
      <c r="AJ417" s="26">
        <v>0.97799749338532205</v>
      </c>
      <c r="AK417" s="26">
        <v>0.96214811606756201</v>
      </c>
      <c r="AL417" s="26">
        <v>0.97379656160458405</v>
      </c>
      <c r="AM417" s="25">
        <v>0.99</v>
      </c>
      <c r="AN417" s="30">
        <v>1</v>
      </c>
      <c r="AO417" s="30">
        <v>1</v>
      </c>
      <c r="AP417" s="30">
        <v>1</v>
      </c>
      <c r="AQ417" s="30">
        <v>1</v>
      </c>
      <c r="AR417" s="50">
        <v>0.05</v>
      </c>
      <c r="AS417" s="34">
        <v>6.25E-2</v>
      </c>
      <c r="AT417" s="34">
        <v>3.2786885245901599E-2</v>
      </c>
      <c r="AU417" s="34">
        <v>0</v>
      </c>
      <c r="AV417" s="34">
        <v>2.9605263157894701E-2</v>
      </c>
      <c r="AW417" s="10"/>
      <c r="AX417" s="8"/>
    </row>
    <row r="418" spans="1:50">
      <c r="A418" s="7"/>
      <c r="B418" s="10"/>
      <c r="C418" s="45" t="s">
        <v>396</v>
      </c>
      <c r="D418" s="23" t="s">
        <v>19</v>
      </c>
      <c r="E418" s="46" t="s">
        <v>464</v>
      </c>
      <c r="F418" s="46" t="s">
        <v>464</v>
      </c>
      <c r="G418" s="46" t="s">
        <v>464</v>
      </c>
      <c r="H418" s="46" t="s">
        <v>464</v>
      </c>
      <c r="I418" s="25">
        <v>0.9</v>
      </c>
      <c r="J418" s="26">
        <v>1</v>
      </c>
      <c r="K418" s="26">
        <v>1</v>
      </c>
      <c r="L418" s="27">
        <v>1</v>
      </c>
      <c r="M418" s="26">
        <v>0.98663697104677095</v>
      </c>
      <c r="N418" s="28">
        <v>0.9</v>
      </c>
      <c r="O418" s="26">
        <v>0.98817151306062101</v>
      </c>
      <c r="P418" s="26">
        <v>0.99129837416991096</v>
      </c>
      <c r="Q418" s="26">
        <v>0.99095996556177401</v>
      </c>
      <c r="R418" s="26">
        <v>0.99048657219304304</v>
      </c>
      <c r="S418" s="28">
        <v>0.9</v>
      </c>
      <c r="T418" s="26">
        <v>0.96328240512567798</v>
      </c>
      <c r="U418" s="26">
        <v>0.95969773299748096</v>
      </c>
      <c r="V418" s="26">
        <v>0.95781317262161003</v>
      </c>
      <c r="W418" s="26">
        <v>0.96298681993855895</v>
      </c>
      <c r="X418" s="28">
        <v>0.92</v>
      </c>
      <c r="Y418" s="28">
        <v>0.97792438467394105</v>
      </c>
      <c r="Z418" s="28">
        <v>0.97832369942196495</v>
      </c>
      <c r="AA418" s="28">
        <v>0.98308783415166401</v>
      </c>
      <c r="AB418" s="28">
        <v>0.98156322018671105</v>
      </c>
      <c r="AC418" s="28">
        <v>0.92</v>
      </c>
      <c r="AD418" s="26">
        <v>0.98822143698468801</v>
      </c>
      <c r="AE418" s="26">
        <v>0.99107142857142905</v>
      </c>
      <c r="AF418" s="26">
        <v>0.99621928166351603</v>
      </c>
      <c r="AG418" s="26">
        <v>0.99322033898305095</v>
      </c>
      <c r="AH418" s="28">
        <v>0.92</v>
      </c>
      <c r="AI418" s="26">
        <v>0.98488066974884403</v>
      </c>
      <c r="AJ418" s="26">
        <v>0.98523985239852396</v>
      </c>
      <c r="AK418" s="26">
        <v>0.98696652185024303</v>
      </c>
      <c r="AL418" s="26">
        <v>0.98694864575830998</v>
      </c>
      <c r="AM418" s="25">
        <v>0.99</v>
      </c>
      <c r="AN418" s="30">
        <v>1</v>
      </c>
      <c r="AO418" s="30">
        <v>1</v>
      </c>
      <c r="AP418" s="30">
        <v>1</v>
      </c>
      <c r="AQ418" s="30">
        <v>1</v>
      </c>
      <c r="AR418" s="50">
        <v>0.05</v>
      </c>
      <c r="AS418" s="34">
        <v>2.5641025641025599E-2</v>
      </c>
      <c r="AT418" s="34">
        <v>0</v>
      </c>
      <c r="AU418" s="34">
        <v>4.5454545454545497E-2</v>
      </c>
      <c r="AV418" s="34">
        <v>3.6458333333333301E-2</v>
      </c>
      <c r="AW418" s="10"/>
      <c r="AX418" s="8"/>
    </row>
    <row r="419" spans="1:50">
      <c r="A419" s="7"/>
      <c r="B419" s="10"/>
      <c r="C419" s="45" t="s">
        <v>396</v>
      </c>
      <c r="D419" s="23" t="s">
        <v>19</v>
      </c>
      <c r="E419" s="46" t="s">
        <v>465</v>
      </c>
      <c r="F419" s="46" t="s">
        <v>465</v>
      </c>
      <c r="G419" s="46" t="s">
        <v>465</v>
      </c>
      <c r="H419" s="46" t="s">
        <v>465</v>
      </c>
      <c r="I419" s="25">
        <v>0.9</v>
      </c>
      <c r="J419" s="26">
        <v>0.97014925373134298</v>
      </c>
      <c r="K419" s="26">
        <v>1</v>
      </c>
      <c r="L419" s="27">
        <v>0.984375</v>
      </c>
      <c r="M419" s="26">
        <v>0.98108108108108105</v>
      </c>
      <c r="N419" s="28">
        <v>0.9</v>
      </c>
      <c r="O419" s="26">
        <v>0.965882709195518</v>
      </c>
      <c r="P419" s="26">
        <v>0.966938029573019</v>
      </c>
      <c r="Q419" s="26">
        <v>0.95355587808417996</v>
      </c>
      <c r="R419" s="26">
        <v>0.96496091195066502</v>
      </c>
      <c r="S419" s="28">
        <v>0.9</v>
      </c>
      <c r="T419" s="26">
        <v>0.96679115776723501</v>
      </c>
      <c r="U419" s="26">
        <v>0.93586974580495097</v>
      </c>
      <c r="V419" s="26">
        <v>0.94363812288340598</v>
      </c>
      <c r="W419" s="26">
        <v>0.94157037406173105</v>
      </c>
      <c r="X419" s="28">
        <v>0.92</v>
      </c>
      <c r="Y419" s="28">
        <v>0.963882618510158</v>
      </c>
      <c r="Z419" s="28">
        <v>0.94138882990019102</v>
      </c>
      <c r="AA419" s="28">
        <v>0.94071914480077701</v>
      </c>
      <c r="AB419" s="28">
        <v>0.93936185232246205</v>
      </c>
      <c r="AC419" s="28">
        <v>0.92</v>
      </c>
      <c r="AD419" s="26">
        <v>0.99549345091427799</v>
      </c>
      <c r="AE419" s="26">
        <v>0.93074480234031598</v>
      </c>
      <c r="AF419" s="26">
        <v>0.97636483531739104</v>
      </c>
      <c r="AG419" s="26">
        <v>0.94791795552456004</v>
      </c>
      <c r="AH419" s="28">
        <v>0.92</v>
      </c>
      <c r="AI419" s="26">
        <v>0.97688035735844503</v>
      </c>
      <c r="AJ419" s="26">
        <v>0.96376001490590602</v>
      </c>
      <c r="AK419" s="26">
        <v>0.95851740114211803</v>
      </c>
      <c r="AL419" s="26">
        <v>0.960725625082683</v>
      </c>
      <c r="AM419" s="25">
        <v>0.99</v>
      </c>
      <c r="AN419" s="30">
        <v>1</v>
      </c>
      <c r="AO419" s="30">
        <v>1</v>
      </c>
      <c r="AP419" s="30">
        <v>1</v>
      </c>
      <c r="AQ419" s="30">
        <v>1</v>
      </c>
      <c r="AR419" s="50">
        <v>0.05</v>
      </c>
      <c r="AS419" s="34">
        <v>9.3457943925233603E-3</v>
      </c>
      <c r="AT419" s="34">
        <v>0</v>
      </c>
      <c r="AU419" s="34">
        <v>1.20481927710843E-2</v>
      </c>
      <c r="AV419" s="34">
        <v>1.04712041884817E-2</v>
      </c>
      <c r="AW419" s="10"/>
      <c r="AX419" s="8"/>
    </row>
    <row r="420" spans="1:50">
      <c r="A420" s="7"/>
      <c r="B420" s="10"/>
      <c r="C420" s="45" t="s">
        <v>396</v>
      </c>
      <c r="D420" s="23" t="s">
        <v>19</v>
      </c>
      <c r="E420" s="46" t="s">
        <v>466</v>
      </c>
      <c r="F420" s="46" t="s">
        <v>466</v>
      </c>
      <c r="G420" s="46" t="s">
        <v>466</v>
      </c>
      <c r="H420" s="46" t="s">
        <v>466</v>
      </c>
      <c r="I420" s="25">
        <v>0.9</v>
      </c>
      <c r="J420" s="26">
        <v>0.94339622641509402</v>
      </c>
      <c r="K420" s="26">
        <v>0.94339622641509402</v>
      </c>
      <c r="L420" s="27">
        <v>0.93333333333333302</v>
      </c>
      <c r="M420" s="26">
        <v>0.93283582089552197</v>
      </c>
      <c r="N420" s="28">
        <v>0.9</v>
      </c>
      <c r="O420" s="26">
        <v>0.96259994841372198</v>
      </c>
      <c r="P420" s="26">
        <v>0.87752025626531005</v>
      </c>
      <c r="Q420" s="26">
        <v>0.87191539365452397</v>
      </c>
      <c r="R420" s="26">
        <v>0.90427301677836402</v>
      </c>
      <c r="S420" s="28">
        <v>0.9</v>
      </c>
      <c r="T420" s="26">
        <v>0.89502192416817095</v>
      </c>
      <c r="U420" s="26">
        <v>0.83851516864518605</v>
      </c>
      <c r="V420" s="26">
        <v>0.89541715628672103</v>
      </c>
      <c r="W420" s="26">
        <v>0.86235087218974305</v>
      </c>
      <c r="X420" s="28">
        <v>0.92</v>
      </c>
      <c r="Y420" s="28">
        <v>0.91088026243849096</v>
      </c>
      <c r="Z420" s="28">
        <v>0.90921945701357498</v>
      </c>
      <c r="AA420" s="28">
        <v>0.91259754738015597</v>
      </c>
      <c r="AB420" s="28">
        <v>0.91188874384978402</v>
      </c>
      <c r="AC420" s="28">
        <v>0.92</v>
      </c>
      <c r="AD420" s="26">
        <v>0.99741754822650897</v>
      </c>
      <c r="AE420" s="26">
        <v>0.99608023356401398</v>
      </c>
      <c r="AF420" s="26">
        <v>0.996558526041885</v>
      </c>
      <c r="AG420" s="26">
        <v>0.98930027536448395</v>
      </c>
      <c r="AH420" s="28">
        <v>0.92</v>
      </c>
      <c r="AI420" s="26">
        <v>0.93235177079188203</v>
      </c>
      <c r="AJ420" s="26">
        <v>0.93978081572703698</v>
      </c>
      <c r="AK420" s="26">
        <v>0.93145500420521399</v>
      </c>
      <c r="AL420" s="26">
        <v>0.93472915398661005</v>
      </c>
      <c r="AM420" s="25">
        <v>0.99</v>
      </c>
      <c r="AN420" s="30">
        <v>1</v>
      </c>
      <c r="AO420" s="30">
        <v>1</v>
      </c>
      <c r="AP420" s="30">
        <v>1</v>
      </c>
      <c r="AQ420" s="30">
        <v>1</v>
      </c>
      <c r="AR420" s="50">
        <v>0.05</v>
      </c>
      <c r="AS420" s="34">
        <v>0.02</v>
      </c>
      <c r="AT420" s="34">
        <v>4.6875E-2</v>
      </c>
      <c r="AU420" s="34">
        <v>1.8181818181818198E-2</v>
      </c>
      <c r="AV420" s="34">
        <v>2.4930747922437699E-2</v>
      </c>
      <c r="AW420" s="10"/>
      <c r="AX420" s="8"/>
    </row>
    <row r="421" spans="1:50">
      <c r="A421" s="7"/>
      <c r="B421" s="10"/>
      <c r="C421" s="45" t="s">
        <v>396</v>
      </c>
      <c r="D421" s="23" t="s">
        <v>19</v>
      </c>
      <c r="E421" s="46" t="s">
        <v>467</v>
      </c>
      <c r="F421" s="46" t="s">
        <v>467</v>
      </c>
      <c r="G421" s="46" t="s">
        <v>467</v>
      </c>
      <c r="H421" s="46" t="s">
        <v>467</v>
      </c>
      <c r="I421" s="25">
        <v>0.9</v>
      </c>
      <c r="J421" s="26">
        <v>1</v>
      </c>
      <c r="K421" s="26">
        <v>1</v>
      </c>
      <c r="L421" s="27">
        <v>0.97619047619047605</v>
      </c>
      <c r="M421" s="26">
        <v>0.98084291187739503</v>
      </c>
      <c r="N421" s="28">
        <v>0.9</v>
      </c>
      <c r="O421" s="26">
        <v>0.98780007870916997</v>
      </c>
      <c r="P421" s="26">
        <v>0.99077868852458995</v>
      </c>
      <c r="Q421" s="26">
        <v>0.99057788944723602</v>
      </c>
      <c r="R421" s="26">
        <v>0.98919252740466301</v>
      </c>
      <c r="S421" s="28">
        <v>0.9</v>
      </c>
      <c r="T421" s="26">
        <v>0.96261314443132595</v>
      </c>
      <c r="U421" s="26">
        <v>0.97233606557377095</v>
      </c>
      <c r="V421" s="26">
        <v>0.97173366834170805</v>
      </c>
      <c r="W421" s="26">
        <v>0.96780917091245899</v>
      </c>
      <c r="X421" s="28">
        <v>0.92</v>
      </c>
      <c r="Y421" s="28">
        <v>0.97400611620795097</v>
      </c>
      <c r="Z421" s="28">
        <v>0.97333795013850399</v>
      </c>
      <c r="AA421" s="28">
        <v>0.98351299936588499</v>
      </c>
      <c r="AB421" s="28">
        <v>0.97625428482393295</v>
      </c>
      <c r="AC421" s="28">
        <v>0.92</v>
      </c>
      <c r="AD421" s="26">
        <v>0.99781540141998903</v>
      </c>
      <c r="AE421" s="26">
        <v>0.99380530973451298</v>
      </c>
      <c r="AF421" s="26">
        <v>0.995819874596238</v>
      </c>
      <c r="AG421" s="26">
        <v>0.99583391195667303</v>
      </c>
      <c r="AH421" s="28">
        <v>0.92</v>
      </c>
      <c r="AI421" s="26">
        <v>0.97831138652207605</v>
      </c>
      <c r="AJ421" s="26">
        <v>0.9833390587427</v>
      </c>
      <c r="AK421" s="26">
        <v>0.98694736842105302</v>
      </c>
      <c r="AL421" s="26">
        <v>0.98218961003169403</v>
      </c>
      <c r="AM421" s="25">
        <v>0.99</v>
      </c>
      <c r="AN421" s="30">
        <v>1</v>
      </c>
      <c r="AO421" s="30">
        <v>1</v>
      </c>
      <c r="AP421" s="30">
        <v>1</v>
      </c>
      <c r="AQ421" s="30">
        <v>1</v>
      </c>
      <c r="AR421" s="50">
        <v>0.05</v>
      </c>
      <c r="AS421" s="34">
        <v>0</v>
      </c>
      <c r="AT421" s="34">
        <v>0.05</v>
      </c>
      <c r="AU421" s="34">
        <v>9.0909090909090898E-2</v>
      </c>
      <c r="AV421" s="34">
        <v>2.2471910112359501E-2</v>
      </c>
      <c r="AW421" s="10"/>
      <c r="AX421" s="8"/>
    </row>
    <row r="422" spans="1:50">
      <c r="A422" s="7"/>
      <c r="B422" s="10"/>
      <c r="C422" s="45" t="s">
        <v>396</v>
      </c>
      <c r="D422" s="23" t="s">
        <v>19</v>
      </c>
      <c r="E422" s="46" t="s">
        <v>468</v>
      </c>
      <c r="F422" s="46" t="s">
        <v>468</v>
      </c>
      <c r="G422" s="46" t="s">
        <v>468</v>
      </c>
      <c r="H422" s="46" t="s">
        <v>468</v>
      </c>
      <c r="I422" s="25">
        <v>0.9</v>
      </c>
      <c r="J422" s="26">
        <v>1</v>
      </c>
      <c r="K422" s="26">
        <v>1</v>
      </c>
      <c r="L422" s="27">
        <v>0.97297297297297303</v>
      </c>
      <c r="M422" s="26">
        <v>0.99567099567099604</v>
      </c>
      <c r="N422" s="28">
        <v>0.9</v>
      </c>
      <c r="O422" s="26">
        <v>0.992003367003367</v>
      </c>
      <c r="P422" s="26">
        <v>0.98715415019762798</v>
      </c>
      <c r="Q422" s="26">
        <v>0.994058229352347</v>
      </c>
      <c r="R422" s="26">
        <v>0.99117962877742005</v>
      </c>
      <c r="S422" s="28">
        <v>0.9</v>
      </c>
      <c r="T422" s="26">
        <v>0.97095959595959602</v>
      </c>
      <c r="U422" s="26">
        <v>0.96870882740448006</v>
      </c>
      <c r="V422" s="26">
        <v>0.97920380273321495</v>
      </c>
      <c r="W422" s="26">
        <v>0.97123791992636899</v>
      </c>
      <c r="X422" s="28">
        <v>0.92</v>
      </c>
      <c r="Y422" s="28">
        <v>0.97842835130970696</v>
      </c>
      <c r="Z422" s="28">
        <v>0.97939262472885003</v>
      </c>
      <c r="AA422" s="28">
        <v>0.97718865598027105</v>
      </c>
      <c r="AB422" s="28">
        <v>0.97721378288254901</v>
      </c>
      <c r="AC422" s="28">
        <v>0.92</v>
      </c>
      <c r="AD422" s="26">
        <v>0.99960916126006405</v>
      </c>
      <c r="AE422" s="26">
        <v>0.98544622425629302</v>
      </c>
      <c r="AF422" s="26">
        <v>0.98747950514234595</v>
      </c>
      <c r="AG422" s="26">
        <v>0.98735688146880096</v>
      </c>
      <c r="AH422" s="28">
        <v>0.92</v>
      </c>
      <c r="AI422" s="26">
        <v>0.98135653409090895</v>
      </c>
      <c r="AJ422" s="26">
        <v>0.98605131737558105</v>
      </c>
      <c r="AK422" s="26">
        <v>0.98337725521994701</v>
      </c>
      <c r="AL422" s="26">
        <v>0.98380539136970901</v>
      </c>
      <c r="AM422" s="25">
        <v>0.99</v>
      </c>
      <c r="AN422" s="30">
        <v>1</v>
      </c>
      <c r="AO422" s="30">
        <v>1</v>
      </c>
      <c r="AP422" s="30">
        <v>1</v>
      </c>
      <c r="AQ422" s="30">
        <v>1</v>
      </c>
      <c r="AR422" s="50">
        <v>0.05</v>
      </c>
      <c r="AS422" s="34">
        <v>0</v>
      </c>
      <c r="AT422" s="34">
        <v>0</v>
      </c>
      <c r="AU422" s="34">
        <v>0</v>
      </c>
      <c r="AV422" s="34">
        <v>1.38888888888889E-2</v>
      </c>
      <c r="AW422" s="10"/>
      <c r="AX422" s="8"/>
    </row>
    <row r="423" spans="1:50">
      <c r="A423" s="7"/>
      <c r="B423" s="10"/>
      <c r="C423" s="45" t="s">
        <v>396</v>
      </c>
      <c r="D423" s="23" t="s">
        <v>19</v>
      </c>
      <c r="E423" s="46" t="s">
        <v>469</v>
      </c>
      <c r="F423" s="46" t="s">
        <v>469</v>
      </c>
      <c r="G423" s="46" t="s">
        <v>469</v>
      </c>
      <c r="H423" s="46" t="s">
        <v>469</v>
      </c>
      <c r="I423" s="25">
        <v>0.9</v>
      </c>
      <c r="J423" s="26">
        <v>1</v>
      </c>
      <c r="K423" s="26">
        <v>1</v>
      </c>
      <c r="L423" s="27">
        <v>0.93333333333333302</v>
      </c>
      <c r="M423" s="26">
        <v>0.93442622950819698</v>
      </c>
      <c r="N423" s="28">
        <v>0.9</v>
      </c>
      <c r="O423" s="26">
        <v>0.967751567632129</v>
      </c>
      <c r="P423" s="26">
        <v>0.96586417535034097</v>
      </c>
      <c r="Q423" s="26">
        <v>0.96095444685466402</v>
      </c>
      <c r="R423" s="26">
        <v>0.95303197353914004</v>
      </c>
      <c r="S423" s="28">
        <v>0.9</v>
      </c>
      <c r="T423" s="26">
        <v>0.95431472081218305</v>
      </c>
      <c r="U423" s="26">
        <v>0.92130794107078695</v>
      </c>
      <c r="V423" s="26">
        <v>0.917028199566161</v>
      </c>
      <c r="W423" s="26">
        <v>0.919073869900772</v>
      </c>
      <c r="X423" s="28">
        <v>0.92</v>
      </c>
      <c r="Y423" s="28">
        <v>0.95894850558156297</v>
      </c>
      <c r="Z423" s="28">
        <v>0.93777976723366196</v>
      </c>
      <c r="AA423" s="28">
        <v>0.92287917737789205</v>
      </c>
      <c r="AB423" s="28">
        <v>0.92671211651688901</v>
      </c>
      <c r="AC423" s="28">
        <v>0.92</v>
      </c>
      <c r="AD423" s="26">
        <v>0.99916621707783604</v>
      </c>
      <c r="AE423" s="26">
        <v>0.99538995093892702</v>
      </c>
      <c r="AF423" s="26">
        <v>0.99793085035375795</v>
      </c>
      <c r="AG423" s="26">
        <v>0.99646531363836499</v>
      </c>
      <c r="AH423" s="28">
        <v>0.92</v>
      </c>
      <c r="AI423" s="26">
        <v>0.97228562112813799</v>
      </c>
      <c r="AJ423" s="26">
        <v>0.95997610513739595</v>
      </c>
      <c r="AK423" s="26">
        <v>0.945984703632887</v>
      </c>
      <c r="AL423" s="26">
        <v>0.948633879781421</v>
      </c>
      <c r="AM423" s="25">
        <v>0.99</v>
      </c>
      <c r="AN423" s="30">
        <v>1</v>
      </c>
      <c r="AO423" s="30">
        <v>1</v>
      </c>
      <c r="AP423" s="30">
        <v>1</v>
      </c>
      <c r="AQ423" s="30">
        <v>1</v>
      </c>
      <c r="AR423" s="50">
        <v>0.05</v>
      </c>
      <c r="AS423" s="34">
        <v>0</v>
      </c>
      <c r="AT423" s="34">
        <v>0</v>
      </c>
      <c r="AU423" s="34">
        <v>0</v>
      </c>
      <c r="AV423" s="34">
        <v>1.9607843137254902E-3</v>
      </c>
      <c r="AW423" s="10"/>
      <c r="AX423" s="8"/>
    </row>
    <row r="424" spans="1:50">
      <c r="A424" s="7"/>
      <c r="B424" s="10"/>
      <c r="C424" s="45" t="s">
        <v>396</v>
      </c>
      <c r="D424" s="23" t="s">
        <v>19</v>
      </c>
      <c r="E424" s="46" t="s">
        <v>470</v>
      </c>
      <c r="F424" s="46" t="s">
        <v>470</v>
      </c>
      <c r="G424" s="46" t="s">
        <v>470</v>
      </c>
      <c r="H424" s="46" t="s">
        <v>470</v>
      </c>
      <c r="I424" s="25">
        <v>0.9</v>
      </c>
      <c r="J424" s="26">
        <v>0.81632653061224503</v>
      </c>
      <c r="K424" s="26">
        <v>0.86363636363636398</v>
      </c>
      <c r="L424" s="27">
        <v>0.891891891891892</v>
      </c>
      <c r="M424" s="26">
        <v>0.86419753086419704</v>
      </c>
      <c r="N424" s="28">
        <v>0.9</v>
      </c>
      <c r="O424" s="26">
        <v>0.964829687067294</v>
      </c>
      <c r="P424" s="26">
        <v>0.95379108363163001</v>
      </c>
      <c r="Q424" s="26">
        <v>0.96301925025329305</v>
      </c>
      <c r="R424" s="26">
        <v>0.95454852891443998</v>
      </c>
      <c r="S424" s="28">
        <v>0.9</v>
      </c>
      <c r="T424" s="26">
        <v>0.92356687898089196</v>
      </c>
      <c r="U424" s="26">
        <v>0.90270094370322196</v>
      </c>
      <c r="V424" s="26">
        <v>0.92147922998986798</v>
      </c>
      <c r="W424" s="26">
        <v>0.90645924923909404</v>
      </c>
      <c r="X424" s="28">
        <v>0.92</v>
      </c>
      <c r="Y424" s="28">
        <v>0.95087219651121402</v>
      </c>
      <c r="Z424" s="28">
        <v>0.90029573299535304</v>
      </c>
      <c r="AA424" s="28">
        <v>0.90825009248982602</v>
      </c>
      <c r="AB424" s="28">
        <v>0.925452609158679</v>
      </c>
      <c r="AC424" s="28">
        <v>0.92</v>
      </c>
      <c r="AD424" s="26">
        <v>0.99920047971217296</v>
      </c>
      <c r="AE424" s="26">
        <v>0.99787204832509602</v>
      </c>
      <c r="AF424" s="26">
        <v>0.99890020958270198</v>
      </c>
      <c r="AG424" s="26">
        <v>0.99871256458259505</v>
      </c>
      <c r="AH424" s="28">
        <v>0.92</v>
      </c>
      <c r="AI424" s="26">
        <v>0.96144278606965194</v>
      </c>
      <c r="AJ424" s="26">
        <v>0.93993387215282898</v>
      </c>
      <c r="AK424" s="26">
        <v>0.93504273504273505</v>
      </c>
      <c r="AL424" s="26">
        <v>0.94778185341546095</v>
      </c>
      <c r="AM424" s="25">
        <v>0.99</v>
      </c>
      <c r="AN424" s="30">
        <v>1</v>
      </c>
      <c r="AO424" s="30">
        <v>1</v>
      </c>
      <c r="AP424" s="30">
        <v>1</v>
      </c>
      <c r="AQ424" s="30">
        <v>1</v>
      </c>
      <c r="AR424" s="50">
        <v>0.05</v>
      </c>
      <c r="AS424" s="34">
        <v>0</v>
      </c>
      <c r="AT424" s="34">
        <v>0.11111111111111099</v>
      </c>
      <c r="AU424" s="34">
        <v>6.6666666666666693E-2</v>
      </c>
      <c r="AV424" s="34">
        <v>7.1999999999999995E-2</v>
      </c>
      <c r="AW424" s="10"/>
      <c r="AX424" s="8"/>
    </row>
    <row r="425" spans="1:50">
      <c r="A425" s="7"/>
      <c r="B425" s="10"/>
      <c r="C425" s="45" t="s">
        <v>396</v>
      </c>
      <c r="D425" s="23" t="s">
        <v>19</v>
      </c>
      <c r="E425" s="46" t="s">
        <v>471</v>
      </c>
      <c r="F425" s="46" t="s">
        <v>471</v>
      </c>
      <c r="G425" s="46" t="s">
        <v>471</v>
      </c>
      <c r="H425" s="46" t="s">
        <v>471</v>
      </c>
      <c r="I425" s="25">
        <v>0.9</v>
      </c>
      <c r="J425" s="26">
        <v>0.97368421052631604</v>
      </c>
      <c r="K425" s="26">
        <v>0.97560975609756095</v>
      </c>
      <c r="L425" s="27">
        <v>0.97297297297297303</v>
      </c>
      <c r="M425" s="26">
        <v>0.963133640552995</v>
      </c>
      <c r="N425" s="28">
        <v>0.9</v>
      </c>
      <c r="O425" s="26">
        <v>0.98930678466076705</v>
      </c>
      <c r="P425" s="26">
        <v>0.99009900990098998</v>
      </c>
      <c r="Q425" s="26">
        <v>0.98120544394037601</v>
      </c>
      <c r="R425" s="26">
        <v>0.99113651424784599</v>
      </c>
      <c r="S425" s="28">
        <v>0.9</v>
      </c>
      <c r="T425" s="26">
        <v>0.95538348082595903</v>
      </c>
      <c r="U425" s="26">
        <v>0.95526219288595504</v>
      </c>
      <c r="V425" s="26">
        <v>0.95981853532080397</v>
      </c>
      <c r="W425" s="26">
        <v>0.95054671968190896</v>
      </c>
      <c r="X425" s="28">
        <v>0.92</v>
      </c>
      <c r="Y425" s="28">
        <v>0.94761459307764295</v>
      </c>
      <c r="Z425" s="28">
        <v>0.94674859190988203</v>
      </c>
      <c r="AA425" s="28">
        <v>0.92851099830795303</v>
      </c>
      <c r="AB425" s="28">
        <v>0.92906936214709002</v>
      </c>
      <c r="AC425" s="28">
        <v>0.92</v>
      </c>
      <c r="AD425" s="26">
        <v>0.99897901304594405</v>
      </c>
      <c r="AE425" s="26">
        <v>0.98986945169712803</v>
      </c>
      <c r="AF425" s="26">
        <v>0.98955934285275604</v>
      </c>
      <c r="AG425" s="26">
        <v>0.99096351939310501</v>
      </c>
      <c r="AH425" s="28">
        <v>0.92</v>
      </c>
      <c r="AI425" s="26">
        <v>0.96725025746652904</v>
      </c>
      <c r="AJ425" s="26">
        <v>0.96604740550928903</v>
      </c>
      <c r="AK425" s="26">
        <v>0.95111338622984398</v>
      </c>
      <c r="AL425" s="26">
        <v>0.954925512499469</v>
      </c>
      <c r="AM425" s="25">
        <v>0.99</v>
      </c>
      <c r="AN425" s="30">
        <v>1</v>
      </c>
      <c r="AO425" s="30">
        <v>1</v>
      </c>
      <c r="AP425" s="30">
        <v>1</v>
      </c>
      <c r="AQ425" s="30">
        <v>1</v>
      </c>
      <c r="AR425" s="50">
        <v>0.05</v>
      </c>
      <c r="AS425" s="34">
        <v>2.04081632653061E-2</v>
      </c>
      <c r="AT425" s="34">
        <v>0.10344827586206901</v>
      </c>
      <c r="AU425" s="34">
        <v>2.27272727272727E-2</v>
      </c>
      <c r="AV425" s="34">
        <v>5.21739130434783E-2</v>
      </c>
      <c r="AW425" s="10"/>
      <c r="AX425" s="8"/>
    </row>
    <row r="426" spans="1:50">
      <c r="A426" s="7"/>
      <c r="B426" s="10"/>
      <c r="C426" s="45" t="s">
        <v>396</v>
      </c>
      <c r="D426" s="23" t="s">
        <v>19</v>
      </c>
      <c r="E426" s="46" t="s">
        <v>472</v>
      </c>
      <c r="F426" s="46" t="s">
        <v>472</v>
      </c>
      <c r="G426" s="46" t="s">
        <v>472</v>
      </c>
      <c r="H426" s="46" t="s">
        <v>472</v>
      </c>
      <c r="I426" s="25">
        <v>0.9</v>
      </c>
      <c r="J426" s="26">
        <v>0.95121951219512202</v>
      </c>
      <c r="K426" s="26">
        <v>0.90909090909090895</v>
      </c>
      <c r="L426" s="27">
        <v>0.92307692307692302</v>
      </c>
      <c r="M426" s="26">
        <v>0.92735042735042705</v>
      </c>
      <c r="N426" s="28">
        <v>0.9</v>
      </c>
      <c r="O426" s="26">
        <v>0.97731755424063105</v>
      </c>
      <c r="P426" s="26">
        <v>0.99427609427609398</v>
      </c>
      <c r="Q426" s="26">
        <v>0.98096192384769498</v>
      </c>
      <c r="R426" s="26">
        <v>0.98688071810806099</v>
      </c>
      <c r="S426" s="28">
        <v>0.9</v>
      </c>
      <c r="T426" s="26">
        <v>0.90285996055226803</v>
      </c>
      <c r="U426" s="26">
        <v>0.93771043771043805</v>
      </c>
      <c r="V426" s="26">
        <v>0.93987975951903802</v>
      </c>
      <c r="W426" s="26">
        <v>0.92715346107370999</v>
      </c>
      <c r="X426" s="28">
        <v>0.92</v>
      </c>
      <c r="Y426" s="28">
        <v>0.94187160651548996</v>
      </c>
      <c r="Z426" s="28">
        <v>0.973730297723292</v>
      </c>
      <c r="AA426" s="28">
        <v>0.94903703703703701</v>
      </c>
      <c r="AB426" s="28">
        <v>0.95169631187134196</v>
      </c>
      <c r="AC426" s="28">
        <v>0.92</v>
      </c>
      <c r="AD426" s="26">
        <v>0.95604395604395598</v>
      </c>
      <c r="AE426" s="26">
        <v>0.97368421052631604</v>
      </c>
      <c r="AF426" s="26">
        <v>0.967741935483871</v>
      </c>
      <c r="AG426" s="26">
        <v>0.95406360424028303</v>
      </c>
      <c r="AH426" s="28">
        <v>0.92</v>
      </c>
      <c r="AI426" s="26">
        <v>0.94902112812560602</v>
      </c>
      <c r="AJ426" s="26">
        <v>0.97826766729205705</v>
      </c>
      <c r="AK426" s="26">
        <v>0.95770461819844499</v>
      </c>
      <c r="AL426" s="26">
        <v>0.96251884336028504</v>
      </c>
      <c r="AM426" s="25">
        <v>0.99</v>
      </c>
      <c r="AN426" s="30">
        <v>1</v>
      </c>
      <c r="AO426" s="30">
        <v>1</v>
      </c>
      <c r="AP426" s="30">
        <v>1</v>
      </c>
      <c r="AQ426" s="30">
        <v>1</v>
      </c>
      <c r="AR426" s="50">
        <v>0.05</v>
      </c>
      <c r="AS426" s="34">
        <v>0</v>
      </c>
      <c r="AT426" s="34">
        <v>0</v>
      </c>
      <c r="AU426" s="34">
        <v>0.11764705882352899</v>
      </c>
      <c r="AV426" s="34">
        <v>2.4390243902439001E-2</v>
      </c>
      <c r="AW426" s="10"/>
      <c r="AX426" s="8"/>
    </row>
    <row r="427" spans="1:50">
      <c r="A427" s="7"/>
      <c r="B427" s="10"/>
      <c r="C427" s="45" t="s">
        <v>396</v>
      </c>
      <c r="D427" s="23" t="s">
        <v>19</v>
      </c>
      <c r="E427" s="46" t="s">
        <v>473</v>
      </c>
      <c r="F427" s="46" t="s">
        <v>473</v>
      </c>
      <c r="G427" s="46" t="s">
        <v>473</v>
      </c>
      <c r="H427" s="46" t="s">
        <v>473</v>
      </c>
      <c r="I427" s="25">
        <v>0.9</v>
      </c>
      <c r="J427" s="26">
        <v>0.98780487804878003</v>
      </c>
      <c r="K427" s="26">
        <v>1</v>
      </c>
      <c r="L427" s="27">
        <v>1</v>
      </c>
      <c r="M427" s="26">
        <v>0.98426966292134799</v>
      </c>
      <c r="N427" s="28">
        <v>0.9</v>
      </c>
      <c r="O427" s="26">
        <v>0.98284833301214103</v>
      </c>
      <c r="P427" s="26">
        <v>0.98845579247589299</v>
      </c>
      <c r="Q427" s="26">
        <v>0.98833955223880599</v>
      </c>
      <c r="R427" s="26">
        <v>0.98517807634890198</v>
      </c>
      <c r="S427" s="28">
        <v>0.9</v>
      </c>
      <c r="T427" s="26">
        <v>0.91559067257660398</v>
      </c>
      <c r="U427" s="26">
        <v>0.893385848159718</v>
      </c>
      <c r="V427" s="26">
        <v>0.91044776119403004</v>
      </c>
      <c r="W427" s="26">
        <v>0.90054738039382998</v>
      </c>
      <c r="X427" s="28">
        <v>0.92</v>
      </c>
      <c r="Y427" s="28">
        <v>0.94235071416279503</v>
      </c>
      <c r="Z427" s="28">
        <v>0.93727287091167599</v>
      </c>
      <c r="AA427" s="28">
        <v>0.92375709042375698</v>
      </c>
      <c r="AB427" s="28">
        <v>0.92700707937942495</v>
      </c>
      <c r="AC427" s="28">
        <v>0.92</v>
      </c>
      <c r="AD427" s="26">
        <v>0.99297423887587799</v>
      </c>
      <c r="AE427" s="26">
        <v>0.96721311475409799</v>
      </c>
      <c r="AF427" s="26">
        <v>0.97488584474885798</v>
      </c>
      <c r="AG427" s="26">
        <v>0.98389904264577899</v>
      </c>
      <c r="AH427" s="28">
        <v>0.92</v>
      </c>
      <c r="AI427" s="26">
        <v>0.95709870932557695</v>
      </c>
      <c r="AJ427" s="26">
        <v>0.96386069942323105</v>
      </c>
      <c r="AK427" s="26">
        <v>0.93796068796068799</v>
      </c>
      <c r="AL427" s="26">
        <v>0.94974653213581295</v>
      </c>
      <c r="AM427" s="25">
        <v>0.99</v>
      </c>
      <c r="AN427" s="30">
        <v>1</v>
      </c>
      <c r="AO427" s="30">
        <v>1</v>
      </c>
      <c r="AP427" s="30">
        <v>1</v>
      </c>
      <c r="AQ427" s="30">
        <v>1</v>
      </c>
      <c r="AR427" s="50">
        <v>0.05</v>
      </c>
      <c r="AS427" s="34">
        <v>5.2631578947368397E-2</v>
      </c>
      <c r="AT427" s="34">
        <v>6.0606060606060601E-2</v>
      </c>
      <c r="AU427" s="34">
        <v>0</v>
      </c>
      <c r="AV427" s="34">
        <v>3.1746031746031703E-2</v>
      </c>
      <c r="AW427" s="10"/>
      <c r="AX427" s="8"/>
    </row>
    <row r="428" spans="1:50">
      <c r="A428" s="7"/>
      <c r="B428" s="10"/>
      <c r="C428" s="45" t="s">
        <v>396</v>
      </c>
      <c r="D428" s="23" t="s">
        <v>19</v>
      </c>
      <c r="E428" s="46" t="s">
        <v>474</v>
      </c>
      <c r="F428" s="46" t="s">
        <v>474</v>
      </c>
      <c r="G428" s="46" t="s">
        <v>474</v>
      </c>
      <c r="H428" s="46" t="s">
        <v>474</v>
      </c>
      <c r="I428" s="25">
        <v>0.9</v>
      </c>
      <c r="J428" s="26">
        <v>0.79591836734693899</v>
      </c>
      <c r="K428" s="26">
        <v>0.89795918367346905</v>
      </c>
      <c r="L428" s="27">
        <v>0.86046511627906996</v>
      </c>
      <c r="M428" s="26">
        <v>0.84249084249084205</v>
      </c>
      <c r="N428" s="28">
        <v>0.9</v>
      </c>
      <c r="O428" s="26">
        <v>0.97850842020850004</v>
      </c>
      <c r="P428" s="26">
        <v>0.97961599158337698</v>
      </c>
      <c r="Q428" s="26">
        <v>0.98422496570644702</v>
      </c>
      <c r="R428" s="26">
        <v>0.97520348837209303</v>
      </c>
      <c r="S428" s="28">
        <v>0.9</v>
      </c>
      <c r="T428" s="26">
        <v>0.77850842020849997</v>
      </c>
      <c r="U428" s="26">
        <v>0.68911099421357203</v>
      </c>
      <c r="V428" s="26">
        <v>0.83093278463648801</v>
      </c>
      <c r="W428" s="26">
        <v>0.77290697674418596</v>
      </c>
      <c r="X428" s="28">
        <v>0.92</v>
      </c>
      <c r="Y428" s="28">
        <v>0</v>
      </c>
      <c r="Z428" s="28">
        <v>0</v>
      </c>
      <c r="AA428" s="28">
        <v>0</v>
      </c>
      <c r="AB428" s="28">
        <v>0.25</v>
      </c>
      <c r="AC428" s="28">
        <v>0.92</v>
      </c>
      <c r="AD428" s="26">
        <v>0.96581196581196604</v>
      </c>
      <c r="AE428" s="26">
        <v>0.95876288659793796</v>
      </c>
      <c r="AF428" s="26">
        <v>0.96250000000000002</v>
      </c>
      <c r="AG428" s="26">
        <v>0.97508305647840499</v>
      </c>
      <c r="AH428" s="28">
        <v>0.92</v>
      </c>
      <c r="AI428" s="26">
        <v>0.96809363476030097</v>
      </c>
      <c r="AJ428" s="26">
        <v>0.97541091387245205</v>
      </c>
      <c r="AK428" s="26">
        <v>0.97153635116598103</v>
      </c>
      <c r="AL428" s="26">
        <v>0.97238693175212199</v>
      </c>
      <c r="AM428" s="25">
        <v>0.99</v>
      </c>
      <c r="AN428" s="30">
        <v>1</v>
      </c>
      <c r="AO428" s="30">
        <v>1</v>
      </c>
      <c r="AP428" s="30">
        <v>1</v>
      </c>
      <c r="AQ428" s="30">
        <v>1</v>
      </c>
      <c r="AR428" s="50">
        <v>0.05</v>
      </c>
      <c r="AS428" s="34">
        <v>0.14285714285714299</v>
      </c>
      <c r="AT428" s="34">
        <v>4.5454545454545497E-2</v>
      </c>
      <c r="AU428" s="34">
        <v>0.230769230769231</v>
      </c>
      <c r="AV428" s="34">
        <v>0.12396694214876</v>
      </c>
      <c r="AW428" s="10"/>
      <c r="AX428" s="8"/>
    </row>
    <row r="429" spans="1:50">
      <c r="A429" s="7"/>
      <c r="B429" s="10"/>
      <c r="C429" s="45" t="s">
        <v>396</v>
      </c>
      <c r="D429" s="23" t="s">
        <v>19</v>
      </c>
      <c r="E429" s="46" t="s">
        <v>475</v>
      </c>
      <c r="F429" s="46" t="s">
        <v>475</v>
      </c>
      <c r="G429" s="46" t="s">
        <v>475</v>
      </c>
      <c r="H429" s="46" t="s">
        <v>475</v>
      </c>
      <c r="I429" s="25">
        <v>0.9</v>
      </c>
      <c r="J429" s="26">
        <v>1</v>
      </c>
      <c r="K429" s="26">
        <v>0.96296296296296302</v>
      </c>
      <c r="L429" s="27">
        <v>0.92307692307692302</v>
      </c>
      <c r="M429" s="26">
        <v>0.94039735099337796</v>
      </c>
      <c r="N429" s="28">
        <v>0.9</v>
      </c>
      <c r="O429" s="26">
        <v>0.97850906648757596</v>
      </c>
      <c r="P429" s="26">
        <v>0.99012027491408905</v>
      </c>
      <c r="Q429" s="26">
        <v>0.97097242380261295</v>
      </c>
      <c r="R429" s="26">
        <v>0.97406506888966105</v>
      </c>
      <c r="S429" s="28">
        <v>0.9</v>
      </c>
      <c r="T429" s="26">
        <v>0.92343854936198799</v>
      </c>
      <c r="U429" s="26">
        <v>0.93556701030927802</v>
      </c>
      <c r="V429" s="26">
        <v>0.91001451378809906</v>
      </c>
      <c r="W429" s="26">
        <v>0.91490100729419899</v>
      </c>
      <c r="X429" s="28">
        <v>0.92</v>
      </c>
      <c r="Y429" s="28">
        <v>0.94626865671641802</v>
      </c>
      <c r="Z429" s="28">
        <v>0.97769812823576296</v>
      </c>
      <c r="AA429" s="28">
        <v>0.960485133020344</v>
      </c>
      <c r="AB429" s="28">
        <v>0.95704969642455595</v>
      </c>
      <c r="AC429" s="28">
        <v>0.92</v>
      </c>
      <c r="AD429" s="26">
        <v>0.995215311004785</v>
      </c>
      <c r="AE429" s="26">
        <v>0.90099009900990101</v>
      </c>
      <c r="AF429" s="26">
        <v>0.98494623655914004</v>
      </c>
      <c r="AG429" s="26">
        <v>0.97144488863506595</v>
      </c>
      <c r="AH429" s="28">
        <v>0.92</v>
      </c>
      <c r="AI429" s="26">
        <v>0.96061554512258696</v>
      </c>
      <c r="AJ429" s="26">
        <v>0.98265895953757199</v>
      </c>
      <c r="AK429" s="26">
        <v>0.96582512315270896</v>
      </c>
      <c r="AL429" s="26">
        <v>0.96779915404557204</v>
      </c>
      <c r="AM429" s="25">
        <v>0.99</v>
      </c>
      <c r="AN429" s="30">
        <v>1</v>
      </c>
      <c r="AO429" s="30">
        <v>1</v>
      </c>
      <c r="AP429" s="30">
        <v>1</v>
      </c>
      <c r="AQ429" s="30">
        <v>1</v>
      </c>
      <c r="AR429" s="50">
        <v>0.05</v>
      </c>
      <c r="AS429" s="34">
        <v>4.7619047619047603E-2</v>
      </c>
      <c r="AT429" s="34">
        <v>5.2631578947368397E-2</v>
      </c>
      <c r="AU429" s="34">
        <v>7.4074074074074098E-2</v>
      </c>
      <c r="AV429" s="34">
        <v>3.35570469798658E-2</v>
      </c>
      <c r="AW429" s="10"/>
      <c r="AX429" s="8"/>
    </row>
    <row r="430" spans="1:50">
      <c r="A430" s="7"/>
      <c r="B430" s="10"/>
      <c r="C430" s="45" t="s">
        <v>396</v>
      </c>
      <c r="D430" s="23" t="s">
        <v>19</v>
      </c>
      <c r="E430" s="46" t="s">
        <v>476</v>
      </c>
      <c r="F430" s="46" t="s">
        <v>476</v>
      </c>
      <c r="G430" s="46" t="s">
        <v>476</v>
      </c>
      <c r="H430" s="46" t="s">
        <v>476</v>
      </c>
      <c r="I430" s="25">
        <v>0.9</v>
      </c>
      <c r="J430" s="26">
        <v>0.80487804878048796</v>
      </c>
      <c r="K430" s="26">
        <v>0.72727272727272696</v>
      </c>
      <c r="L430" s="27">
        <v>0.65909090909090895</v>
      </c>
      <c r="M430" s="26">
        <v>0.75409836065573799</v>
      </c>
      <c r="N430" s="28">
        <v>0.9</v>
      </c>
      <c r="O430" s="26">
        <v>0.91100323624595503</v>
      </c>
      <c r="P430" s="26">
        <v>0.91478212906784295</v>
      </c>
      <c r="Q430" s="26">
        <v>0.93303571428571397</v>
      </c>
      <c r="R430" s="26">
        <v>0.89969806318580203</v>
      </c>
      <c r="S430" s="28">
        <v>0.9</v>
      </c>
      <c r="T430" s="26">
        <v>0.79530744336569603</v>
      </c>
      <c r="U430" s="26">
        <v>0.79260893546607802</v>
      </c>
      <c r="V430" s="26">
        <v>0.87678571428571395</v>
      </c>
      <c r="W430" s="26">
        <v>0.79674497385669096</v>
      </c>
      <c r="X430" s="28">
        <v>0.92</v>
      </c>
      <c r="Y430" s="28">
        <v>0.82445316881660102</v>
      </c>
      <c r="Z430" s="28">
        <v>0.88080301129234595</v>
      </c>
      <c r="AA430" s="28">
        <v>0.86692209450830104</v>
      </c>
      <c r="AB430" s="28">
        <v>0.85347498893315599</v>
      </c>
      <c r="AC430" s="28">
        <v>0.92</v>
      </c>
      <c r="AD430" s="26">
        <v>0.96170212765957397</v>
      </c>
      <c r="AE430" s="26">
        <v>0.95071335927367095</v>
      </c>
      <c r="AF430" s="26">
        <v>0.97460595446584897</v>
      </c>
      <c r="AG430" s="26">
        <v>0.95668838635492504</v>
      </c>
      <c r="AH430" s="28">
        <v>0.92</v>
      </c>
      <c r="AI430" s="26">
        <v>0.86794638424623505</v>
      </c>
      <c r="AJ430" s="26">
        <v>0.909329484319643</v>
      </c>
      <c r="AK430" s="26">
        <v>0.88613370363023203</v>
      </c>
      <c r="AL430" s="26">
        <v>0.88492110221384801</v>
      </c>
      <c r="AM430" s="25">
        <v>0.99</v>
      </c>
      <c r="AN430" s="30">
        <v>1</v>
      </c>
      <c r="AO430" s="30">
        <v>1</v>
      </c>
      <c r="AP430" s="30">
        <v>1</v>
      </c>
      <c r="AQ430" s="30">
        <v>1</v>
      </c>
      <c r="AR430" s="50">
        <v>0.05</v>
      </c>
      <c r="AS430" s="34">
        <v>4.5454545454545497E-2</v>
      </c>
      <c r="AT430" s="34">
        <v>4.7619047619047603E-2</v>
      </c>
      <c r="AU430" s="34">
        <v>0</v>
      </c>
      <c r="AV430" s="34">
        <v>1.6E-2</v>
      </c>
      <c r="AW430" s="10"/>
      <c r="AX430" s="8"/>
    </row>
    <row r="431" spans="1:50">
      <c r="A431" s="7"/>
      <c r="B431" s="10"/>
      <c r="C431" s="45" t="s">
        <v>396</v>
      </c>
      <c r="D431" s="23" t="s">
        <v>19</v>
      </c>
      <c r="E431" s="46" t="s">
        <v>477</v>
      </c>
      <c r="F431" s="46" t="s">
        <v>477</v>
      </c>
      <c r="G431" s="46" t="s">
        <v>477</v>
      </c>
      <c r="H431" s="46" t="s">
        <v>477</v>
      </c>
      <c r="I431" s="25">
        <v>0.9</v>
      </c>
      <c r="J431" s="26">
        <v>0.95454545454545503</v>
      </c>
      <c r="K431" s="26">
        <v>0.95588235294117696</v>
      </c>
      <c r="L431" s="27">
        <v>0.93442622950819698</v>
      </c>
      <c r="M431" s="26">
        <v>0.91269841269841301</v>
      </c>
      <c r="N431" s="28">
        <v>0.9</v>
      </c>
      <c r="O431" s="26">
        <v>0.98345153664302598</v>
      </c>
      <c r="P431" s="26">
        <v>0.90648089508127505</v>
      </c>
      <c r="Q431" s="26">
        <v>0.98545176110260302</v>
      </c>
      <c r="R431" s="26">
        <v>0.95961379310344797</v>
      </c>
      <c r="S431" s="28">
        <v>0.9</v>
      </c>
      <c r="T431" s="26">
        <v>0.90395981087470401</v>
      </c>
      <c r="U431" s="26">
        <v>0.85834916613890599</v>
      </c>
      <c r="V431" s="26">
        <v>0.89969372128637104</v>
      </c>
      <c r="W431" s="26">
        <v>0.885020689655172</v>
      </c>
      <c r="X431" s="28">
        <v>0.92</v>
      </c>
      <c r="Y431" s="28">
        <v>0.93881118881118897</v>
      </c>
      <c r="Z431" s="28">
        <v>0.93872614888470796</v>
      </c>
      <c r="AA431" s="28">
        <v>0.92305547811541699</v>
      </c>
      <c r="AB431" s="28">
        <v>0.92291594000697597</v>
      </c>
      <c r="AC431" s="28">
        <v>0.92</v>
      </c>
      <c r="AD431" s="26">
        <v>0.98989898989898994</v>
      </c>
      <c r="AE431" s="26">
        <v>0.97163120567375905</v>
      </c>
      <c r="AF431" s="26">
        <v>0.973856209150327</v>
      </c>
      <c r="AG431" s="26">
        <v>0.97789473684210504</v>
      </c>
      <c r="AH431" s="28">
        <v>0.92</v>
      </c>
      <c r="AI431" s="26">
        <v>0.95877347417840397</v>
      </c>
      <c r="AJ431" s="26">
        <v>0.95651660167789199</v>
      </c>
      <c r="AK431" s="26">
        <v>0.939746732026144</v>
      </c>
      <c r="AL431" s="26">
        <v>0.94735464964153004</v>
      </c>
      <c r="AM431" s="25">
        <v>0.99</v>
      </c>
      <c r="AN431" s="30">
        <v>1</v>
      </c>
      <c r="AO431" s="30">
        <v>1</v>
      </c>
      <c r="AP431" s="30">
        <v>1</v>
      </c>
      <c r="AQ431" s="30">
        <v>1</v>
      </c>
      <c r="AR431" s="50">
        <v>0.05</v>
      </c>
      <c r="AS431" s="34">
        <v>5.5555555555555601E-2</v>
      </c>
      <c r="AT431" s="34">
        <v>0</v>
      </c>
      <c r="AU431" s="34">
        <v>0.16666666666666699</v>
      </c>
      <c r="AV431" s="34">
        <v>5.6000000000000001E-2</v>
      </c>
      <c r="AW431" s="10"/>
      <c r="AX431" s="8"/>
    </row>
    <row r="432" spans="1:50">
      <c r="A432" s="7"/>
      <c r="B432" s="10"/>
      <c r="C432" s="45" t="s">
        <v>396</v>
      </c>
      <c r="D432" s="23" t="s">
        <v>19</v>
      </c>
      <c r="E432" s="46" t="s">
        <v>478</v>
      </c>
      <c r="F432" s="46" t="s">
        <v>478</v>
      </c>
      <c r="G432" s="46" t="s">
        <v>478</v>
      </c>
      <c r="H432" s="46" t="s">
        <v>478</v>
      </c>
      <c r="I432" s="25">
        <v>0.9</v>
      </c>
      <c r="J432" s="26">
        <v>0.98113207547169801</v>
      </c>
      <c r="K432" s="26">
        <v>1</v>
      </c>
      <c r="L432" s="27">
        <v>0.95652173913043503</v>
      </c>
      <c r="M432" s="26">
        <v>0.95588235294117696</v>
      </c>
      <c r="N432" s="28">
        <v>0.9</v>
      </c>
      <c r="O432" s="26">
        <v>0.96076751756039103</v>
      </c>
      <c r="P432" s="26">
        <v>0.97969701702326994</v>
      </c>
      <c r="Q432" s="26">
        <v>0.96607009694257995</v>
      </c>
      <c r="R432" s="26">
        <v>0.96419053964024004</v>
      </c>
      <c r="S432" s="28">
        <v>0.9</v>
      </c>
      <c r="T432" s="26">
        <v>0.89600822340243302</v>
      </c>
      <c r="U432" s="26">
        <v>0.89005153834140205</v>
      </c>
      <c r="V432" s="26">
        <v>0.92803877703206605</v>
      </c>
      <c r="W432" s="26">
        <v>0.88760826115922697</v>
      </c>
      <c r="X432" s="28">
        <v>0.92</v>
      </c>
      <c r="Y432" s="28">
        <v>0</v>
      </c>
      <c r="Z432" s="28">
        <v>0</v>
      </c>
      <c r="AA432" s="28">
        <v>0</v>
      </c>
      <c r="AB432" s="28">
        <v>0</v>
      </c>
      <c r="AC432" s="28">
        <v>0.92</v>
      </c>
      <c r="AD432" s="26">
        <v>0.96891191709844604</v>
      </c>
      <c r="AE432" s="26">
        <v>0.97687861271676302</v>
      </c>
      <c r="AF432" s="26">
        <v>1</v>
      </c>
      <c r="AG432" s="26">
        <v>0.98166023166023197</v>
      </c>
      <c r="AH432" s="28">
        <v>0.92</v>
      </c>
      <c r="AI432" s="26">
        <v>0.972246016789447</v>
      </c>
      <c r="AJ432" s="26">
        <v>0.97767369242779101</v>
      </c>
      <c r="AK432" s="26">
        <v>0.97352721849366097</v>
      </c>
      <c r="AL432" s="26">
        <v>0.97085567731405897</v>
      </c>
      <c r="AM432" s="25">
        <v>0.99</v>
      </c>
      <c r="AN432" s="30">
        <v>1</v>
      </c>
      <c r="AO432" s="30">
        <v>1</v>
      </c>
      <c r="AP432" s="30">
        <v>1</v>
      </c>
      <c r="AQ432" s="30">
        <v>1</v>
      </c>
      <c r="AR432" s="50">
        <v>0.05</v>
      </c>
      <c r="AS432" s="34">
        <v>0</v>
      </c>
      <c r="AT432" s="34">
        <v>0.16666666666666699</v>
      </c>
      <c r="AU432" s="34">
        <v>0</v>
      </c>
      <c r="AV432" s="34">
        <v>4.2253521126760597E-2</v>
      </c>
      <c r="AW432" s="10"/>
      <c r="AX432" s="8"/>
    </row>
    <row r="433" spans="1:50">
      <c r="A433" s="7"/>
      <c r="B433" s="10"/>
      <c r="C433" s="45" t="s">
        <v>396</v>
      </c>
      <c r="D433" s="23" t="s">
        <v>19</v>
      </c>
      <c r="E433" s="46" t="s">
        <v>479</v>
      </c>
      <c r="F433" s="46" t="s">
        <v>479</v>
      </c>
      <c r="G433" s="46" t="s">
        <v>479</v>
      </c>
      <c r="H433" s="46" t="s">
        <v>479</v>
      </c>
      <c r="I433" s="25">
        <v>0.9</v>
      </c>
      <c r="J433" s="26">
        <v>0.88333333333333297</v>
      </c>
      <c r="K433" s="26">
        <v>0.9</v>
      </c>
      <c r="L433" s="27">
        <v>0.89285714285714302</v>
      </c>
      <c r="M433" s="26">
        <v>0.90149253731343304</v>
      </c>
      <c r="N433" s="28">
        <v>0.9</v>
      </c>
      <c r="O433" s="26">
        <v>0.91556899157849303</v>
      </c>
      <c r="P433" s="26">
        <v>0.89128159114700201</v>
      </c>
      <c r="Q433" s="26">
        <v>0.97017623136014497</v>
      </c>
      <c r="R433" s="26">
        <v>0.91183989773907503</v>
      </c>
      <c r="S433" s="28">
        <v>0.9</v>
      </c>
      <c r="T433" s="26">
        <v>0.86957460591664903</v>
      </c>
      <c r="U433" s="26">
        <v>0.816808733363242</v>
      </c>
      <c r="V433" s="26">
        <v>0.89245368278355197</v>
      </c>
      <c r="W433" s="26">
        <v>0.84541024207078397</v>
      </c>
      <c r="X433" s="28">
        <v>0.92</v>
      </c>
      <c r="Y433" s="28">
        <v>0.93817709085656498</v>
      </c>
      <c r="Z433" s="28">
        <v>0.94638069705093797</v>
      </c>
      <c r="AA433" s="28">
        <v>0.93421052631578905</v>
      </c>
      <c r="AB433" s="28">
        <v>0.93791823504809702</v>
      </c>
      <c r="AC433" s="28">
        <v>0.92</v>
      </c>
      <c r="AD433" s="26">
        <v>0.97525937749401403</v>
      </c>
      <c r="AE433" s="26">
        <v>0.99183370452858199</v>
      </c>
      <c r="AF433" s="26">
        <v>0.99019607843137303</v>
      </c>
      <c r="AG433" s="26">
        <v>0.987941787941788</v>
      </c>
      <c r="AH433" s="28">
        <v>0.92</v>
      </c>
      <c r="AI433" s="26">
        <v>0.94793738649139503</v>
      </c>
      <c r="AJ433" s="26">
        <v>0.960962868840887</v>
      </c>
      <c r="AK433" s="26">
        <v>0.94386149003148001</v>
      </c>
      <c r="AL433" s="26">
        <v>0.95117141279482498</v>
      </c>
      <c r="AM433" s="25">
        <v>0.99</v>
      </c>
      <c r="AN433" s="30">
        <v>1</v>
      </c>
      <c r="AO433" s="30">
        <v>1</v>
      </c>
      <c r="AP433" s="30">
        <v>1</v>
      </c>
      <c r="AQ433" s="30">
        <v>1</v>
      </c>
      <c r="AR433" s="50">
        <v>0.05</v>
      </c>
      <c r="AS433" s="34">
        <v>4.8780487804878099E-2</v>
      </c>
      <c r="AT433" s="34">
        <v>2.9411764705882401E-2</v>
      </c>
      <c r="AU433" s="34">
        <v>0.108695652173913</v>
      </c>
      <c r="AV433" s="34">
        <v>4.4510385756676603E-2</v>
      </c>
      <c r="AW433" s="10"/>
      <c r="AX433" s="8"/>
    </row>
    <row r="434" spans="1:50">
      <c r="A434" s="7"/>
      <c r="B434" s="10"/>
      <c r="C434" s="45" t="s">
        <v>396</v>
      </c>
      <c r="D434" s="23" t="s">
        <v>19</v>
      </c>
      <c r="E434" s="46" t="s">
        <v>480</v>
      </c>
      <c r="F434" s="46" t="s">
        <v>480</v>
      </c>
      <c r="G434" s="46" t="s">
        <v>480</v>
      </c>
      <c r="H434" s="46" t="s">
        <v>480</v>
      </c>
      <c r="I434" s="25">
        <v>0.9</v>
      </c>
      <c r="J434" s="26">
        <v>0.85</v>
      </c>
      <c r="K434" s="26">
        <v>0.837209302325581</v>
      </c>
      <c r="L434" s="27">
        <v>0.65</v>
      </c>
      <c r="M434" s="26">
        <v>0.79310344827586199</v>
      </c>
      <c r="N434" s="28">
        <v>0.9</v>
      </c>
      <c r="O434" s="26">
        <v>0.97536750099324598</v>
      </c>
      <c r="P434" s="26">
        <v>0.86668454935622297</v>
      </c>
      <c r="Q434" s="26">
        <v>0.86235741444866898</v>
      </c>
      <c r="R434" s="26">
        <v>0.898047563123899</v>
      </c>
      <c r="S434" s="28">
        <v>0.9</v>
      </c>
      <c r="T434" s="26">
        <v>0.79896702423520105</v>
      </c>
      <c r="U434" s="26">
        <v>0.76394849785407704</v>
      </c>
      <c r="V434" s="26">
        <v>0.77794676806083696</v>
      </c>
      <c r="W434" s="26">
        <v>0.78060775102759805</v>
      </c>
      <c r="X434" s="28">
        <v>0.92</v>
      </c>
      <c r="Y434" s="28">
        <v>0.87743247168167304</v>
      </c>
      <c r="Z434" s="28">
        <v>0.93479381443299003</v>
      </c>
      <c r="AA434" s="28">
        <v>0.89939024390243905</v>
      </c>
      <c r="AB434" s="28">
        <v>0.89489699206863904</v>
      </c>
      <c r="AC434" s="28">
        <v>0.92</v>
      </c>
      <c r="AD434" s="26">
        <v>0.99074982480728802</v>
      </c>
      <c r="AE434" s="26">
        <v>0.96417552279739505</v>
      </c>
      <c r="AF434" s="26">
        <v>0.99714013346043895</v>
      </c>
      <c r="AG434" s="26">
        <v>0.98853990949741599</v>
      </c>
      <c r="AH434" s="28">
        <v>0.92</v>
      </c>
      <c r="AI434" s="26">
        <v>0.91754650578179997</v>
      </c>
      <c r="AJ434" s="26">
        <v>0.955225840336134</v>
      </c>
      <c r="AK434" s="26">
        <v>0.91429114405169098</v>
      </c>
      <c r="AL434" s="26">
        <v>0.91995848161328597</v>
      </c>
      <c r="AM434" s="25">
        <v>0.99</v>
      </c>
      <c r="AN434" s="30">
        <v>1</v>
      </c>
      <c r="AO434" s="30">
        <v>1</v>
      </c>
      <c r="AP434" s="30">
        <v>1</v>
      </c>
      <c r="AQ434" s="30">
        <v>1</v>
      </c>
      <c r="AR434" s="50">
        <v>0.05</v>
      </c>
      <c r="AS434" s="34">
        <v>0</v>
      </c>
      <c r="AT434" s="34">
        <v>0</v>
      </c>
      <c r="AU434" s="34">
        <v>0</v>
      </c>
      <c r="AV434" s="34">
        <v>2.3076923076923099E-2</v>
      </c>
      <c r="AW434" s="10"/>
      <c r="AX434" s="8"/>
    </row>
    <row r="435" spans="1:50">
      <c r="A435" s="7"/>
      <c r="B435" s="10"/>
      <c r="C435" s="45" t="s">
        <v>396</v>
      </c>
      <c r="D435" s="23" t="s">
        <v>19</v>
      </c>
      <c r="E435" s="46" t="s">
        <v>481</v>
      </c>
      <c r="F435" s="46" t="s">
        <v>481</v>
      </c>
      <c r="G435" s="46" t="s">
        <v>481</v>
      </c>
      <c r="H435" s="46" t="s">
        <v>481</v>
      </c>
      <c r="I435" s="25">
        <v>0.9</v>
      </c>
      <c r="J435" s="26">
        <v>0.88888888888888895</v>
      </c>
      <c r="K435" s="26">
        <v>0.890625</v>
      </c>
      <c r="L435" s="27">
        <v>0.81355932203389802</v>
      </c>
      <c r="M435" s="26">
        <v>0.86337209302325602</v>
      </c>
      <c r="N435" s="28">
        <v>0.9</v>
      </c>
      <c r="O435" s="26">
        <v>0.90014903129657198</v>
      </c>
      <c r="P435" s="26">
        <v>0.67918088737201399</v>
      </c>
      <c r="Q435" s="26">
        <v>0.94909993792675396</v>
      </c>
      <c r="R435" s="26">
        <v>0.82380251387158898</v>
      </c>
      <c r="S435" s="28">
        <v>0.9</v>
      </c>
      <c r="T435" s="26">
        <v>0.89925484351713902</v>
      </c>
      <c r="U435" s="26">
        <v>0.87872582480090999</v>
      </c>
      <c r="V435" s="26">
        <v>0.90316573556796997</v>
      </c>
      <c r="W435" s="26">
        <v>0.87147548409013698</v>
      </c>
      <c r="X435" s="28">
        <v>0.92</v>
      </c>
      <c r="Y435" s="28">
        <v>0.947596451413245</v>
      </c>
      <c r="Z435" s="28">
        <v>0.95230798697567498</v>
      </c>
      <c r="AA435" s="28">
        <v>0.91112703816520302</v>
      </c>
      <c r="AB435" s="28">
        <v>0.91230954729803804</v>
      </c>
      <c r="AC435" s="28">
        <v>0.92</v>
      </c>
      <c r="AD435" s="26">
        <v>0.98988823842469398</v>
      </c>
      <c r="AE435" s="26">
        <v>0.99059561128526596</v>
      </c>
      <c r="AF435" s="26">
        <v>0.994560994560995</v>
      </c>
      <c r="AG435" s="26">
        <v>0.99243252333305298</v>
      </c>
      <c r="AH435" s="28">
        <v>0.92</v>
      </c>
      <c r="AI435" s="26">
        <v>0.95396419437340196</v>
      </c>
      <c r="AJ435" s="26">
        <v>0.96197007481296803</v>
      </c>
      <c r="AK435" s="26">
        <v>0.92668052668052703</v>
      </c>
      <c r="AL435" s="26">
        <v>0.93196584987249098</v>
      </c>
      <c r="AM435" s="25">
        <v>0.99</v>
      </c>
      <c r="AN435" s="30">
        <v>1</v>
      </c>
      <c r="AO435" s="30">
        <v>1</v>
      </c>
      <c r="AP435" s="30">
        <v>1</v>
      </c>
      <c r="AQ435" s="30">
        <v>1</v>
      </c>
      <c r="AR435" s="50">
        <v>0.05</v>
      </c>
      <c r="AS435" s="34">
        <v>-2.5000000000000001E-2</v>
      </c>
      <c r="AT435" s="34">
        <v>8.3333333333333301E-2</v>
      </c>
      <c r="AU435" s="34">
        <v>5.4054054054054099E-2</v>
      </c>
      <c r="AV435" s="34">
        <v>2.7272727272727299E-2</v>
      </c>
      <c r="AW435" s="10"/>
      <c r="AX435" s="8"/>
    </row>
    <row r="436" spans="1:50">
      <c r="A436" s="7"/>
      <c r="B436" s="10"/>
      <c r="C436" s="45" t="s">
        <v>396</v>
      </c>
      <c r="D436" s="23" t="s">
        <v>19</v>
      </c>
      <c r="E436" s="46" t="s">
        <v>482</v>
      </c>
      <c r="F436" s="46" t="s">
        <v>482</v>
      </c>
      <c r="G436" s="46" t="s">
        <v>482</v>
      </c>
      <c r="H436" s="46" t="s">
        <v>482</v>
      </c>
      <c r="I436" s="25">
        <v>0.9</v>
      </c>
      <c r="J436" s="26">
        <v>0.73170731707317105</v>
      </c>
      <c r="K436" s="26">
        <v>0.6</v>
      </c>
      <c r="L436" s="27">
        <v>0.73170731707317105</v>
      </c>
      <c r="M436" s="26">
        <v>0.579399141630901</v>
      </c>
      <c r="N436" s="28">
        <v>0.9</v>
      </c>
      <c r="O436" s="26">
        <v>0.67550894509561998</v>
      </c>
      <c r="P436" s="26">
        <v>0.64902004956071202</v>
      </c>
      <c r="Q436" s="26">
        <v>0.67950819672131102</v>
      </c>
      <c r="R436" s="26">
        <v>0.65442007015040704</v>
      </c>
      <c r="S436" s="28">
        <v>0.9</v>
      </c>
      <c r="T436" s="26">
        <v>0.75817396668723003</v>
      </c>
      <c r="U436" s="26">
        <v>0.66028384771344895</v>
      </c>
      <c r="V436" s="26">
        <v>0.75245901639344304</v>
      </c>
      <c r="W436" s="26">
        <v>0.68735509184947396</v>
      </c>
      <c r="X436" s="28">
        <v>0.92</v>
      </c>
      <c r="Y436" s="28">
        <v>0.76238207547169801</v>
      </c>
      <c r="Z436" s="28">
        <v>0.78938640132670002</v>
      </c>
      <c r="AA436" s="28">
        <v>0.71121785815201999</v>
      </c>
      <c r="AB436" s="28">
        <v>0.69393072443036696</v>
      </c>
      <c r="AC436" s="28">
        <v>0.92</v>
      </c>
      <c r="AD436" s="26">
        <v>0.89050131926121401</v>
      </c>
      <c r="AE436" s="26">
        <v>0.88532110091743099</v>
      </c>
      <c r="AF436" s="26">
        <v>0.86405529953917004</v>
      </c>
      <c r="AG436" s="26">
        <v>0.90534031413612603</v>
      </c>
      <c r="AH436" s="28">
        <v>0.92</v>
      </c>
      <c r="AI436" s="26">
        <v>0.84857616392948598</v>
      </c>
      <c r="AJ436" s="26">
        <v>0.86917162698412698</v>
      </c>
      <c r="AK436" s="26">
        <v>0.763163415145794</v>
      </c>
      <c r="AL436" s="26">
        <v>0.78405379442843404</v>
      </c>
      <c r="AM436" s="25">
        <v>0.99</v>
      </c>
      <c r="AN436" s="30">
        <v>1</v>
      </c>
      <c r="AO436" s="30">
        <v>1</v>
      </c>
      <c r="AP436" s="30">
        <v>1</v>
      </c>
      <c r="AQ436" s="30">
        <v>0.99841269841269797</v>
      </c>
      <c r="AR436" s="50">
        <v>0.05</v>
      </c>
      <c r="AS436" s="34">
        <v>0</v>
      </c>
      <c r="AT436" s="34">
        <v>0</v>
      </c>
      <c r="AU436" s="34">
        <v>0</v>
      </c>
      <c r="AV436" s="34">
        <v>3.3613445378151301E-2</v>
      </c>
      <c r="AW436" s="10"/>
      <c r="AX436" s="8"/>
    </row>
    <row r="437" spans="1:50">
      <c r="A437" s="7"/>
      <c r="B437" s="10"/>
      <c r="C437" s="45" t="s">
        <v>396</v>
      </c>
      <c r="D437" s="23" t="s">
        <v>19</v>
      </c>
      <c r="E437" s="46" t="s">
        <v>483</v>
      </c>
      <c r="F437" s="46" t="s">
        <v>483</v>
      </c>
      <c r="G437" s="46" t="s">
        <v>483</v>
      </c>
      <c r="H437" s="46" t="s">
        <v>483</v>
      </c>
      <c r="I437" s="25">
        <v>0.9</v>
      </c>
      <c r="J437" s="26">
        <v>0.85185185185185197</v>
      </c>
      <c r="K437" s="26">
        <v>0.82456140350877205</v>
      </c>
      <c r="L437" s="27">
        <v>0.83333333333333304</v>
      </c>
      <c r="M437" s="26">
        <v>0.80201342281879195</v>
      </c>
      <c r="N437" s="28">
        <v>0.9</v>
      </c>
      <c r="O437" s="26">
        <v>0.90234741784037598</v>
      </c>
      <c r="P437" s="26">
        <v>0.83348115299334802</v>
      </c>
      <c r="Q437" s="26">
        <v>0.91449363250454796</v>
      </c>
      <c r="R437" s="26">
        <v>0.83647146887775703</v>
      </c>
      <c r="S437" s="28">
        <v>0.9</v>
      </c>
      <c r="T437" s="26">
        <v>0.872613458528951</v>
      </c>
      <c r="U437" s="26">
        <v>0.86319290465631904</v>
      </c>
      <c r="V437" s="26">
        <v>0.865979381443299</v>
      </c>
      <c r="W437" s="26">
        <v>0.81942765014107199</v>
      </c>
      <c r="X437" s="28">
        <v>0.92</v>
      </c>
      <c r="Y437" s="28">
        <v>0.92496847414880201</v>
      </c>
      <c r="Z437" s="28">
        <v>0.92627421478277205</v>
      </c>
      <c r="AA437" s="28">
        <v>0.91344137273593895</v>
      </c>
      <c r="AB437" s="28">
        <v>0.88148368172873404</v>
      </c>
      <c r="AC437" s="28">
        <v>0.92</v>
      </c>
      <c r="AD437" s="26">
        <v>0.99222797927461104</v>
      </c>
      <c r="AE437" s="26">
        <v>0.98754208754208705</v>
      </c>
      <c r="AF437" s="26">
        <v>0.99870087690808695</v>
      </c>
      <c r="AG437" s="26">
        <v>0.99490738149868496</v>
      </c>
      <c r="AH437" s="28">
        <v>0.92</v>
      </c>
      <c r="AI437" s="26">
        <v>0.93676137792305803</v>
      </c>
      <c r="AJ437" s="26">
        <v>0.95126170126170095</v>
      </c>
      <c r="AK437" s="26">
        <v>0.92767067690969696</v>
      </c>
      <c r="AL437" s="26">
        <v>0.90444810543657295</v>
      </c>
      <c r="AM437" s="25">
        <v>0.99</v>
      </c>
      <c r="AN437" s="30">
        <v>1</v>
      </c>
      <c r="AO437" s="30">
        <v>1</v>
      </c>
      <c r="AP437" s="30">
        <v>1</v>
      </c>
      <c r="AQ437" s="30">
        <v>1</v>
      </c>
      <c r="AR437" s="50">
        <v>0.05</v>
      </c>
      <c r="AS437" s="34">
        <v>0</v>
      </c>
      <c r="AT437" s="34">
        <v>0.1</v>
      </c>
      <c r="AU437" s="34">
        <v>0</v>
      </c>
      <c r="AV437" s="34">
        <v>5.8201058201058198E-2</v>
      </c>
      <c r="AW437" s="10"/>
      <c r="AX437" s="8"/>
    </row>
    <row r="438" spans="1:50">
      <c r="A438" s="7"/>
      <c r="B438" s="10"/>
      <c r="C438" s="45" t="s">
        <v>396</v>
      </c>
      <c r="D438" s="23" t="s">
        <v>19</v>
      </c>
      <c r="E438" s="46" t="s">
        <v>484</v>
      </c>
      <c r="F438" s="46" t="s">
        <v>484</v>
      </c>
      <c r="G438" s="46" t="s">
        <v>484</v>
      </c>
      <c r="H438" s="46" t="s">
        <v>484</v>
      </c>
      <c r="I438" s="25">
        <v>0.9</v>
      </c>
      <c r="J438" s="26">
        <v>0.95161290322580605</v>
      </c>
      <c r="K438" s="26">
        <v>0.96825396825396803</v>
      </c>
      <c r="L438" s="27">
        <v>0.94642857142857095</v>
      </c>
      <c r="M438" s="26">
        <v>0.96072507552870101</v>
      </c>
      <c r="N438" s="28">
        <v>0.9</v>
      </c>
      <c r="O438" s="26">
        <v>0.98356429262004497</v>
      </c>
      <c r="P438" s="26">
        <v>0.977404777275662</v>
      </c>
      <c r="Q438" s="26">
        <v>0.98171500630516995</v>
      </c>
      <c r="R438" s="26">
        <v>0.97958723356264799</v>
      </c>
      <c r="S438" s="28">
        <v>0.9</v>
      </c>
      <c r="T438" s="26">
        <v>0.91556558169513402</v>
      </c>
      <c r="U438" s="26">
        <v>0.90380890897353106</v>
      </c>
      <c r="V438" s="26">
        <v>0.927490542244641</v>
      </c>
      <c r="W438" s="26">
        <v>0.902898387278674</v>
      </c>
      <c r="X438" s="28">
        <v>0.92</v>
      </c>
      <c r="Y438" s="28">
        <v>0.945020746887967</v>
      </c>
      <c r="Z438" s="28">
        <v>0.94578878259238397</v>
      </c>
      <c r="AA438" s="28">
        <v>0.927715355805243</v>
      </c>
      <c r="AB438" s="28">
        <v>0.93091828138163402</v>
      </c>
      <c r="AC438" s="28">
        <v>0.92</v>
      </c>
      <c r="AD438" s="26">
        <v>0.96620278330019904</v>
      </c>
      <c r="AE438" s="26">
        <v>0.96257796257796302</v>
      </c>
      <c r="AF438" s="26">
        <v>0.97877984084880598</v>
      </c>
      <c r="AG438" s="26">
        <v>0.96298525428829396</v>
      </c>
      <c r="AH438" s="28">
        <v>0.92</v>
      </c>
      <c r="AI438" s="26">
        <v>0.95926346323622103</v>
      </c>
      <c r="AJ438" s="26">
        <v>0.963496349634963</v>
      </c>
      <c r="AK438" s="26">
        <v>0.93966882649388095</v>
      </c>
      <c r="AL438" s="26">
        <v>0.94995676370812199</v>
      </c>
      <c r="AM438" s="25">
        <v>0.99</v>
      </c>
      <c r="AN438" s="30">
        <v>1</v>
      </c>
      <c r="AO438" s="30">
        <v>1</v>
      </c>
      <c r="AP438" s="30">
        <v>1</v>
      </c>
      <c r="AQ438" s="30">
        <v>1</v>
      </c>
      <c r="AR438" s="50">
        <v>0.05</v>
      </c>
      <c r="AS438" s="34">
        <v>0</v>
      </c>
      <c r="AT438" s="34">
        <v>2.7777777777777801E-2</v>
      </c>
      <c r="AU438" s="34">
        <v>3.2258064516128997E-2</v>
      </c>
      <c r="AV438" s="34">
        <v>1.9801980198019799E-2</v>
      </c>
      <c r="AW438" s="10"/>
      <c r="AX438" s="8"/>
    </row>
    <row r="439" spans="1:50">
      <c r="A439" s="7"/>
      <c r="B439" s="10"/>
      <c r="C439" s="45" t="s">
        <v>396</v>
      </c>
      <c r="D439" s="23" t="s">
        <v>19</v>
      </c>
      <c r="E439" s="46" t="s">
        <v>485</v>
      </c>
      <c r="F439" s="46" t="s">
        <v>485</v>
      </c>
      <c r="G439" s="46" t="s">
        <v>485</v>
      </c>
      <c r="H439" s="46" t="s">
        <v>485</v>
      </c>
      <c r="I439" s="25">
        <v>0.9</v>
      </c>
      <c r="J439" s="26">
        <v>0.763636363636364</v>
      </c>
      <c r="K439" s="26">
        <v>0.69491525423728795</v>
      </c>
      <c r="L439" s="27">
        <v>0.77192982456140302</v>
      </c>
      <c r="M439" s="26">
        <v>0.75535168195718605</v>
      </c>
      <c r="N439" s="28">
        <v>0.9</v>
      </c>
      <c r="O439" s="26">
        <v>0.94501718213058405</v>
      </c>
      <c r="P439" s="26">
        <v>0.96224832214765099</v>
      </c>
      <c r="Q439" s="26">
        <v>0.96501128668171599</v>
      </c>
      <c r="R439" s="26">
        <v>0.96000216204529498</v>
      </c>
      <c r="S439" s="28">
        <v>0.9</v>
      </c>
      <c r="T439" s="26">
        <v>0.80813287514318399</v>
      </c>
      <c r="U439" s="26">
        <v>0.83263422818791899</v>
      </c>
      <c r="V439" s="26">
        <v>0.83860045146726903</v>
      </c>
      <c r="W439" s="26">
        <v>0.80076752607967105</v>
      </c>
      <c r="X439" s="28">
        <v>0.92</v>
      </c>
      <c r="Y439" s="28">
        <v>0.90321973263039002</v>
      </c>
      <c r="Z439" s="28">
        <v>0.91966902258231298</v>
      </c>
      <c r="AA439" s="28">
        <v>0.93575095214439497</v>
      </c>
      <c r="AB439" s="28">
        <v>0.91327553969063402</v>
      </c>
      <c r="AC439" s="28">
        <v>0.92</v>
      </c>
      <c r="AD439" s="26">
        <v>0.996174445294568</v>
      </c>
      <c r="AE439" s="26">
        <v>0.99326372515998695</v>
      </c>
      <c r="AF439" s="26">
        <v>0.99436266833698705</v>
      </c>
      <c r="AG439" s="26">
        <v>0.99471193988310602</v>
      </c>
      <c r="AH439" s="28">
        <v>0.92</v>
      </c>
      <c r="AI439" s="26">
        <v>0.90981372103589297</v>
      </c>
      <c r="AJ439" s="26">
        <v>0.93963478096319397</v>
      </c>
      <c r="AK439" s="26">
        <v>0.93814696485622995</v>
      </c>
      <c r="AL439" s="26">
        <v>0.92451925082384301</v>
      </c>
      <c r="AM439" s="25">
        <v>0.99</v>
      </c>
      <c r="AN439" s="30">
        <v>1</v>
      </c>
      <c r="AO439" s="30">
        <v>1</v>
      </c>
      <c r="AP439" s="30">
        <v>1</v>
      </c>
      <c r="AQ439" s="30">
        <v>1</v>
      </c>
      <c r="AR439" s="50">
        <v>0.05</v>
      </c>
      <c r="AS439" s="34">
        <v>1.9230769230769201E-2</v>
      </c>
      <c r="AT439" s="34">
        <v>5.7142857142857099E-2</v>
      </c>
      <c r="AU439" s="34">
        <v>7.4999999999999997E-2</v>
      </c>
      <c r="AV439" s="34">
        <v>2.7210884353741499E-2</v>
      </c>
      <c r="AW439" s="10"/>
      <c r="AX439" s="8"/>
    </row>
    <row r="440" spans="1:50">
      <c r="A440" s="7"/>
      <c r="B440" s="10"/>
      <c r="C440" s="45" t="s">
        <v>396</v>
      </c>
      <c r="D440" s="23" t="s">
        <v>19</v>
      </c>
      <c r="E440" s="46" t="s">
        <v>486</v>
      </c>
      <c r="F440" s="46" t="s">
        <v>486</v>
      </c>
      <c r="G440" s="46" t="s">
        <v>486</v>
      </c>
      <c r="H440" s="46" t="s">
        <v>486</v>
      </c>
      <c r="I440" s="25">
        <v>0.9</v>
      </c>
      <c r="J440" s="26">
        <v>0.680851063829787</v>
      </c>
      <c r="K440" s="26">
        <v>0.45454545454545497</v>
      </c>
      <c r="L440" s="27">
        <v>0.40350877192982498</v>
      </c>
      <c r="M440" s="26">
        <v>0.53973509933774799</v>
      </c>
      <c r="N440" s="28">
        <v>0.9</v>
      </c>
      <c r="O440" s="26">
        <v>0.61074705111402405</v>
      </c>
      <c r="P440" s="26">
        <v>0.33989706869545799</v>
      </c>
      <c r="Q440" s="26">
        <v>0.71329113924050602</v>
      </c>
      <c r="R440" s="26">
        <v>0.56001688068969702</v>
      </c>
      <c r="S440" s="28">
        <v>0.9</v>
      </c>
      <c r="T440" s="26">
        <v>0.65530799475753598</v>
      </c>
      <c r="U440" s="26">
        <v>0.60751846050570601</v>
      </c>
      <c r="V440" s="26">
        <v>0.73291139240506298</v>
      </c>
      <c r="W440" s="26">
        <v>0.66497859769699197</v>
      </c>
      <c r="X440" s="28">
        <v>0.92</v>
      </c>
      <c r="Y440" s="28">
        <v>0.71704249783174301</v>
      </c>
      <c r="Z440" s="28">
        <v>0.70919651500484004</v>
      </c>
      <c r="AA440" s="28">
        <v>0.78630136986301402</v>
      </c>
      <c r="AB440" s="28">
        <v>0.71006830548373401</v>
      </c>
      <c r="AC440" s="28">
        <v>0.92</v>
      </c>
      <c r="AD440" s="26">
        <v>0.99042863087806898</v>
      </c>
      <c r="AE440" s="26">
        <v>0.995979899497487</v>
      </c>
      <c r="AF440" s="26">
        <v>0.99225067385444699</v>
      </c>
      <c r="AG440" s="26">
        <v>0.99278768755232105</v>
      </c>
      <c r="AH440" s="28">
        <v>0.92</v>
      </c>
      <c r="AI440" s="26">
        <v>0.75665101721439798</v>
      </c>
      <c r="AJ440" s="26">
        <v>0.79257415473968096</v>
      </c>
      <c r="AK440" s="26">
        <v>0.81102479832686003</v>
      </c>
      <c r="AL440" s="26">
        <v>0.76857774433261195</v>
      </c>
      <c r="AM440" s="25">
        <v>0.99</v>
      </c>
      <c r="AN440" s="30">
        <v>1</v>
      </c>
      <c r="AO440" s="30">
        <v>1</v>
      </c>
      <c r="AP440" s="30">
        <v>1</v>
      </c>
      <c r="AQ440" s="30">
        <v>1</v>
      </c>
      <c r="AR440" s="50">
        <v>0.05</v>
      </c>
      <c r="AS440" s="34">
        <v>0</v>
      </c>
      <c r="AT440" s="34">
        <v>1.88679245283019E-2</v>
      </c>
      <c r="AU440" s="34">
        <v>0</v>
      </c>
      <c r="AV440" s="34">
        <v>1.26582278481013E-2</v>
      </c>
      <c r="AW440" s="10"/>
      <c r="AX440" s="8"/>
    </row>
    <row r="441" spans="1:50">
      <c r="A441" s="7"/>
      <c r="B441" s="10"/>
      <c r="C441" s="45" t="s">
        <v>396</v>
      </c>
      <c r="D441" s="23" t="s">
        <v>19</v>
      </c>
      <c r="E441" s="46" t="s">
        <v>487</v>
      </c>
      <c r="F441" s="46" t="s">
        <v>487</v>
      </c>
      <c r="G441" s="46" t="s">
        <v>487</v>
      </c>
      <c r="H441" s="46" t="s">
        <v>487</v>
      </c>
      <c r="I441" s="25">
        <v>0.9</v>
      </c>
      <c r="J441" s="26">
        <v>0.97894736842105301</v>
      </c>
      <c r="K441" s="26">
        <v>0.96969696969696995</v>
      </c>
      <c r="L441" s="27">
        <v>0.90109890109890101</v>
      </c>
      <c r="M441" s="26">
        <v>0.94990723562152102</v>
      </c>
      <c r="N441" s="28">
        <v>0.9</v>
      </c>
      <c r="O441" s="26">
        <v>0.972173913043478</v>
      </c>
      <c r="P441" s="26">
        <v>0.98214285714285698</v>
      </c>
      <c r="Q441" s="26">
        <v>0.98625429553264599</v>
      </c>
      <c r="R441" s="26">
        <v>0.97948350071736001</v>
      </c>
      <c r="S441" s="28">
        <v>0.9</v>
      </c>
      <c r="T441" s="26">
        <v>0.90937198067632896</v>
      </c>
      <c r="U441" s="26">
        <v>0.92884615384615399</v>
      </c>
      <c r="V441" s="26">
        <v>0.91310751104565502</v>
      </c>
      <c r="W441" s="26">
        <v>0.91865136298421801</v>
      </c>
      <c r="X441" s="28">
        <v>0.92</v>
      </c>
      <c r="Y441" s="28">
        <v>0.936298310351525</v>
      </c>
      <c r="Z441" s="28">
        <v>0.95667808219178097</v>
      </c>
      <c r="AA441" s="28">
        <v>0.94242068155111602</v>
      </c>
      <c r="AB441" s="28">
        <v>0.93973545474634601</v>
      </c>
      <c r="AC441" s="28">
        <v>0.92</v>
      </c>
      <c r="AD441" s="26">
        <v>0.99430199430199395</v>
      </c>
      <c r="AE441" s="26">
        <v>0.97422680412371099</v>
      </c>
      <c r="AF441" s="26">
        <v>0.82519280205655499</v>
      </c>
      <c r="AG441" s="26">
        <v>0.89083991805677498</v>
      </c>
      <c r="AH441" s="28">
        <v>0.92</v>
      </c>
      <c r="AI441" s="26">
        <v>0.95196125907990303</v>
      </c>
      <c r="AJ441" s="26">
        <v>0.97509140767824498</v>
      </c>
      <c r="AK441" s="26">
        <v>0.95241663544398603</v>
      </c>
      <c r="AL441" s="26">
        <v>0.959008691566831</v>
      </c>
      <c r="AM441" s="25">
        <v>0.99</v>
      </c>
      <c r="AN441" s="30">
        <v>1</v>
      </c>
      <c r="AO441" s="30">
        <v>1</v>
      </c>
      <c r="AP441" s="30">
        <v>1</v>
      </c>
      <c r="AQ441" s="30">
        <v>1</v>
      </c>
      <c r="AR441" s="50">
        <v>0.05</v>
      </c>
      <c r="AS441" s="34">
        <v>0</v>
      </c>
      <c r="AT441" s="34">
        <v>2.27272727272727E-2</v>
      </c>
      <c r="AU441" s="34">
        <v>7.8947368421052599E-2</v>
      </c>
      <c r="AV441" s="34">
        <v>3.8961038961039002E-2</v>
      </c>
      <c r="AW441" s="10"/>
      <c r="AX441" s="8"/>
    </row>
    <row r="442" spans="1:50">
      <c r="A442" s="7"/>
      <c r="B442" s="10"/>
      <c r="C442" s="45" t="s">
        <v>396</v>
      </c>
      <c r="D442" s="23" t="s">
        <v>19</v>
      </c>
      <c r="E442" s="63" t="s">
        <v>488</v>
      </c>
      <c r="F442" s="63" t="s">
        <v>488</v>
      </c>
      <c r="G442" s="63" t="s">
        <v>488</v>
      </c>
      <c r="H442" s="63" t="s">
        <v>488</v>
      </c>
      <c r="I442" s="25">
        <v>0.9</v>
      </c>
      <c r="J442" s="26">
        <v>0.9</v>
      </c>
      <c r="K442" s="26">
        <v>0.9</v>
      </c>
      <c r="L442" s="27">
        <v>0.9375</v>
      </c>
      <c r="M442" s="26">
        <v>0.86666666666666703</v>
      </c>
      <c r="N442" s="28">
        <v>0.9</v>
      </c>
      <c r="O442" s="26">
        <v>0.94638694638694598</v>
      </c>
      <c r="P442" s="26">
        <v>0.98420827998292804</v>
      </c>
      <c r="Q442" s="26">
        <v>0.97472527472527504</v>
      </c>
      <c r="R442" s="26">
        <v>0.97077616989287696</v>
      </c>
      <c r="S442" s="28">
        <v>0.9</v>
      </c>
      <c r="T442" s="26">
        <v>0.89790209790209796</v>
      </c>
      <c r="U442" s="26">
        <v>0.93768672641912099</v>
      </c>
      <c r="V442" s="26">
        <v>0.95604395604395598</v>
      </c>
      <c r="W442" s="26">
        <v>0.93741777861304298</v>
      </c>
      <c r="X442" s="28">
        <v>0.92</v>
      </c>
      <c r="Y442" s="28">
        <v>0</v>
      </c>
      <c r="Z442" s="28">
        <v>0</v>
      </c>
      <c r="AA442" s="28">
        <v>0</v>
      </c>
      <c r="AB442" s="28">
        <v>0</v>
      </c>
      <c r="AC442" s="28">
        <v>0.92</v>
      </c>
      <c r="AD442" s="26">
        <v>1</v>
      </c>
      <c r="AE442" s="26">
        <v>1</v>
      </c>
      <c r="AF442" s="26">
        <v>0.96103896103896103</v>
      </c>
      <c r="AG442" s="26">
        <v>0.97117516629711798</v>
      </c>
      <c r="AH442" s="28">
        <v>0.92</v>
      </c>
      <c r="AI442" s="26">
        <v>0.94038192827200795</v>
      </c>
      <c r="AJ442" s="26">
        <v>0.99061032863849796</v>
      </c>
      <c r="AK442" s="26">
        <v>0.98791208791208796</v>
      </c>
      <c r="AL442" s="26">
        <v>0.97811590119282399</v>
      </c>
      <c r="AM442" s="25">
        <v>0.99</v>
      </c>
      <c r="AN442" s="30">
        <v>1</v>
      </c>
      <c r="AO442" s="30">
        <v>1</v>
      </c>
      <c r="AP442" s="30">
        <v>1</v>
      </c>
      <c r="AQ442" s="30">
        <v>1</v>
      </c>
      <c r="AR442" s="50">
        <v>0.05</v>
      </c>
      <c r="AS442" s="34">
        <v>0.16666666666666699</v>
      </c>
      <c r="AT442" s="34">
        <v>0.125</v>
      </c>
      <c r="AU442" s="34">
        <v>0</v>
      </c>
      <c r="AV442" s="34">
        <v>6.6666666666666693E-2</v>
      </c>
      <c r="AW442" s="10"/>
      <c r="AX442" s="8"/>
    </row>
    <row r="443" spans="1:50">
      <c r="A443" s="7"/>
      <c r="B443" s="10"/>
      <c r="C443" s="45" t="s">
        <v>396</v>
      </c>
      <c r="D443" s="23" t="s">
        <v>19</v>
      </c>
      <c r="E443" s="46" t="s">
        <v>489</v>
      </c>
      <c r="F443" s="46" t="s">
        <v>489</v>
      </c>
      <c r="G443" s="46" t="s">
        <v>489</v>
      </c>
      <c r="H443" s="46" t="s">
        <v>489</v>
      </c>
      <c r="I443" s="25">
        <v>0.9</v>
      </c>
      <c r="J443" s="26">
        <v>0.95161290322580605</v>
      </c>
      <c r="K443" s="26">
        <v>0.9375</v>
      </c>
      <c r="L443" s="27">
        <v>0.90163934426229497</v>
      </c>
      <c r="M443" s="26">
        <v>0.89398280802292296</v>
      </c>
      <c r="N443" s="28">
        <v>0.9</v>
      </c>
      <c r="O443" s="26">
        <v>0.93726355611601497</v>
      </c>
      <c r="P443" s="26">
        <v>0.93029719905922603</v>
      </c>
      <c r="Q443" s="26">
        <v>0.93452002542911605</v>
      </c>
      <c r="R443" s="26">
        <v>0.92914194431766295</v>
      </c>
      <c r="S443" s="28">
        <v>0.9</v>
      </c>
      <c r="T443" s="26">
        <v>0.87767969735182805</v>
      </c>
      <c r="U443" s="26">
        <v>0.80885182809493295</v>
      </c>
      <c r="V443" s="26">
        <v>0.88811188811188801</v>
      </c>
      <c r="W443" s="26">
        <v>0.84196713829301695</v>
      </c>
      <c r="X443" s="28">
        <v>0.92</v>
      </c>
      <c r="Y443" s="28">
        <v>0.90546308151942001</v>
      </c>
      <c r="Z443" s="28">
        <v>0.89446064139941694</v>
      </c>
      <c r="AA443" s="28">
        <v>0.88087835211815002</v>
      </c>
      <c r="AB443" s="28">
        <v>0.879406307977737</v>
      </c>
      <c r="AC443" s="28">
        <v>0.92</v>
      </c>
      <c r="AD443" s="26">
        <v>0.99283154121863804</v>
      </c>
      <c r="AE443" s="26">
        <v>0.99582753824756598</v>
      </c>
      <c r="AF443" s="26">
        <v>0.99713876967095805</v>
      </c>
      <c r="AG443" s="26">
        <v>0.99612903225806404</v>
      </c>
      <c r="AH443" s="28">
        <v>0.92</v>
      </c>
      <c r="AI443" s="26">
        <v>0.93107833163784304</v>
      </c>
      <c r="AJ443" s="26">
        <v>0.931718734099929</v>
      </c>
      <c r="AK443" s="26">
        <v>0.90176846485361895</v>
      </c>
      <c r="AL443" s="26">
        <v>0.91308698123934096</v>
      </c>
      <c r="AM443" s="25">
        <v>0.99</v>
      </c>
      <c r="AN443" s="30">
        <v>1</v>
      </c>
      <c r="AO443" s="30">
        <v>1</v>
      </c>
      <c r="AP443" s="30">
        <v>1</v>
      </c>
      <c r="AQ443" s="30">
        <v>1</v>
      </c>
      <c r="AR443" s="50">
        <v>0.05</v>
      </c>
      <c r="AS443" s="34">
        <v>0.04</v>
      </c>
      <c r="AT443" s="34">
        <v>0</v>
      </c>
      <c r="AU443" s="34">
        <v>0</v>
      </c>
      <c r="AV443" s="34">
        <v>1.2345679012345699E-2</v>
      </c>
      <c r="AW443" s="10"/>
      <c r="AX443" s="8"/>
    </row>
    <row r="444" spans="1:50">
      <c r="A444" s="7"/>
      <c r="B444" s="10"/>
      <c r="C444" s="45" t="s">
        <v>396</v>
      </c>
      <c r="D444" s="23" t="s">
        <v>19</v>
      </c>
      <c r="E444" s="46" t="s">
        <v>490</v>
      </c>
      <c r="F444" s="46" t="s">
        <v>490</v>
      </c>
      <c r="G444" s="46" t="s">
        <v>490</v>
      </c>
      <c r="H444" s="46" t="s">
        <v>490</v>
      </c>
      <c r="I444" s="25">
        <v>0.9</v>
      </c>
      <c r="J444" s="26">
        <v>0.86</v>
      </c>
      <c r="K444" s="26">
        <v>0.84905660377358505</v>
      </c>
      <c r="L444" s="27">
        <v>0.83333333333333304</v>
      </c>
      <c r="M444" s="26">
        <v>0.86734693877550995</v>
      </c>
      <c r="N444" s="28">
        <v>0.9</v>
      </c>
      <c r="O444" s="26">
        <v>0.92041728763040198</v>
      </c>
      <c r="P444" s="26">
        <v>0.96520108355907497</v>
      </c>
      <c r="Q444" s="26">
        <v>0.97780596068484504</v>
      </c>
      <c r="R444" s="26">
        <v>0.95068448851999598</v>
      </c>
      <c r="S444" s="28">
        <v>0.9</v>
      </c>
      <c r="T444" s="26">
        <v>0.87898658718330802</v>
      </c>
      <c r="U444" s="26">
        <v>0.905396957699521</v>
      </c>
      <c r="V444" s="26">
        <v>0.889029803424223</v>
      </c>
      <c r="W444" s="26">
        <v>0.89802737954080003</v>
      </c>
      <c r="X444" s="28">
        <v>0.92</v>
      </c>
      <c r="Y444" s="28">
        <v>0.95060987802439501</v>
      </c>
      <c r="Z444" s="28">
        <v>0.96808905380333998</v>
      </c>
      <c r="AA444" s="28">
        <v>0.96133974701585601</v>
      </c>
      <c r="AB444" s="28">
        <v>0.95348920094090805</v>
      </c>
      <c r="AC444" s="28">
        <v>0.92</v>
      </c>
      <c r="AD444" s="26">
        <v>0.99383350462487197</v>
      </c>
      <c r="AE444" s="26">
        <v>0.99707773232028096</v>
      </c>
      <c r="AF444" s="26">
        <v>0.99661016949152503</v>
      </c>
      <c r="AG444" s="26">
        <v>0.99469826914080794</v>
      </c>
      <c r="AH444" s="28">
        <v>0.92</v>
      </c>
      <c r="AI444" s="26">
        <v>0.95667783628530401</v>
      </c>
      <c r="AJ444" s="26">
        <v>0.97694722385717103</v>
      </c>
      <c r="AK444" s="26">
        <v>0.96567060458651799</v>
      </c>
      <c r="AL444" s="26">
        <v>0.96391354689309094</v>
      </c>
      <c r="AM444" s="25">
        <v>0.99</v>
      </c>
      <c r="AN444" s="30">
        <v>1</v>
      </c>
      <c r="AO444" s="30">
        <v>1</v>
      </c>
      <c r="AP444" s="30">
        <v>1</v>
      </c>
      <c r="AQ444" s="30">
        <v>1</v>
      </c>
      <c r="AR444" s="50">
        <v>0.05</v>
      </c>
      <c r="AS444" s="34">
        <v>3.8461538461538498E-2</v>
      </c>
      <c r="AT444" s="34">
        <v>8.8235294117647106E-2</v>
      </c>
      <c r="AU444" s="34">
        <v>2.5641025641025599E-2</v>
      </c>
      <c r="AV444" s="34">
        <v>4.3668122270742397E-2</v>
      </c>
      <c r="AW444" s="10"/>
      <c r="AX444" s="8"/>
    </row>
    <row r="445" spans="1:50">
      <c r="A445" s="7"/>
      <c r="B445" s="10"/>
      <c r="C445" s="45" t="s">
        <v>396</v>
      </c>
      <c r="D445" s="23" t="s">
        <v>19</v>
      </c>
      <c r="E445" s="46" t="s">
        <v>491</v>
      </c>
      <c r="F445" s="46" t="s">
        <v>491</v>
      </c>
      <c r="G445" s="46" t="s">
        <v>491</v>
      </c>
      <c r="H445" s="46" t="s">
        <v>491</v>
      </c>
      <c r="I445" s="25">
        <v>0.9</v>
      </c>
      <c r="J445" s="26">
        <v>0.98113207547169801</v>
      </c>
      <c r="K445" s="26">
        <v>0.94444444444444398</v>
      </c>
      <c r="L445" s="27">
        <v>0.88461538461538503</v>
      </c>
      <c r="M445" s="26">
        <v>0.912337662337662</v>
      </c>
      <c r="N445" s="28">
        <v>0.9</v>
      </c>
      <c r="O445" s="26">
        <v>0.97098084735925705</v>
      </c>
      <c r="P445" s="26">
        <v>0.97945751894694899</v>
      </c>
      <c r="Q445" s="26">
        <v>0.97725980670835699</v>
      </c>
      <c r="R445" s="26">
        <v>0.97722167075910304</v>
      </c>
      <c r="S445" s="28">
        <v>0.9</v>
      </c>
      <c r="T445" s="26">
        <v>0.879570516540917</v>
      </c>
      <c r="U445" s="26">
        <v>0.87873952931791</v>
      </c>
      <c r="V445" s="26">
        <v>0.90733371233655502</v>
      </c>
      <c r="W445" s="26">
        <v>0.89739303066715403</v>
      </c>
      <c r="X445" s="28">
        <v>0.92</v>
      </c>
      <c r="Y445" s="28">
        <v>0.96351242983159602</v>
      </c>
      <c r="Z445" s="28">
        <v>0.94833153928955904</v>
      </c>
      <c r="AA445" s="28">
        <v>0.96083788706739504</v>
      </c>
      <c r="AB445" s="28">
        <v>0.959228455140683</v>
      </c>
      <c r="AC445" s="28">
        <v>0.92</v>
      </c>
      <c r="AD445" s="26">
        <v>0.96350364963503699</v>
      </c>
      <c r="AE445" s="26">
        <v>0.94405594405594395</v>
      </c>
      <c r="AF445" s="26">
        <v>0.95266272189349099</v>
      </c>
      <c r="AG445" s="26">
        <v>0.95921052631578996</v>
      </c>
      <c r="AH445" s="28">
        <v>0.92</v>
      </c>
      <c r="AI445" s="26">
        <v>0.96918335901386798</v>
      </c>
      <c r="AJ445" s="26">
        <v>0.96612248749646101</v>
      </c>
      <c r="AK445" s="26">
        <v>0.96588720770288905</v>
      </c>
      <c r="AL445" s="26">
        <v>0.96954635440798598</v>
      </c>
      <c r="AM445" s="25">
        <v>0.99</v>
      </c>
      <c r="AN445" s="30">
        <v>1</v>
      </c>
      <c r="AO445" s="30">
        <v>1</v>
      </c>
      <c r="AP445" s="30">
        <v>1</v>
      </c>
      <c r="AQ445" s="30">
        <v>1</v>
      </c>
      <c r="AR445" s="50">
        <v>0.05</v>
      </c>
      <c r="AS445" s="34">
        <v>0</v>
      </c>
      <c r="AT445" s="34">
        <v>4.3478260869565202E-2</v>
      </c>
      <c r="AU445" s="34">
        <v>0</v>
      </c>
      <c r="AV445" s="34">
        <v>3.2467532467532499E-2</v>
      </c>
      <c r="AW445" s="10"/>
      <c r="AX445" s="8"/>
    </row>
    <row r="446" spans="1:50">
      <c r="A446" s="7"/>
      <c r="B446" s="10"/>
      <c r="C446" s="45" t="s">
        <v>396</v>
      </c>
      <c r="D446" s="23" t="s">
        <v>19</v>
      </c>
      <c r="E446" s="46" t="s">
        <v>492</v>
      </c>
      <c r="F446" s="46" t="s">
        <v>492</v>
      </c>
      <c r="G446" s="46" t="s">
        <v>492</v>
      </c>
      <c r="H446" s="46" t="s">
        <v>492</v>
      </c>
      <c r="I446" s="25">
        <v>0.9</v>
      </c>
      <c r="J446" s="26">
        <v>0.91954022988505701</v>
      </c>
      <c r="K446" s="26">
        <v>0.95402298850574696</v>
      </c>
      <c r="L446" s="27">
        <v>0.97333333333333305</v>
      </c>
      <c r="M446" s="26">
        <v>0.93723849372384904</v>
      </c>
      <c r="N446" s="28">
        <v>0.9</v>
      </c>
      <c r="O446" s="26">
        <v>0.97574626865671599</v>
      </c>
      <c r="P446" s="26">
        <v>0.98535114174924598</v>
      </c>
      <c r="Q446" s="26">
        <v>0.984076433121019</v>
      </c>
      <c r="R446" s="26">
        <v>0.98255627867278394</v>
      </c>
      <c r="S446" s="28">
        <v>0.9</v>
      </c>
      <c r="T446" s="26">
        <v>0.89312366737739901</v>
      </c>
      <c r="U446" s="26">
        <v>0.917061611374408</v>
      </c>
      <c r="V446" s="26">
        <v>0.93448589626933598</v>
      </c>
      <c r="W446" s="26">
        <v>0.90627333831217305</v>
      </c>
      <c r="X446" s="28">
        <v>0.92</v>
      </c>
      <c r="Y446" s="28">
        <v>0.91179201485608197</v>
      </c>
      <c r="Z446" s="28">
        <v>0.93494924383675204</v>
      </c>
      <c r="AA446" s="28">
        <v>0.90373197625106005</v>
      </c>
      <c r="AB446" s="28">
        <v>0.90872289906971304</v>
      </c>
      <c r="AC446" s="28">
        <v>0.92</v>
      </c>
      <c r="AD446" s="26">
        <v>0.98887627695800195</v>
      </c>
      <c r="AE446" s="26">
        <v>0.99785663253155499</v>
      </c>
      <c r="AF446" s="26">
        <v>0.99517771030541202</v>
      </c>
      <c r="AG446" s="26">
        <v>0.99478087979454899</v>
      </c>
      <c r="AH446" s="28">
        <v>0.92</v>
      </c>
      <c r="AI446" s="26">
        <v>0.94220513456529797</v>
      </c>
      <c r="AJ446" s="26">
        <v>0.95681554218139597</v>
      </c>
      <c r="AK446" s="26">
        <v>0.92702312138728304</v>
      </c>
      <c r="AL446" s="26">
        <v>0.93690106627075198</v>
      </c>
      <c r="AM446" s="25">
        <v>0.99</v>
      </c>
      <c r="AN446" s="30">
        <v>1</v>
      </c>
      <c r="AO446" s="30">
        <v>1</v>
      </c>
      <c r="AP446" s="30">
        <v>1</v>
      </c>
      <c r="AQ446" s="30">
        <v>1</v>
      </c>
      <c r="AR446" s="50">
        <v>0.05</v>
      </c>
      <c r="AS446" s="34">
        <v>9.0909090909090898E-2</v>
      </c>
      <c r="AT446" s="34">
        <v>0</v>
      </c>
      <c r="AU446" s="34">
        <v>0</v>
      </c>
      <c r="AV446" s="34">
        <v>2.9850746268656699E-2</v>
      </c>
      <c r="AW446" s="10"/>
      <c r="AX446" s="8"/>
    </row>
    <row r="447" spans="1:50">
      <c r="A447" s="7"/>
      <c r="B447" s="10"/>
      <c r="C447" s="45" t="s">
        <v>396</v>
      </c>
      <c r="D447" s="23" t="s">
        <v>19</v>
      </c>
      <c r="E447" s="46" t="s">
        <v>493</v>
      </c>
      <c r="F447" s="46" t="s">
        <v>493</v>
      </c>
      <c r="G447" s="46" t="s">
        <v>493</v>
      </c>
      <c r="H447" s="46" t="s">
        <v>493</v>
      </c>
      <c r="I447" s="25">
        <v>0.9</v>
      </c>
      <c r="J447" s="26">
        <v>0.88059701492537301</v>
      </c>
      <c r="K447" s="26">
        <v>0.88059701492537301</v>
      </c>
      <c r="L447" s="27">
        <v>0.86885245901639296</v>
      </c>
      <c r="M447" s="26">
        <v>0.85872576177285298</v>
      </c>
      <c r="N447" s="28">
        <v>0.9</v>
      </c>
      <c r="O447" s="26">
        <v>0.99360279150915998</v>
      </c>
      <c r="P447" s="26">
        <v>0.98392596200681903</v>
      </c>
      <c r="Q447" s="26">
        <v>0.99568418380299595</v>
      </c>
      <c r="R447" s="26">
        <v>0.98811675154701295</v>
      </c>
      <c r="S447" s="28">
        <v>0.9</v>
      </c>
      <c r="T447" s="26">
        <v>0.89953474847339299</v>
      </c>
      <c r="U447" s="26">
        <v>0.87883584997564501</v>
      </c>
      <c r="V447" s="26">
        <v>0.92409240924092395</v>
      </c>
      <c r="W447" s="26">
        <v>0.88642462077651796</v>
      </c>
      <c r="X447" s="28">
        <v>0.92</v>
      </c>
      <c r="Y447" s="28">
        <v>0.66666666666666696</v>
      </c>
      <c r="Z447" s="28">
        <v>0</v>
      </c>
      <c r="AA447" s="28">
        <v>0</v>
      </c>
      <c r="AB447" s="28">
        <v>0.66666666666666696</v>
      </c>
      <c r="AC447" s="28">
        <v>0.92</v>
      </c>
      <c r="AD447" s="26">
        <v>0.99652777777777801</v>
      </c>
      <c r="AE447" s="26">
        <v>0.99076923076923096</v>
      </c>
      <c r="AF447" s="26">
        <v>0.98927613941018799</v>
      </c>
      <c r="AG447" s="26">
        <v>0.98982737361282402</v>
      </c>
      <c r="AH447" s="28">
        <v>0.92</v>
      </c>
      <c r="AI447" s="26">
        <v>0.97994768962510903</v>
      </c>
      <c r="AJ447" s="26">
        <v>0.98051631758402302</v>
      </c>
      <c r="AK447" s="26">
        <v>0.98654480832698699</v>
      </c>
      <c r="AL447" s="26">
        <v>0.97949630440733604</v>
      </c>
      <c r="AM447" s="25">
        <v>0.99</v>
      </c>
      <c r="AN447" s="30">
        <v>1</v>
      </c>
      <c r="AO447" s="30">
        <v>1</v>
      </c>
      <c r="AP447" s="30">
        <v>1</v>
      </c>
      <c r="AQ447" s="30">
        <v>1</v>
      </c>
      <c r="AR447" s="50">
        <v>0.05</v>
      </c>
      <c r="AS447" s="34">
        <v>0</v>
      </c>
      <c r="AT447" s="34">
        <v>0</v>
      </c>
      <c r="AU447" s="34">
        <v>0</v>
      </c>
      <c r="AV447" s="34">
        <v>-8.4745762711864406E-3</v>
      </c>
      <c r="AW447" s="10"/>
      <c r="AX447" s="8"/>
    </row>
    <row r="448" spans="1:50">
      <c r="A448" s="7"/>
      <c r="B448" s="10"/>
      <c r="C448" s="45" t="s">
        <v>396</v>
      </c>
      <c r="D448" s="23" t="s">
        <v>19</v>
      </c>
      <c r="E448" s="46" t="s">
        <v>494</v>
      </c>
      <c r="F448" s="46" t="s">
        <v>494</v>
      </c>
      <c r="G448" s="46" t="s">
        <v>494</v>
      </c>
      <c r="H448" s="46" t="s">
        <v>494</v>
      </c>
      <c r="I448" s="25">
        <v>0.9</v>
      </c>
      <c r="J448" s="26">
        <v>0.94736842105263197</v>
      </c>
      <c r="K448" s="26">
        <v>0.91228070175438603</v>
      </c>
      <c r="L448" s="27">
        <v>0.93617021276595702</v>
      </c>
      <c r="M448" s="26">
        <v>0.94098360655737701</v>
      </c>
      <c r="N448" s="28">
        <v>0.9</v>
      </c>
      <c r="O448" s="26">
        <v>0.97218045112782003</v>
      </c>
      <c r="P448" s="26">
        <v>0.91979949874686695</v>
      </c>
      <c r="Q448" s="26">
        <v>0.94798206278026897</v>
      </c>
      <c r="R448" s="26">
        <v>0.95111925790146101</v>
      </c>
      <c r="S448" s="28">
        <v>0.9</v>
      </c>
      <c r="T448" s="26">
        <v>0.94937343358395998</v>
      </c>
      <c r="U448" s="26">
        <v>0.92822966507176996</v>
      </c>
      <c r="V448" s="26">
        <v>0.92780269058296005</v>
      </c>
      <c r="W448" s="26">
        <v>0.93617730378270303</v>
      </c>
      <c r="X448" s="28">
        <v>0.92</v>
      </c>
      <c r="Y448" s="28">
        <v>0.96214590122837795</v>
      </c>
      <c r="Z448" s="28">
        <v>0.93921695868483701</v>
      </c>
      <c r="AA448" s="28">
        <v>0.91640440597954398</v>
      </c>
      <c r="AB448" s="28">
        <v>0.93053221288515398</v>
      </c>
      <c r="AC448" s="28">
        <v>0.92</v>
      </c>
      <c r="AD448" s="26">
        <v>0.99771573604060904</v>
      </c>
      <c r="AE448" s="26">
        <v>0.99827919982792002</v>
      </c>
      <c r="AF448" s="26">
        <v>0.993814097346573</v>
      </c>
      <c r="AG448" s="26">
        <v>0.99409940563356003</v>
      </c>
      <c r="AH448" s="28">
        <v>0.92</v>
      </c>
      <c r="AI448" s="26">
        <v>0.97193334168650503</v>
      </c>
      <c r="AJ448" s="26">
        <v>0.96061244868523199</v>
      </c>
      <c r="AK448" s="26">
        <v>0.93057263905972398</v>
      </c>
      <c r="AL448" s="26">
        <v>0.95089628234637602</v>
      </c>
      <c r="AM448" s="25">
        <v>0.99</v>
      </c>
      <c r="AN448" s="30">
        <v>1</v>
      </c>
      <c r="AO448" s="30">
        <v>1</v>
      </c>
      <c r="AP448" s="30">
        <v>1</v>
      </c>
      <c r="AQ448" s="30">
        <v>1</v>
      </c>
      <c r="AR448" s="50">
        <v>0.05</v>
      </c>
      <c r="AS448" s="34">
        <v>4.7619047619047603E-2</v>
      </c>
      <c r="AT448" s="34">
        <v>0</v>
      </c>
      <c r="AU448" s="34">
        <v>0</v>
      </c>
      <c r="AV448" s="34">
        <v>2.8455284552845499E-2</v>
      </c>
      <c r="AW448" s="10"/>
      <c r="AX448" s="8"/>
    </row>
    <row r="449" spans="1:50">
      <c r="A449" s="7"/>
      <c r="B449" s="10"/>
      <c r="C449" s="45" t="s">
        <v>396</v>
      </c>
      <c r="D449" s="23" t="s">
        <v>19</v>
      </c>
      <c r="E449" s="46" t="s">
        <v>495</v>
      </c>
      <c r="F449" s="46" t="s">
        <v>495</v>
      </c>
      <c r="G449" s="46" t="s">
        <v>495</v>
      </c>
      <c r="H449" s="46" t="s">
        <v>495</v>
      </c>
      <c r="I449" s="25">
        <v>0.9</v>
      </c>
      <c r="J449" s="26">
        <v>0.94117647058823495</v>
      </c>
      <c r="K449" s="26">
        <v>1</v>
      </c>
      <c r="L449" s="27">
        <v>0.9375</v>
      </c>
      <c r="M449" s="26">
        <v>0.94230769230769196</v>
      </c>
      <c r="N449" s="28">
        <v>0.9</v>
      </c>
      <c r="O449" s="26">
        <v>0.98713673177703698</v>
      </c>
      <c r="P449" s="26">
        <v>0.99031986531986504</v>
      </c>
      <c r="Q449" s="26">
        <v>0.94365012615643395</v>
      </c>
      <c r="R449" s="26">
        <v>0.98139143444922405</v>
      </c>
      <c r="S449" s="28">
        <v>0.9</v>
      </c>
      <c r="T449" s="26">
        <v>0.93663649356836598</v>
      </c>
      <c r="U449" s="26">
        <v>0.95791245791245805</v>
      </c>
      <c r="V449" s="26">
        <v>0.91757779646762005</v>
      </c>
      <c r="W449" s="26">
        <v>0.95305778941462505</v>
      </c>
      <c r="X449" s="28">
        <v>0.92</v>
      </c>
      <c r="Y449" s="28">
        <v>0</v>
      </c>
      <c r="Z449" s="28">
        <v>0</v>
      </c>
      <c r="AA449" s="28">
        <v>0</v>
      </c>
      <c r="AB449" s="28">
        <v>0.5</v>
      </c>
      <c r="AC449" s="28">
        <v>0.92</v>
      </c>
      <c r="AD449" s="26">
        <v>0.993506493506494</v>
      </c>
      <c r="AE449" s="26">
        <v>1</v>
      </c>
      <c r="AF449" s="26">
        <v>1</v>
      </c>
      <c r="AG449" s="26">
        <v>0.99409681227863</v>
      </c>
      <c r="AH449" s="28">
        <v>0.92</v>
      </c>
      <c r="AI449" s="26">
        <v>0.98380952380952402</v>
      </c>
      <c r="AJ449" s="26">
        <v>0.99242424242424199</v>
      </c>
      <c r="AK449" s="26">
        <v>0.97729184188393603</v>
      </c>
      <c r="AL449" s="26">
        <v>0.98887434554973797</v>
      </c>
      <c r="AM449" s="25">
        <v>0.99</v>
      </c>
      <c r="AN449" s="30">
        <v>1</v>
      </c>
      <c r="AO449" s="30">
        <v>1</v>
      </c>
      <c r="AP449" s="30">
        <v>1</v>
      </c>
      <c r="AQ449" s="30">
        <v>1</v>
      </c>
      <c r="AR449" s="50">
        <v>0.05</v>
      </c>
      <c r="AS449" s="34">
        <v>0</v>
      </c>
      <c r="AT449" s="34">
        <v>0</v>
      </c>
      <c r="AU449" s="34">
        <v>0</v>
      </c>
      <c r="AV449" s="34">
        <v>0.05</v>
      </c>
      <c r="AW449" s="10"/>
      <c r="AX449" s="8"/>
    </row>
    <row r="450" spans="1:50">
      <c r="A450" s="7"/>
      <c r="B450" s="10"/>
      <c r="C450" s="45" t="s">
        <v>396</v>
      </c>
      <c r="D450" s="23" t="s">
        <v>19</v>
      </c>
      <c r="E450" s="46" t="s">
        <v>496</v>
      </c>
      <c r="F450" s="46" t="s">
        <v>496</v>
      </c>
      <c r="G450" s="46" t="s">
        <v>496</v>
      </c>
      <c r="H450" s="46" t="s">
        <v>496</v>
      </c>
      <c r="I450" s="25">
        <v>0.9</v>
      </c>
      <c r="J450" s="26">
        <v>0.95</v>
      </c>
      <c r="K450" s="26">
        <v>0.93023255813953498</v>
      </c>
      <c r="L450" s="27">
        <v>0.91428571428571404</v>
      </c>
      <c r="M450" s="26">
        <v>0.90517241379310298</v>
      </c>
      <c r="N450" s="28">
        <v>0.9</v>
      </c>
      <c r="O450" s="26">
        <v>0.98182492581602399</v>
      </c>
      <c r="P450" s="26">
        <v>0.97955872809863698</v>
      </c>
      <c r="Q450" s="26">
        <v>0.96693386773547096</v>
      </c>
      <c r="R450" s="26">
        <v>0.97554803065407203</v>
      </c>
      <c r="S450" s="28">
        <v>0.9</v>
      </c>
      <c r="T450" s="26">
        <v>0.93156528189911003</v>
      </c>
      <c r="U450" s="26">
        <v>0.94094743672939696</v>
      </c>
      <c r="V450" s="26">
        <v>0.93653974615898505</v>
      </c>
      <c r="W450" s="26">
        <v>0.93608982356086301</v>
      </c>
      <c r="X450" s="28">
        <v>0.92</v>
      </c>
      <c r="Y450" s="28">
        <v>0</v>
      </c>
      <c r="Z450" s="28">
        <v>0</v>
      </c>
      <c r="AA450" s="28">
        <v>0.5</v>
      </c>
      <c r="AB450" s="28">
        <v>0.2</v>
      </c>
      <c r="AC450" s="28">
        <v>0.92</v>
      </c>
      <c r="AD450" s="26">
        <v>0.99868131868131904</v>
      </c>
      <c r="AE450" s="26">
        <v>0.99632052330335197</v>
      </c>
      <c r="AF450" s="26">
        <v>0.99433427762039694</v>
      </c>
      <c r="AG450" s="26">
        <v>0.99666511038484595</v>
      </c>
      <c r="AH450" s="28">
        <v>0.92</v>
      </c>
      <c r="AI450" s="26">
        <v>0.972577357791366</v>
      </c>
      <c r="AJ450" s="26">
        <v>0.978430100551411</v>
      </c>
      <c r="AK450" s="26">
        <v>0.96429763096429799</v>
      </c>
      <c r="AL450" s="26">
        <v>0.96907289959381504</v>
      </c>
      <c r="AM450" s="25">
        <v>0.99</v>
      </c>
      <c r="AN450" s="30">
        <v>1</v>
      </c>
      <c r="AO450" s="30">
        <v>1</v>
      </c>
      <c r="AP450" s="30">
        <v>1</v>
      </c>
      <c r="AQ450" s="30">
        <v>1</v>
      </c>
      <c r="AR450" s="50">
        <v>0.05</v>
      </c>
      <c r="AS450" s="34">
        <v>0</v>
      </c>
      <c r="AT450" s="34">
        <v>7.69230769230769E-2</v>
      </c>
      <c r="AU450" s="34">
        <v>0</v>
      </c>
      <c r="AV450" s="34">
        <v>3.7974683544303799E-2</v>
      </c>
      <c r="AW450" s="10"/>
      <c r="AX450" s="8"/>
    </row>
    <row r="451" spans="1:50">
      <c r="A451" s="7"/>
      <c r="B451" s="10"/>
      <c r="C451" s="45" t="s">
        <v>396</v>
      </c>
      <c r="D451" s="23" t="s">
        <v>19</v>
      </c>
      <c r="E451" s="46" t="s">
        <v>497</v>
      </c>
      <c r="F451" s="46" t="s">
        <v>497</v>
      </c>
      <c r="G451" s="46" t="s">
        <v>497</v>
      </c>
      <c r="H451" s="46" t="s">
        <v>497</v>
      </c>
      <c r="I451" s="25">
        <v>0.9</v>
      </c>
      <c r="J451" s="26">
        <v>0.98529411764705899</v>
      </c>
      <c r="K451" s="26">
        <v>0.98571428571428599</v>
      </c>
      <c r="L451" s="27">
        <v>0.984375</v>
      </c>
      <c r="M451" s="26">
        <v>0.99009900990098998</v>
      </c>
      <c r="N451" s="28">
        <v>0.9</v>
      </c>
      <c r="O451" s="26">
        <v>0.98994648937895202</v>
      </c>
      <c r="P451" s="26">
        <v>0.98549908489370697</v>
      </c>
      <c r="Q451" s="26">
        <v>0.98910550458715596</v>
      </c>
      <c r="R451" s="26">
        <v>0.98881678427419395</v>
      </c>
      <c r="S451" s="28">
        <v>0.9</v>
      </c>
      <c r="T451" s="26">
        <v>0.93643586833144199</v>
      </c>
      <c r="U451" s="26">
        <v>0.94199633957482798</v>
      </c>
      <c r="V451" s="26">
        <v>0.94667431192660501</v>
      </c>
      <c r="W451" s="26">
        <v>0.947265625</v>
      </c>
      <c r="X451" s="28">
        <v>0.92</v>
      </c>
      <c r="Y451" s="28">
        <v>0</v>
      </c>
      <c r="Z451" s="28">
        <v>1</v>
      </c>
      <c r="AA451" s="28">
        <v>0.66666666666666696</v>
      </c>
      <c r="AB451" s="28">
        <v>0.75</v>
      </c>
      <c r="AC451" s="28">
        <v>0.92</v>
      </c>
      <c r="AD451" s="26">
        <v>0.98860398860398901</v>
      </c>
      <c r="AE451" s="26">
        <v>0.97892271662763497</v>
      </c>
      <c r="AF451" s="26">
        <v>0.99189189189189197</v>
      </c>
      <c r="AG451" s="26">
        <v>0.986950848194867</v>
      </c>
      <c r="AH451" s="28">
        <v>0.92</v>
      </c>
      <c r="AI451" s="26">
        <v>0.97730956239870304</v>
      </c>
      <c r="AJ451" s="26">
        <v>0.98325358851674605</v>
      </c>
      <c r="AK451" s="26">
        <v>0.98224004583213997</v>
      </c>
      <c r="AL451" s="26">
        <v>0.98119921899603202</v>
      </c>
      <c r="AM451" s="25">
        <v>0.99</v>
      </c>
      <c r="AN451" s="30">
        <v>1</v>
      </c>
      <c r="AO451" s="30">
        <v>1</v>
      </c>
      <c r="AP451" s="30">
        <v>1</v>
      </c>
      <c r="AQ451" s="30">
        <v>1</v>
      </c>
      <c r="AR451" s="50">
        <v>0.05</v>
      </c>
      <c r="AS451" s="34">
        <v>0</v>
      </c>
      <c r="AT451" s="34">
        <v>0.25</v>
      </c>
      <c r="AU451" s="34">
        <v>0.375</v>
      </c>
      <c r="AV451" s="34">
        <v>9.375E-2</v>
      </c>
      <c r="AW451" s="10"/>
      <c r="AX451" s="8"/>
    </row>
    <row r="452" spans="1:50">
      <c r="A452" s="7"/>
      <c r="B452" s="10"/>
      <c r="C452" s="45" t="s">
        <v>396</v>
      </c>
      <c r="D452" s="23" t="s">
        <v>19</v>
      </c>
      <c r="E452" s="46" t="s">
        <v>498</v>
      </c>
      <c r="F452" s="46" t="s">
        <v>498</v>
      </c>
      <c r="G452" s="46" t="s">
        <v>498</v>
      </c>
      <c r="H452" s="46" t="s">
        <v>498</v>
      </c>
      <c r="I452" s="25">
        <v>0.9</v>
      </c>
      <c r="J452" s="26">
        <v>0.93902439024390205</v>
      </c>
      <c r="K452" s="26">
        <v>0.95454545454545503</v>
      </c>
      <c r="L452" s="27">
        <v>0.95945945945945899</v>
      </c>
      <c r="M452" s="26">
        <v>0.91379310344827602</v>
      </c>
      <c r="N452" s="28">
        <v>0.9</v>
      </c>
      <c r="O452" s="26">
        <v>0.957456683168317</v>
      </c>
      <c r="P452" s="26">
        <v>0.96285164703053605</v>
      </c>
      <c r="Q452" s="26">
        <v>0.94644167278063096</v>
      </c>
      <c r="R452" s="26">
        <v>0.95666896407059998</v>
      </c>
      <c r="S452" s="28">
        <v>0.9</v>
      </c>
      <c r="T452" s="26">
        <v>0.86432549504950495</v>
      </c>
      <c r="U452" s="26">
        <v>0.85837941812935803</v>
      </c>
      <c r="V452" s="26">
        <v>0.90926876987038396</v>
      </c>
      <c r="W452" s="26">
        <v>0.87165502981630805</v>
      </c>
      <c r="X452" s="28">
        <v>0.92</v>
      </c>
      <c r="Y452" s="28">
        <v>0.918430335097002</v>
      </c>
      <c r="Z452" s="28">
        <v>0.90327380952380998</v>
      </c>
      <c r="AA452" s="28">
        <v>0.86962207401595404</v>
      </c>
      <c r="AB452" s="28">
        <v>0.87982083206802297</v>
      </c>
      <c r="AC452" s="28">
        <v>0.92</v>
      </c>
      <c r="AD452" s="26">
        <v>0.98576108870967705</v>
      </c>
      <c r="AE452" s="26">
        <v>0.98747783687943302</v>
      </c>
      <c r="AF452" s="26">
        <v>0.96265351318703396</v>
      </c>
      <c r="AG452" s="26">
        <v>0.96523038801156402</v>
      </c>
      <c r="AH452" s="28">
        <v>0.92</v>
      </c>
      <c r="AI452" s="26">
        <v>0.94323144104803502</v>
      </c>
      <c r="AJ452" s="26">
        <v>0.94463535700649104</v>
      </c>
      <c r="AK452" s="26">
        <v>0.90476595744680899</v>
      </c>
      <c r="AL452" s="26">
        <v>0.92208379589654998</v>
      </c>
      <c r="AM452" s="25">
        <v>0.99</v>
      </c>
      <c r="AN452" s="30">
        <v>1</v>
      </c>
      <c r="AO452" s="30">
        <v>1</v>
      </c>
      <c r="AP452" s="30">
        <v>1</v>
      </c>
      <c r="AQ452" s="30">
        <v>1</v>
      </c>
      <c r="AR452" s="50">
        <v>0.05</v>
      </c>
      <c r="AS452" s="34">
        <v>4.6511627906976702E-2</v>
      </c>
      <c r="AT452" s="34">
        <v>3.125E-2</v>
      </c>
      <c r="AU452" s="34">
        <v>6.25E-2</v>
      </c>
      <c r="AV452" s="34">
        <v>3.3898305084745797E-2</v>
      </c>
      <c r="AW452" s="10"/>
      <c r="AX452" s="8"/>
    </row>
    <row r="453" spans="1:50">
      <c r="A453" s="7"/>
      <c r="B453" s="10"/>
      <c r="C453" s="45" t="s">
        <v>396</v>
      </c>
      <c r="D453" s="23" t="s">
        <v>19</v>
      </c>
      <c r="E453" s="46" t="s">
        <v>499</v>
      </c>
      <c r="F453" s="46" t="s">
        <v>499</v>
      </c>
      <c r="G453" s="46" t="s">
        <v>499</v>
      </c>
      <c r="H453" s="46" t="s">
        <v>499</v>
      </c>
      <c r="I453" s="25">
        <v>0.9</v>
      </c>
      <c r="J453" s="26">
        <v>0.94642857142857095</v>
      </c>
      <c r="K453" s="26">
        <v>0.98360655737704905</v>
      </c>
      <c r="L453" s="27">
        <v>1</v>
      </c>
      <c r="M453" s="26">
        <v>0.98427672955974799</v>
      </c>
      <c r="N453" s="28">
        <v>0.9</v>
      </c>
      <c r="O453" s="26">
        <v>0.96676661669165398</v>
      </c>
      <c r="P453" s="26">
        <v>0.96455105073232905</v>
      </c>
      <c r="Q453" s="26">
        <v>0.96968488232947703</v>
      </c>
      <c r="R453" s="26">
        <v>0.96326364927948005</v>
      </c>
      <c r="S453" s="28">
        <v>0.9</v>
      </c>
      <c r="T453" s="26">
        <v>0.94152923538230904</v>
      </c>
      <c r="U453" s="26">
        <v>0.93653152196985801</v>
      </c>
      <c r="V453" s="26">
        <v>0.946150777822098</v>
      </c>
      <c r="W453" s="26">
        <v>0.93926324335295297</v>
      </c>
      <c r="X453" s="28">
        <v>0.92</v>
      </c>
      <c r="Y453" s="28">
        <v>0.94170731707317101</v>
      </c>
      <c r="Z453" s="28">
        <v>0.95931142410015602</v>
      </c>
      <c r="AA453" s="28">
        <v>0.92522278186749296</v>
      </c>
      <c r="AB453" s="28">
        <v>0.94080006439149999</v>
      </c>
      <c r="AC453" s="28">
        <v>0.92</v>
      </c>
      <c r="AD453" s="26">
        <v>0.99863174354964801</v>
      </c>
      <c r="AE453" s="26">
        <v>0.99327314568950298</v>
      </c>
      <c r="AF453" s="26">
        <v>0.99815958985145303</v>
      </c>
      <c r="AG453" s="26">
        <v>0.99620856152175996</v>
      </c>
      <c r="AH453" s="28">
        <v>0.92</v>
      </c>
      <c r="AI453" s="26">
        <v>0.958060934994449</v>
      </c>
      <c r="AJ453" s="26">
        <v>0.97202873313017002</v>
      </c>
      <c r="AK453" s="26">
        <v>0.94059405940594099</v>
      </c>
      <c r="AL453" s="26">
        <v>0.95749691600314002</v>
      </c>
      <c r="AM453" s="25">
        <v>0.99</v>
      </c>
      <c r="AN453" s="30">
        <v>1</v>
      </c>
      <c r="AO453" s="30">
        <v>1</v>
      </c>
      <c r="AP453" s="30">
        <v>1</v>
      </c>
      <c r="AQ453" s="30">
        <v>1</v>
      </c>
      <c r="AR453" s="50">
        <v>0.05</v>
      </c>
      <c r="AS453" s="34">
        <v>0</v>
      </c>
      <c r="AT453" s="34">
        <v>2.9411764705882401E-2</v>
      </c>
      <c r="AU453" s="34">
        <v>0</v>
      </c>
      <c r="AV453" s="34">
        <v>1.9704433497536901E-2</v>
      </c>
      <c r="AW453" s="10"/>
      <c r="AX453" s="8"/>
    </row>
    <row r="454" spans="1:50">
      <c r="A454" s="7"/>
      <c r="B454" s="10"/>
      <c r="C454" s="45" t="s">
        <v>396</v>
      </c>
      <c r="D454" s="23" t="s">
        <v>19</v>
      </c>
      <c r="E454" s="46" t="s">
        <v>500</v>
      </c>
      <c r="F454" s="46" t="s">
        <v>500</v>
      </c>
      <c r="G454" s="46" t="s">
        <v>500</v>
      </c>
      <c r="H454" s="46" t="s">
        <v>500</v>
      </c>
      <c r="I454" s="25">
        <v>0.9</v>
      </c>
      <c r="J454" s="26">
        <v>0.9375</v>
      </c>
      <c r="K454" s="26">
        <v>0.94</v>
      </c>
      <c r="L454" s="27">
        <v>0.90909090909090895</v>
      </c>
      <c r="M454" s="26">
        <v>0.93680297397769496</v>
      </c>
      <c r="N454" s="28">
        <v>0.9</v>
      </c>
      <c r="O454" s="26">
        <v>0.98435533177486101</v>
      </c>
      <c r="P454" s="26">
        <v>0.98936001270446206</v>
      </c>
      <c r="Q454" s="26">
        <v>0.98336594911937403</v>
      </c>
      <c r="R454" s="26">
        <v>0.97089864701200701</v>
      </c>
      <c r="S454" s="28">
        <v>0.9</v>
      </c>
      <c r="T454" s="26">
        <v>0.93004855241863005</v>
      </c>
      <c r="U454" s="26">
        <v>0.949499761791329</v>
      </c>
      <c r="V454" s="26">
        <v>0.96379647749510799</v>
      </c>
      <c r="W454" s="26">
        <v>0.94179729402401502</v>
      </c>
      <c r="X454" s="28">
        <v>0.92</v>
      </c>
      <c r="Y454" s="28">
        <v>1</v>
      </c>
      <c r="Z454" s="28">
        <v>0.5</v>
      </c>
      <c r="AA454" s="28">
        <v>1</v>
      </c>
      <c r="AB454" s="28">
        <v>0.90909090909090895</v>
      </c>
      <c r="AC454" s="28">
        <v>0.92</v>
      </c>
      <c r="AD454" s="26">
        <v>0.99652576722640396</v>
      </c>
      <c r="AE454" s="26">
        <v>0.99492900608519297</v>
      </c>
      <c r="AF454" s="26">
        <v>0.99812663919070799</v>
      </c>
      <c r="AG454" s="26">
        <v>0.99473573383870295</v>
      </c>
      <c r="AH454" s="28">
        <v>0.92</v>
      </c>
      <c r="AI454" s="26">
        <v>0.978256963162624</v>
      </c>
      <c r="AJ454" s="26">
        <v>0.98856961422447998</v>
      </c>
      <c r="AK454" s="26">
        <v>0.97848761408083396</v>
      </c>
      <c r="AL454" s="26">
        <v>0.98399142521264105</v>
      </c>
      <c r="AM454" s="25">
        <v>0.99</v>
      </c>
      <c r="AN454" s="30">
        <v>1</v>
      </c>
      <c r="AO454" s="30">
        <v>1</v>
      </c>
      <c r="AP454" s="30">
        <v>1</v>
      </c>
      <c r="AQ454" s="30">
        <v>1</v>
      </c>
      <c r="AR454" s="50">
        <v>0.05</v>
      </c>
      <c r="AS454" s="34">
        <v>5.8823529411764698E-2</v>
      </c>
      <c r="AT454" s="34">
        <v>0</v>
      </c>
      <c r="AU454" s="34">
        <v>0</v>
      </c>
      <c r="AV454" s="34">
        <v>1.1904761904761901E-2</v>
      </c>
      <c r="AW454" s="10"/>
      <c r="AX454" s="8"/>
    </row>
    <row r="455" spans="1:50">
      <c r="A455" s="7"/>
      <c r="B455" s="10"/>
      <c r="C455" s="45" t="s">
        <v>396</v>
      </c>
      <c r="D455" s="23" t="s">
        <v>19</v>
      </c>
      <c r="E455" s="46" t="s">
        <v>501</v>
      </c>
      <c r="F455" s="46" t="s">
        <v>501</v>
      </c>
      <c r="G455" s="46" t="s">
        <v>501</v>
      </c>
      <c r="H455" s="46" t="s">
        <v>501</v>
      </c>
      <c r="I455" s="25">
        <v>0.9</v>
      </c>
      <c r="J455" s="26">
        <v>1</v>
      </c>
      <c r="K455" s="26">
        <v>1</v>
      </c>
      <c r="L455" s="27">
        <v>0.97560975609756095</v>
      </c>
      <c r="M455" s="26">
        <v>0.98496240601503804</v>
      </c>
      <c r="N455" s="28">
        <v>0.9</v>
      </c>
      <c r="O455" s="26">
        <v>0.975828729281768</v>
      </c>
      <c r="P455" s="26">
        <v>0.99104180491041804</v>
      </c>
      <c r="Q455" s="26">
        <v>0.98949320148331299</v>
      </c>
      <c r="R455" s="26">
        <v>0.98416767189384802</v>
      </c>
      <c r="S455" s="28">
        <v>0.9</v>
      </c>
      <c r="T455" s="26">
        <v>0.95959944751381199</v>
      </c>
      <c r="U455" s="26">
        <v>0.96914399469143997</v>
      </c>
      <c r="V455" s="26">
        <v>0.95302843016069205</v>
      </c>
      <c r="W455" s="26">
        <v>0.95943908323281102</v>
      </c>
      <c r="X455" s="28">
        <v>0.92</v>
      </c>
      <c r="Y455" s="28">
        <v>0.97735969387755095</v>
      </c>
      <c r="Z455" s="28">
        <v>0.98571872089413204</v>
      </c>
      <c r="AA455" s="28">
        <v>0.97505907062221098</v>
      </c>
      <c r="AB455" s="28">
        <v>0.96600748262961</v>
      </c>
      <c r="AC455" s="28">
        <v>0.92</v>
      </c>
      <c r="AD455" s="26">
        <v>0.99909057839214299</v>
      </c>
      <c r="AE455" s="26">
        <v>0.99531772575250799</v>
      </c>
      <c r="AF455" s="26">
        <v>0.98857087037217894</v>
      </c>
      <c r="AG455" s="26">
        <v>0.99494809164161802</v>
      </c>
      <c r="AH455" s="28">
        <v>0.92</v>
      </c>
      <c r="AI455" s="26">
        <v>0.98062272275587903</v>
      </c>
      <c r="AJ455" s="26">
        <v>0.9905433563071</v>
      </c>
      <c r="AK455" s="26">
        <v>0.98160073597056097</v>
      </c>
      <c r="AL455" s="26">
        <v>0.97685459940652797</v>
      </c>
      <c r="AM455" s="25">
        <v>0.99</v>
      </c>
      <c r="AN455" s="30">
        <v>1</v>
      </c>
      <c r="AO455" s="30">
        <v>1</v>
      </c>
      <c r="AP455" s="30">
        <v>1</v>
      </c>
      <c r="AQ455" s="30">
        <v>1</v>
      </c>
      <c r="AR455" s="50">
        <v>0.05</v>
      </c>
      <c r="AS455" s="34">
        <v>0</v>
      </c>
      <c r="AT455" s="34">
        <v>0</v>
      </c>
      <c r="AU455" s="34">
        <v>0</v>
      </c>
      <c r="AV455" s="34">
        <v>1.3157894736842099E-2</v>
      </c>
      <c r="AW455" s="10"/>
      <c r="AX455" s="8"/>
    </row>
    <row r="456" spans="1:50">
      <c r="A456" s="7"/>
      <c r="B456" s="10"/>
      <c r="C456" s="45" t="s">
        <v>396</v>
      </c>
      <c r="D456" s="23" t="s">
        <v>19</v>
      </c>
      <c r="E456" s="46" t="s">
        <v>502</v>
      </c>
      <c r="F456" s="46" t="s">
        <v>502</v>
      </c>
      <c r="G456" s="46" t="s">
        <v>502</v>
      </c>
      <c r="H456" s="46" t="s">
        <v>502</v>
      </c>
      <c r="I456" s="25">
        <v>0.9</v>
      </c>
      <c r="J456" s="26">
        <v>1</v>
      </c>
      <c r="K456" s="26">
        <v>0.97499999999999998</v>
      </c>
      <c r="L456" s="27">
        <v>1</v>
      </c>
      <c r="M456" s="26">
        <v>0.995215311004785</v>
      </c>
      <c r="N456" s="28">
        <v>0.9</v>
      </c>
      <c r="O456" s="26">
        <v>0.99828067913174301</v>
      </c>
      <c r="P456" s="26">
        <v>0.99700809574093596</v>
      </c>
      <c r="Q456" s="26">
        <v>0.99494779386998999</v>
      </c>
      <c r="R456" s="26">
        <v>0.99497787875164401</v>
      </c>
      <c r="S456" s="28">
        <v>0.9</v>
      </c>
      <c r="T456" s="26">
        <v>0.96797764882871296</v>
      </c>
      <c r="U456" s="26">
        <v>0.980288630763816</v>
      </c>
      <c r="V456" s="26">
        <v>0.96126641966992299</v>
      </c>
      <c r="W456" s="26">
        <v>0.97333492765753904</v>
      </c>
      <c r="X456" s="28">
        <v>0.92</v>
      </c>
      <c r="Y456" s="28">
        <v>0</v>
      </c>
      <c r="Z456" s="28">
        <v>0</v>
      </c>
      <c r="AA456" s="28">
        <v>0</v>
      </c>
      <c r="AB456" s="28">
        <v>0.66666666666666696</v>
      </c>
      <c r="AC456" s="28">
        <v>0.92</v>
      </c>
      <c r="AD456" s="26">
        <v>0.99845877215515</v>
      </c>
      <c r="AE456" s="26">
        <v>0.99792638672887501</v>
      </c>
      <c r="AF456" s="26">
        <v>0.88023255813953505</v>
      </c>
      <c r="AG456" s="26">
        <v>0.96507739938080495</v>
      </c>
      <c r="AH456" s="28">
        <v>0.92</v>
      </c>
      <c r="AI456" s="26">
        <v>0.99505907626208401</v>
      </c>
      <c r="AJ456" s="26">
        <v>0.996833773087071</v>
      </c>
      <c r="AK456" s="26">
        <v>0.99865319865319901</v>
      </c>
      <c r="AL456" s="26">
        <v>0.99673332802167203</v>
      </c>
      <c r="AM456" s="25">
        <v>0.99</v>
      </c>
      <c r="AN456" s="30">
        <v>1</v>
      </c>
      <c r="AO456" s="30">
        <v>1</v>
      </c>
      <c r="AP456" s="30">
        <v>1</v>
      </c>
      <c r="AQ456" s="30">
        <v>1</v>
      </c>
      <c r="AR456" s="50">
        <v>0.05</v>
      </c>
      <c r="AS456" s="34">
        <v>0</v>
      </c>
      <c r="AT456" s="34">
        <v>0</v>
      </c>
      <c r="AU456" s="34">
        <v>0</v>
      </c>
      <c r="AV456" s="34">
        <v>0</v>
      </c>
      <c r="AW456" s="10"/>
      <c r="AX456" s="8"/>
    </row>
    <row r="457" spans="1:50">
      <c r="A457" s="7"/>
      <c r="B457" s="10"/>
      <c r="C457" s="45" t="s">
        <v>396</v>
      </c>
      <c r="D457" s="23" t="s">
        <v>19</v>
      </c>
      <c r="E457" s="46" t="s">
        <v>503</v>
      </c>
      <c r="F457" s="46" t="s">
        <v>503</v>
      </c>
      <c r="G457" s="46" t="s">
        <v>503</v>
      </c>
      <c r="H457" s="46" t="s">
        <v>503</v>
      </c>
      <c r="I457" s="25">
        <v>0.9</v>
      </c>
      <c r="J457" s="26">
        <v>0.91463414634146301</v>
      </c>
      <c r="K457" s="26">
        <v>0.93902439024390205</v>
      </c>
      <c r="L457" s="27">
        <v>0.90476190476190499</v>
      </c>
      <c r="M457" s="26">
        <v>0.92505854800936804</v>
      </c>
      <c r="N457" s="28">
        <v>0.9</v>
      </c>
      <c r="O457" s="26">
        <v>0.6</v>
      </c>
      <c r="P457" s="26">
        <v>0</v>
      </c>
      <c r="Q457" s="26">
        <v>0.6</v>
      </c>
      <c r="R457" s="26">
        <v>0.7</v>
      </c>
      <c r="S457" s="28">
        <v>0.9</v>
      </c>
      <c r="T457" s="26">
        <v>0.6</v>
      </c>
      <c r="U457" s="26">
        <v>1</v>
      </c>
      <c r="V457" s="26">
        <v>0.6</v>
      </c>
      <c r="W457" s="26">
        <v>0.7</v>
      </c>
      <c r="X457" s="28">
        <v>0.92</v>
      </c>
      <c r="Y457" s="28">
        <v>0</v>
      </c>
      <c r="Z457" s="28">
        <v>0</v>
      </c>
      <c r="AA457" s="28">
        <v>0</v>
      </c>
      <c r="AB457" s="28">
        <v>0</v>
      </c>
      <c r="AC457" s="28">
        <v>0.92</v>
      </c>
      <c r="AD457" s="26">
        <v>0.99654457498272297</v>
      </c>
      <c r="AE457" s="26">
        <v>0.99473684210526303</v>
      </c>
      <c r="AF457" s="26">
        <v>0.99515738498789297</v>
      </c>
      <c r="AG457" s="26">
        <v>0.99610336341263295</v>
      </c>
      <c r="AH457" s="28">
        <v>0.92</v>
      </c>
      <c r="AI457" s="26">
        <v>0.96657127991675296</v>
      </c>
      <c r="AJ457" s="26">
        <v>0.97069516360030805</v>
      </c>
      <c r="AK457" s="26">
        <v>0.97093531468531502</v>
      </c>
      <c r="AL457" s="26">
        <v>0.97090326591115605</v>
      </c>
      <c r="AM457" s="25">
        <v>0.99</v>
      </c>
      <c r="AN457" s="30">
        <v>1</v>
      </c>
      <c r="AO457" s="30">
        <v>1</v>
      </c>
      <c r="AP457" s="30">
        <v>1</v>
      </c>
      <c r="AQ457" s="30">
        <v>1</v>
      </c>
      <c r="AR457" s="50">
        <v>0.05</v>
      </c>
      <c r="AS457" s="34">
        <v>3.5714285714285698E-2</v>
      </c>
      <c r="AT457" s="34">
        <v>0</v>
      </c>
      <c r="AU457" s="34">
        <v>9.5238095238095205E-2</v>
      </c>
      <c r="AV457" s="34">
        <v>4.3478260869565202E-2</v>
      </c>
      <c r="AW457" s="10"/>
      <c r="AX457" s="8"/>
    </row>
    <row r="458" spans="1:50">
      <c r="A458" s="7"/>
      <c r="B458" s="10"/>
      <c r="C458" s="45" t="s">
        <v>396</v>
      </c>
      <c r="D458" s="23" t="s">
        <v>19</v>
      </c>
      <c r="E458" s="46" t="s">
        <v>504</v>
      </c>
      <c r="F458" s="46" t="s">
        <v>504</v>
      </c>
      <c r="G458" s="46" t="s">
        <v>504</v>
      </c>
      <c r="H458" s="46" t="s">
        <v>504</v>
      </c>
      <c r="I458" s="25">
        <v>0.9</v>
      </c>
      <c r="J458" s="26">
        <v>0.91891891891891897</v>
      </c>
      <c r="K458" s="26">
        <v>0.90666666666666695</v>
      </c>
      <c r="L458" s="27">
        <v>0.91935483870967705</v>
      </c>
      <c r="M458" s="26">
        <v>0.88725490196078405</v>
      </c>
      <c r="N458" s="28">
        <v>0.9</v>
      </c>
      <c r="O458" s="26">
        <v>0.96926079531593101</v>
      </c>
      <c r="P458" s="26">
        <v>0.96570028583095102</v>
      </c>
      <c r="Q458" s="26">
        <v>0.96264367816092</v>
      </c>
      <c r="R458" s="26">
        <v>0.96573648887318997</v>
      </c>
      <c r="S458" s="28">
        <v>0.9</v>
      </c>
      <c r="T458" s="26">
        <v>0.94266894364479104</v>
      </c>
      <c r="U458" s="26">
        <v>0.92200898325847302</v>
      </c>
      <c r="V458" s="26">
        <v>0.91091954022988497</v>
      </c>
      <c r="W458" s="26">
        <v>0.92244032901044604</v>
      </c>
      <c r="X458" s="28">
        <v>0.92</v>
      </c>
      <c r="Y458" s="28">
        <v>0.93410852713178305</v>
      </c>
      <c r="Z458" s="28">
        <v>0.94273743016759803</v>
      </c>
      <c r="AA458" s="28">
        <v>0.91748413156376196</v>
      </c>
      <c r="AB458" s="28">
        <v>0.91953050261240699</v>
      </c>
      <c r="AC458" s="28">
        <v>0.92</v>
      </c>
      <c r="AD458" s="26">
        <v>0.99906288070471405</v>
      </c>
      <c r="AE458" s="26">
        <v>0.99288895834961299</v>
      </c>
      <c r="AF458" s="26">
        <v>0.992464596596076</v>
      </c>
      <c r="AG458" s="26">
        <v>0.98936792975239296</v>
      </c>
      <c r="AH458" s="28">
        <v>0.92</v>
      </c>
      <c r="AI458" s="26">
        <v>0.952457142857143</v>
      </c>
      <c r="AJ458" s="26">
        <v>0.96045197740112997</v>
      </c>
      <c r="AK458" s="26">
        <v>0.93324607329842901</v>
      </c>
      <c r="AL458" s="26">
        <v>0.94174819225861295</v>
      </c>
      <c r="AM458" s="25">
        <v>0.99</v>
      </c>
      <c r="AN458" s="30">
        <v>1</v>
      </c>
      <c r="AO458" s="30">
        <v>1</v>
      </c>
      <c r="AP458" s="30">
        <v>1</v>
      </c>
      <c r="AQ458" s="30">
        <v>1</v>
      </c>
      <c r="AR458" s="50">
        <v>0.05</v>
      </c>
      <c r="AS458" s="34">
        <v>0</v>
      </c>
      <c r="AT458" s="34">
        <v>6.6666666666666693E-2</v>
      </c>
      <c r="AU458" s="34">
        <v>0</v>
      </c>
      <c r="AV458" s="34">
        <v>2.4691358024691398E-2</v>
      </c>
      <c r="AW458" s="10"/>
      <c r="AX458" s="8"/>
    </row>
    <row r="459" spans="1:50">
      <c r="A459" s="7"/>
      <c r="B459" s="10"/>
      <c r="C459" s="45" t="s">
        <v>396</v>
      </c>
      <c r="D459" s="23" t="s">
        <v>19</v>
      </c>
      <c r="E459" s="46" t="s">
        <v>505</v>
      </c>
      <c r="F459" s="46" t="s">
        <v>505</v>
      </c>
      <c r="G459" s="46" t="s">
        <v>505</v>
      </c>
      <c r="H459" s="46" t="s">
        <v>505</v>
      </c>
      <c r="I459" s="25">
        <v>0.9</v>
      </c>
      <c r="J459" s="26">
        <v>0.95081967213114704</v>
      </c>
      <c r="K459" s="26">
        <v>0.95161290322580605</v>
      </c>
      <c r="L459" s="27">
        <v>0.96296296296296302</v>
      </c>
      <c r="M459" s="26">
        <v>0.91940298507462703</v>
      </c>
      <c r="N459" s="28">
        <v>0.9</v>
      </c>
      <c r="O459" s="26">
        <v>0.96801732925586104</v>
      </c>
      <c r="P459" s="26">
        <v>0.96409666283083995</v>
      </c>
      <c r="Q459" s="26">
        <v>0.95906700205808404</v>
      </c>
      <c r="R459" s="26">
        <v>0.964216781796018</v>
      </c>
      <c r="S459" s="28">
        <v>0.9</v>
      </c>
      <c r="T459" s="26">
        <v>0.93654434250764496</v>
      </c>
      <c r="U459" s="26">
        <v>0.92658227848101304</v>
      </c>
      <c r="V459" s="26">
        <v>0.93116853418705703</v>
      </c>
      <c r="W459" s="26">
        <v>0.92703677366923998</v>
      </c>
      <c r="X459" s="28">
        <v>0.92</v>
      </c>
      <c r="Y459" s="28">
        <v>0</v>
      </c>
      <c r="Z459" s="28">
        <v>0</v>
      </c>
      <c r="AA459" s="28">
        <v>0</v>
      </c>
      <c r="AB459" s="28">
        <v>9.0909090909090898E-2</v>
      </c>
      <c r="AC459" s="28">
        <v>0.92</v>
      </c>
      <c r="AD459" s="26">
        <v>0.997588776852258</v>
      </c>
      <c r="AE459" s="26">
        <v>0.98330058939096299</v>
      </c>
      <c r="AF459" s="26">
        <v>0.97155301483598699</v>
      </c>
      <c r="AG459" s="26">
        <v>0.98500840817202795</v>
      </c>
      <c r="AH459" s="28">
        <v>0.92</v>
      </c>
      <c r="AI459" s="26">
        <v>0.96560071346668397</v>
      </c>
      <c r="AJ459" s="26">
        <v>0.97124784358826899</v>
      </c>
      <c r="AK459" s="26">
        <v>0.96274285714285701</v>
      </c>
      <c r="AL459" s="26">
        <v>0.96504100129477799</v>
      </c>
      <c r="AM459" s="25">
        <v>0.99</v>
      </c>
      <c r="AN459" s="30">
        <v>1</v>
      </c>
      <c r="AO459" s="30">
        <v>1</v>
      </c>
      <c r="AP459" s="30">
        <v>1</v>
      </c>
      <c r="AQ459" s="30">
        <v>1</v>
      </c>
      <c r="AR459" s="50">
        <v>0.05</v>
      </c>
      <c r="AS459" s="34">
        <v>0</v>
      </c>
      <c r="AT459" s="34">
        <v>3.125E-2</v>
      </c>
      <c r="AU459" s="34">
        <v>7.4074074074074098E-2</v>
      </c>
      <c r="AV459" s="34">
        <v>2.3121387283237E-2</v>
      </c>
      <c r="AW459" s="10"/>
      <c r="AX459" s="8"/>
    </row>
    <row r="460" spans="1:50">
      <c r="A460" s="7"/>
      <c r="B460" s="10"/>
      <c r="C460" s="45" t="s">
        <v>396</v>
      </c>
      <c r="D460" s="23" t="s">
        <v>19</v>
      </c>
      <c r="E460" s="46" t="s">
        <v>506</v>
      </c>
      <c r="F460" s="46" t="s">
        <v>506</v>
      </c>
      <c r="G460" s="46" t="s">
        <v>506</v>
      </c>
      <c r="H460" s="46" t="s">
        <v>506</v>
      </c>
      <c r="I460" s="25">
        <v>0.9</v>
      </c>
      <c r="J460" s="26">
        <v>1</v>
      </c>
      <c r="K460" s="26">
        <v>1</v>
      </c>
      <c r="L460" s="27">
        <v>1</v>
      </c>
      <c r="M460" s="26">
        <v>0.98113207547169801</v>
      </c>
      <c r="N460" s="28">
        <v>0.9</v>
      </c>
      <c r="O460" s="26">
        <v>0.97699680511182097</v>
      </c>
      <c r="P460" s="26">
        <v>0.98696741854636605</v>
      </c>
      <c r="Q460" s="26">
        <v>0.98985239852398499</v>
      </c>
      <c r="R460" s="26">
        <v>0.98467161891286403</v>
      </c>
      <c r="S460" s="28">
        <v>0.9</v>
      </c>
      <c r="T460" s="26">
        <v>0.96357827476038305</v>
      </c>
      <c r="U460" s="26">
        <v>0.97794486215538801</v>
      </c>
      <c r="V460" s="26">
        <v>0.96494464944649405</v>
      </c>
      <c r="W460" s="26">
        <v>0.97087607593444203</v>
      </c>
      <c r="X460" s="28">
        <v>0.92</v>
      </c>
      <c r="Y460" s="28">
        <v>0.96278051450465196</v>
      </c>
      <c r="Z460" s="28">
        <v>0.98616071428571395</v>
      </c>
      <c r="AA460" s="28">
        <v>0.98289902280130304</v>
      </c>
      <c r="AB460" s="28">
        <v>0.97747261225119597</v>
      </c>
      <c r="AC460" s="28">
        <v>0.92</v>
      </c>
      <c r="AD460" s="26">
        <v>0.95921985815602795</v>
      </c>
      <c r="AE460" s="26">
        <v>0.98901098901098905</v>
      </c>
      <c r="AF460" s="26">
        <v>0.99351851851851802</v>
      </c>
      <c r="AG460" s="26">
        <v>0.98317560462670905</v>
      </c>
      <c r="AH460" s="28">
        <v>0.92</v>
      </c>
      <c r="AI460" s="26">
        <v>0.97292525014714504</v>
      </c>
      <c r="AJ460" s="26">
        <v>0.99032105760151101</v>
      </c>
      <c r="AK460" s="26">
        <v>0.98616600790513798</v>
      </c>
      <c r="AL460" s="26">
        <v>0.98294103938475896</v>
      </c>
      <c r="AM460" s="25">
        <v>0.99</v>
      </c>
      <c r="AN460" s="30">
        <v>1</v>
      </c>
      <c r="AO460" s="30">
        <v>1</v>
      </c>
      <c r="AP460" s="30">
        <v>1</v>
      </c>
      <c r="AQ460" s="30">
        <v>1</v>
      </c>
      <c r="AR460" s="50">
        <v>0.05</v>
      </c>
      <c r="AS460" s="34">
        <v>9.0909090909090898E-2</v>
      </c>
      <c r="AT460" s="34">
        <v>0</v>
      </c>
      <c r="AU460" s="34">
        <v>-0.16666666666666699</v>
      </c>
      <c r="AV460" s="34">
        <v>7.6923076923076901E-3</v>
      </c>
      <c r="AW460" s="10"/>
      <c r="AX460" s="8"/>
    </row>
    <row r="461" spans="1:50">
      <c r="A461" s="7"/>
      <c r="B461" s="10"/>
      <c r="C461" s="45" t="s">
        <v>396</v>
      </c>
      <c r="D461" s="23" t="s">
        <v>19</v>
      </c>
      <c r="E461" s="46" t="s">
        <v>507</v>
      </c>
      <c r="F461" s="46" t="s">
        <v>507</v>
      </c>
      <c r="G461" s="46" t="s">
        <v>507</v>
      </c>
      <c r="H461" s="46" t="s">
        <v>507</v>
      </c>
      <c r="I461" s="25">
        <v>0.9</v>
      </c>
      <c r="J461" s="26">
        <v>1</v>
      </c>
      <c r="K461" s="26">
        <v>1</v>
      </c>
      <c r="L461" s="27">
        <v>1</v>
      </c>
      <c r="M461" s="26">
        <v>1</v>
      </c>
      <c r="N461" s="28">
        <v>0.9</v>
      </c>
      <c r="O461" s="26">
        <v>0.98950548576880304</v>
      </c>
      <c r="P461" s="26">
        <v>0.98905460668751499</v>
      </c>
      <c r="Q461" s="26">
        <v>0.99462172821799899</v>
      </c>
      <c r="R461" s="26">
        <v>0.98935228881547899</v>
      </c>
      <c r="S461" s="28">
        <v>0.9</v>
      </c>
      <c r="T461" s="26">
        <v>0.93782795356972504</v>
      </c>
      <c r="U461" s="26">
        <v>0.88958383449603096</v>
      </c>
      <c r="V461" s="26">
        <v>0.93259232699892403</v>
      </c>
      <c r="W461" s="26">
        <v>0.92030438886267096</v>
      </c>
      <c r="X461" s="28">
        <v>0.92</v>
      </c>
      <c r="Y461" s="28">
        <v>0.89846153846153798</v>
      </c>
      <c r="Z461" s="28">
        <v>0.89128630705394196</v>
      </c>
      <c r="AA461" s="28">
        <v>0.87521514629948405</v>
      </c>
      <c r="AB461" s="28">
        <v>0.89030866246266205</v>
      </c>
      <c r="AC461" s="28">
        <v>0.92</v>
      </c>
      <c r="AD461" s="26">
        <v>0.99936061381074204</v>
      </c>
      <c r="AE461" s="26">
        <v>0.998738965952081</v>
      </c>
      <c r="AF461" s="26">
        <v>0.980417754569191</v>
      </c>
      <c r="AG461" s="26">
        <v>0.99111323459149503</v>
      </c>
      <c r="AH461" s="28">
        <v>0.92</v>
      </c>
      <c r="AI461" s="26">
        <v>0.96833700440528603</v>
      </c>
      <c r="AJ461" s="26">
        <v>0.97394957983193298</v>
      </c>
      <c r="AK461" s="26">
        <v>0.94887370286003503</v>
      </c>
      <c r="AL461" s="26">
        <v>0.96982218883045301</v>
      </c>
      <c r="AM461" s="25">
        <v>0.99</v>
      </c>
      <c r="AN461" s="30">
        <v>1</v>
      </c>
      <c r="AO461" s="30">
        <v>1</v>
      </c>
      <c r="AP461" s="30">
        <v>1</v>
      </c>
      <c r="AQ461" s="30">
        <v>1</v>
      </c>
      <c r="AR461" s="50">
        <v>0.05</v>
      </c>
      <c r="AS461" s="34">
        <v>5.5555555555555601E-2</v>
      </c>
      <c r="AT461" s="34">
        <v>6.6666666666666693E-2</v>
      </c>
      <c r="AU461" s="34">
        <v>7.69230769230769E-2</v>
      </c>
      <c r="AV461" s="34">
        <v>7.3394495412843999E-2</v>
      </c>
      <c r="AW461" s="10"/>
      <c r="AX461" s="8"/>
    </row>
    <row r="462" spans="1:50">
      <c r="A462" s="7"/>
      <c r="B462" s="10"/>
      <c r="C462" s="45" t="s">
        <v>396</v>
      </c>
      <c r="D462" s="23" t="s">
        <v>19</v>
      </c>
      <c r="E462" s="46" t="s">
        <v>508</v>
      </c>
      <c r="F462" s="46" t="s">
        <v>508</v>
      </c>
      <c r="G462" s="46" t="s">
        <v>508</v>
      </c>
      <c r="H462" s="46" t="s">
        <v>508</v>
      </c>
      <c r="I462" s="25">
        <v>0.9</v>
      </c>
      <c r="J462" s="26">
        <v>0.98550724637681197</v>
      </c>
      <c r="K462" s="26">
        <v>1</v>
      </c>
      <c r="L462" s="27">
        <v>1</v>
      </c>
      <c r="M462" s="26">
        <v>0.99756097560975598</v>
      </c>
      <c r="N462" s="28">
        <v>0.9</v>
      </c>
      <c r="O462" s="26">
        <v>0.99252056843679903</v>
      </c>
      <c r="P462" s="26">
        <v>0.97979369789458803</v>
      </c>
      <c r="Q462" s="26">
        <v>0.99661016949152503</v>
      </c>
      <c r="R462" s="26">
        <v>0.99046211714132204</v>
      </c>
      <c r="S462" s="28">
        <v>0.9</v>
      </c>
      <c r="T462" s="26">
        <v>0.93025430067314896</v>
      </c>
      <c r="U462" s="26">
        <v>0.917337855023315</v>
      </c>
      <c r="V462" s="26">
        <v>0.96737288135593202</v>
      </c>
      <c r="W462" s="26">
        <v>0.93605588393336903</v>
      </c>
      <c r="X462" s="28">
        <v>0.92</v>
      </c>
      <c r="Y462" s="28">
        <v>0.86427656850192103</v>
      </c>
      <c r="Z462" s="28">
        <v>0.87032967032967001</v>
      </c>
      <c r="AA462" s="28">
        <v>0.884020618556701</v>
      </c>
      <c r="AB462" s="28">
        <v>0.87293830177153298</v>
      </c>
      <c r="AC462" s="28">
        <v>0.92</v>
      </c>
      <c r="AD462" s="26">
        <v>0.99474868717179299</v>
      </c>
      <c r="AE462" s="26">
        <v>0.99933862433862397</v>
      </c>
      <c r="AF462" s="26">
        <v>1</v>
      </c>
      <c r="AG462" s="26">
        <v>0.990204614714845</v>
      </c>
      <c r="AH462" s="28">
        <v>0.92</v>
      </c>
      <c r="AI462" s="26">
        <v>0.96329526916802599</v>
      </c>
      <c r="AJ462" s="26">
        <v>0.96920380570856302</v>
      </c>
      <c r="AK462" s="26">
        <v>0.962703219636595</v>
      </c>
      <c r="AL462" s="26">
        <v>0.96765638512539598</v>
      </c>
      <c r="AM462" s="25">
        <v>0.99</v>
      </c>
      <c r="AN462" s="30">
        <v>1</v>
      </c>
      <c r="AO462" s="30">
        <v>1</v>
      </c>
      <c r="AP462" s="30">
        <v>1</v>
      </c>
      <c r="AQ462" s="30">
        <v>1</v>
      </c>
      <c r="AR462" s="50">
        <v>0.05</v>
      </c>
      <c r="AS462" s="34">
        <v>7.69230769230769E-2</v>
      </c>
      <c r="AT462" s="34">
        <v>0</v>
      </c>
      <c r="AU462" s="34">
        <v>0.11111111111111099</v>
      </c>
      <c r="AV462" s="34">
        <v>8.3333333333333301E-2</v>
      </c>
      <c r="AW462" s="10"/>
      <c r="AX462" s="8"/>
    </row>
    <row r="463" spans="1:50">
      <c r="A463" s="7"/>
      <c r="B463" s="10"/>
      <c r="C463" s="45" t="s">
        <v>396</v>
      </c>
      <c r="D463" s="23" t="s">
        <v>19</v>
      </c>
      <c r="E463" s="46" t="s">
        <v>509</v>
      </c>
      <c r="F463" s="46" t="s">
        <v>509</v>
      </c>
      <c r="G463" s="46" t="s">
        <v>509</v>
      </c>
      <c r="H463" s="46" t="s">
        <v>509</v>
      </c>
      <c r="I463" s="25">
        <v>0.9</v>
      </c>
      <c r="J463" s="26">
        <v>0.98275862068965503</v>
      </c>
      <c r="K463" s="26">
        <v>1</v>
      </c>
      <c r="L463" s="27">
        <v>1</v>
      </c>
      <c r="M463" s="26">
        <v>0.993670886075949</v>
      </c>
      <c r="N463" s="28">
        <v>0.9</v>
      </c>
      <c r="O463" s="26">
        <v>0.987855787476281</v>
      </c>
      <c r="P463" s="26">
        <v>0.93492249195671295</v>
      </c>
      <c r="Q463" s="26">
        <v>0.99113618049959695</v>
      </c>
      <c r="R463" s="26">
        <v>0.97413763217195404</v>
      </c>
      <c r="S463" s="28">
        <v>0.9</v>
      </c>
      <c r="T463" s="26">
        <v>0.95616698292220104</v>
      </c>
      <c r="U463" s="26">
        <v>0.93711611582333998</v>
      </c>
      <c r="V463" s="26">
        <v>0.96091861402095102</v>
      </c>
      <c r="W463" s="26">
        <v>0.95143005720228802</v>
      </c>
      <c r="X463" s="28">
        <v>0.92</v>
      </c>
      <c r="Y463" s="28">
        <v>0.883777239709443</v>
      </c>
      <c r="Z463" s="28">
        <v>0.90111779879621701</v>
      </c>
      <c r="AA463" s="28">
        <v>0.88854489164086703</v>
      </c>
      <c r="AB463" s="28">
        <v>0.87698853126156096</v>
      </c>
      <c r="AC463" s="28">
        <v>0.92</v>
      </c>
      <c r="AD463" s="26">
        <v>0.99722067815452997</v>
      </c>
      <c r="AE463" s="26">
        <v>0.97109471094710897</v>
      </c>
      <c r="AF463" s="26">
        <v>0.99492063492063498</v>
      </c>
      <c r="AG463" s="26">
        <v>0.98286467486818996</v>
      </c>
      <c r="AH463" s="28">
        <v>0.92</v>
      </c>
      <c r="AI463" s="26">
        <v>0.97030839895013099</v>
      </c>
      <c r="AJ463" s="26">
        <v>0.97512810898637703</v>
      </c>
      <c r="AK463" s="26">
        <v>0.96001159084323395</v>
      </c>
      <c r="AL463" s="26">
        <v>0.97025078095349304</v>
      </c>
      <c r="AM463" s="25">
        <v>0.99</v>
      </c>
      <c r="AN463" s="30">
        <v>1</v>
      </c>
      <c r="AO463" s="30">
        <v>1</v>
      </c>
      <c r="AP463" s="30">
        <v>1</v>
      </c>
      <c r="AQ463" s="30">
        <v>1</v>
      </c>
      <c r="AR463" s="50">
        <v>0.05</v>
      </c>
      <c r="AS463" s="34">
        <v>0</v>
      </c>
      <c r="AT463" s="34">
        <v>0.16666666666666699</v>
      </c>
      <c r="AU463" s="34">
        <v>0.1875</v>
      </c>
      <c r="AV463" s="34">
        <v>6.7796610169491497E-2</v>
      </c>
      <c r="AW463" s="10"/>
      <c r="AX463" s="8"/>
    </row>
    <row r="464" spans="1:50">
      <c r="A464" s="7"/>
      <c r="B464" s="10"/>
      <c r="C464" s="45" t="s">
        <v>396</v>
      </c>
      <c r="D464" s="23" t="s">
        <v>19</v>
      </c>
      <c r="E464" s="46" t="s">
        <v>510</v>
      </c>
      <c r="F464" s="46" t="s">
        <v>510</v>
      </c>
      <c r="G464" s="46" t="s">
        <v>510</v>
      </c>
      <c r="H464" s="46" t="s">
        <v>510</v>
      </c>
      <c r="I464" s="25">
        <v>0.9</v>
      </c>
      <c r="J464" s="26">
        <v>0.96610169491525399</v>
      </c>
      <c r="K464" s="26">
        <v>1</v>
      </c>
      <c r="L464" s="27">
        <v>1</v>
      </c>
      <c r="M464" s="26">
        <v>0.98784194528875402</v>
      </c>
      <c r="N464" s="28">
        <v>0.9</v>
      </c>
      <c r="O464" s="26">
        <v>0.98184688239936901</v>
      </c>
      <c r="P464" s="26">
        <v>0.97012041028690399</v>
      </c>
      <c r="Q464" s="26">
        <v>0.98548812664907603</v>
      </c>
      <c r="R464" s="26">
        <v>0.97748006608720595</v>
      </c>
      <c r="S464" s="28">
        <v>0.9</v>
      </c>
      <c r="T464" s="26">
        <v>0.93528018942383595</v>
      </c>
      <c r="U464" s="26">
        <v>0.92983499331053998</v>
      </c>
      <c r="V464" s="26">
        <v>0.95382585751978899</v>
      </c>
      <c r="W464" s="26">
        <v>0.933230371381366</v>
      </c>
      <c r="X464" s="28">
        <v>0.92</v>
      </c>
      <c r="Y464" s="28">
        <v>0.88526570048309206</v>
      </c>
      <c r="Z464" s="28">
        <v>0.88858195211786395</v>
      </c>
      <c r="AA464" s="28">
        <v>0.88510638297872302</v>
      </c>
      <c r="AB464" s="28">
        <v>0.88090349075975405</v>
      </c>
      <c r="AC464" s="28">
        <v>0.92</v>
      </c>
      <c r="AD464" s="26">
        <v>0.99759422614274296</v>
      </c>
      <c r="AE464" s="26">
        <v>0.98882265275707903</v>
      </c>
      <c r="AF464" s="26">
        <v>0.99554423933800096</v>
      </c>
      <c r="AG464" s="26">
        <v>0.984558736191947</v>
      </c>
      <c r="AH464" s="28">
        <v>0.92</v>
      </c>
      <c r="AI464" s="26">
        <v>0.96744107173138905</v>
      </c>
      <c r="AJ464" s="26">
        <v>0.969793933188276</v>
      </c>
      <c r="AK464" s="26">
        <v>0.95488487865588101</v>
      </c>
      <c r="AL464" s="26">
        <v>0.96783229420800598</v>
      </c>
      <c r="AM464" s="25">
        <v>0.99</v>
      </c>
      <c r="AN464" s="30">
        <v>1</v>
      </c>
      <c r="AO464" s="30">
        <v>1</v>
      </c>
      <c r="AP464" s="30">
        <v>1</v>
      </c>
      <c r="AQ464" s="30">
        <v>1</v>
      </c>
      <c r="AR464" s="50">
        <v>0.05</v>
      </c>
      <c r="AS464" s="34">
        <v>0</v>
      </c>
      <c r="AT464" s="34">
        <v>5.8823529411764698E-2</v>
      </c>
      <c r="AU464" s="34">
        <v>6.6666666666666693E-2</v>
      </c>
      <c r="AV464" s="34">
        <v>5.8823529411764698E-2</v>
      </c>
      <c r="AW464" s="10"/>
      <c r="AX464" s="8"/>
    </row>
    <row r="465" spans="1:50">
      <c r="A465" s="7"/>
      <c r="B465" s="10"/>
      <c r="C465" s="45" t="s">
        <v>396</v>
      </c>
      <c r="D465" s="23" t="s">
        <v>19</v>
      </c>
      <c r="E465" s="46" t="s">
        <v>511</v>
      </c>
      <c r="F465" s="46" t="s">
        <v>511</v>
      </c>
      <c r="G465" s="46" t="s">
        <v>511</v>
      </c>
      <c r="H465" s="46" t="s">
        <v>511</v>
      </c>
      <c r="I465" s="25">
        <v>0.9</v>
      </c>
      <c r="J465" s="26">
        <v>1</v>
      </c>
      <c r="K465" s="26">
        <v>1</v>
      </c>
      <c r="L465" s="27">
        <v>0.94736842105263197</v>
      </c>
      <c r="M465" s="26">
        <v>0.98939929328621901</v>
      </c>
      <c r="N465" s="28">
        <v>0.9</v>
      </c>
      <c r="O465" s="26">
        <v>0.98478460128322598</v>
      </c>
      <c r="P465" s="26">
        <v>0.98645598194130901</v>
      </c>
      <c r="Q465" s="26">
        <v>0.98472699503627303</v>
      </c>
      <c r="R465" s="26">
        <v>0.98441594262860299</v>
      </c>
      <c r="S465" s="28">
        <v>0.9</v>
      </c>
      <c r="T465" s="26">
        <v>0.952703941338222</v>
      </c>
      <c r="U465" s="26">
        <v>0.91069413092550799</v>
      </c>
      <c r="V465" s="26">
        <v>0.95494463535700602</v>
      </c>
      <c r="W465" s="26">
        <v>0.92838918769824896</v>
      </c>
      <c r="X465" s="28">
        <v>0.92</v>
      </c>
      <c r="Y465" s="28">
        <v>0.94423076923076898</v>
      </c>
      <c r="Z465" s="28">
        <v>0.95841784989858003</v>
      </c>
      <c r="AA465" s="28">
        <v>0.96049382716049403</v>
      </c>
      <c r="AB465" s="28">
        <v>0.95939503534440196</v>
      </c>
      <c r="AC465" s="28">
        <v>0.92</v>
      </c>
      <c r="AD465" s="26">
        <v>0.99836690255851901</v>
      </c>
      <c r="AE465" s="26">
        <v>0.99826162538026897</v>
      </c>
      <c r="AF465" s="26">
        <v>0.99720323182100701</v>
      </c>
      <c r="AG465" s="26">
        <v>0.99746220109375605</v>
      </c>
      <c r="AH465" s="28">
        <v>0.92</v>
      </c>
      <c r="AI465" s="26">
        <v>0.97829099307159395</v>
      </c>
      <c r="AJ465" s="26">
        <v>0.98427049789447596</v>
      </c>
      <c r="AK465" s="26">
        <v>0.977574967405476</v>
      </c>
      <c r="AL465" s="26">
        <v>0.97988145446255603</v>
      </c>
      <c r="AM465" s="25">
        <v>0.99</v>
      </c>
      <c r="AN465" s="30">
        <v>1</v>
      </c>
      <c r="AO465" s="30">
        <v>1</v>
      </c>
      <c r="AP465" s="30">
        <v>1</v>
      </c>
      <c r="AQ465" s="30">
        <v>1</v>
      </c>
      <c r="AR465" s="50">
        <v>0.05</v>
      </c>
      <c r="AS465" s="34">
        <v>9.0909090909090898E-2</v>
      </c>
      <c r="AT465" s="34">
        <v>0.105263157894737</v>
      </c>
      <c r="AU465" s="34">
        <v>0</v>
      </c>
      <c r="AV465" s="34">
        <v>5.9210526315789498E-2</v>
      </c>
      <c r="AW465" s="10"/>
      <c r="AX465" s="8"/>
    </row>
    <row r="466" spans="1:50">
      <c r="A466" s="7"/>
      <c r="B466" s="10"/>
      <c r="C466" s="45" t="s">
        <v>396</v>
      </c>
      <c r="D466" s="23" t="s">
        <v>19</v>
      </c>
      <c r="E466" s="46" t="s">
        <v>512</v>
      </c>
      <c r="F466" s="46" t="s">
        <v>512</v>
      </c>
      <c r="G466" s="46" t="s">
        <v>512</v>
      </c>
      <c r="H466" s="46" t="s">
        <v>512</v>
      </c>
      <c r="I466" s="25">
        <v>0.9</v>
      </c>
      <c r="J466" s="26">
        <v>1</v>
      </c>
      <c r="K466" s="26">
        <v>0.97058823529411797</v>
      </c>
      <c r="L466" s="27">
        <v>1</v>
      </c>
      <c r="M466" s="26">
        <v>0.97126436781609204</v>
      </c>
      <c r="N466" s="28">
        <v>0.9</v>
      </c>
      <c r="O466" s="26">
        <v>0.99519395811877798</v>
      </c>
      <c r="P466" s="26">
        <v>0.99406604747161997</v>
      </c>
      <c r="Q466" s="26">
        <v>0.996397694524496</v>
      </c>
      <c r="R466" s="26">
        <v>0.99570039880358896</v>
      </c>
      <c r="S466" s="28">
        <v>0.9</v>
      </c>
      <c r="T466" s="26">
        <v>0.95914864400961197</v>
      </c>
      <c r="U466" s="26">
        <v>0.95949432404540802</v>
      </c>
      <c r="V466" s="26">
        <v>0.96181556195965401</v>
      </c>
      <c r="W466" s="26">
        <v>0.95924725822532397</v>
      </c>
      <c r="X466" s="28">
        <v>0.92</v>
      </c>
      <c r="Y466" s="28">
        <v>0.95491803278688503</v>
      </c>
      <c r="Z466" s="28">
        <v>0.96450617283950602</v>
      </c>
      <c r="AA466" s="28">
        <v>0.96822995461422101</v>
      </c>
      <c r="AB466" s="28">
        <v>0.96503703703703703</v>
      </c>
      <c r="AC466" s="28">
        <v>0.92</v>
      </c>
      <c r="AD466" s="26">
        <v>0.99895287958115198</v>
      </c>
      <c r="AE466" s="26">
        <v>0.993603411513859</v>
      </c>
      <c r="AF466" s="26">
        <v>0.99759352439291205</v>
      </c>
      <c r="AG466" s="26">
        <v>0.99681438079526696</v>
      </c>
      <c r="AH466" s="28">
        <v>0.92</v>
      </c>
      <c r="AI466" s="26">
        <v>0.97824169361952396</v>
      </c>
      <c r="AJ466" s="26">
        <v>0.98607427055702901</v>
      </c>
      <c r="AK466" s="26">
        <v>0.98487066861883799</v>
      </c>
      <c r="AL466" s="26">
        <v>0.98404036243822102</v>
      </c>
      <c r="AM466" s="25">
        <v>0.99</v>
      </c>
      <c r="AN466" s="30">
        <v>1</v>
      </c>
      <c r="AO466" s="30">
        <v>1</v>
      </c>
      <c r="AP466" s="30">
        <v>1</v>
      </c>
      <c r="AQ466" s="30">
        <v>1</v>
      </c>
      <c r="AR466" s="50">
        <v>0.05</v>
      </c>
      <c r="AS466" s="34">
        <v>0</v>
      </c>
      <c r="AT466" s="34">
        <v>8.3333333333333301E-2</v>
      </c>
      <c r="AU466" s="34">
        <v>0</v>
      </c>
      <c r="AV466" s="34">
        <v>3.5714285714285698E-2</v>
      </c>
      <c r="AW466" s="10"/>
      <c r="AX466" s="8"/>
    </row>
    <row r="467" spans="1:50">
      <c r="A467" s="7"/>
      <c r="B467" s="10"/>
      <c r="C467" s="45" t="s">
        <v>396</v>
      </c>
      <c r="D467" s="23" t="s">
        <v>19</v>
      </c>
      <c r="E467" s="46" t="s">
        <v>513</v>
      </c>
      <c r="F467" s="46" t="s">
        <v>513</v>
      </c>
      <c r="G467" s="46" t="s">
        <v>513</v>
      </c>
      <c r="H467" s="46" t="s">
        <v>513</v>
      </c>
      <c r="I467" s="25">
        <v>0.9</v>
      </c>
      <c r="J467" s="26">
        <v>1</v>
      </c>
      <c r="K467" s="26">
        <v>1</v>
      </c>
      <c r="L467" s="27">
        <v>1</v>
      </c>
      <c r="M467" s="26">
        <v>0.989169675090253</v>
      </c>
      <c r="N467" s="28">
        <v>0.9</v>
      </c>
      <c r="O467" s="26">
        <v>0.98366890380313199</v>
      </c>
      <c r="P467" s="26">
        <v>0.97814931302764396</v>
      </c>
      <c r="Q467" s="26">
        <v>0.98679060665361995</v>
      </c>
      <c r="R467" s="26">
        <v>0.98168025179565799</v>
      </c>
      <c r="S467" s="28">
        <v>0.9</v>
      </c>
      <c r="T467" s="26">
        <v>0.91252796420581594</v>
      </c>
      <c r="U467" s="26">
        <v>0.84025823539149103</v>
      </c>
      <c r="V467" s="26">
        <v>0.901174168297456</v>
      </c>
      <c r="W467" s="26">
        <v>0.88515858284238602</v>
      </c>
      <c r="X467" s="28">
        <v>0.92</v>
      </c>
      <c r="Y467" s="28">
        <v>0.82699868938401</v>
      </c>
      <c r="Z467" s="28">
        <v>0.77613776137761403</v>
      </c>
      <c r="AA467" s="28">
        <v>0.81432038834951503</v>
      </c>
      <c r="AB467" s="28">
        <v>0.80584074834588204</v>
      </c>
      <c r="AC467" s="28">
        <v>0.92</v>
      </c>
      <c r="AD467" s="26">
        <v>0.99774774774774799</v>
      </c>
      <c r="AE467" s="26">
        <v>0.99439999999999995</v>
      </c>
      <c r="AF467" s="26">
        <v>0.99770290964777997</v>
      </c>
      <c r="AG467" s="26">
        <v>0.99591407891664696</v>
      </c>
      <c r="AH467" s="28">
        <v>0.92</v>
      </c>
      <c r="AI467" s="26">
        <v>0.95146187655264702</v>
      </c>
      <c r="AJ467" s="26">
        <v>0.94719953325554296</v>
      </c>
      <c r="AK467" s="26">
        <v>0.92784942488671995</v>
      </c>
      <c r="AL467" s="26">
        <v>0.94651856422914704</v>
      </c>
      <c r="AM467" s="25">
        <v>0.99</v>
      </c>
      <c r="AN467" s="30">
        <v>1</v>
      </c>
      <c r="AO467" s="30">
        <v>1</v>
      </c>
      <c r="AP467" s="30">
        <v>1</v>
      </c>
      <c r="AQ467" s="30">
        <v>1</v>
      </c>
      <c r="AR467" s="50">
        <v>0.05</v>
      </c>
      <c r="AS467" s="34">
        <v>0</v>
      </c>
      <c r="AT467" s="34">
        <v>0</v>
      </c>
      <c r="AU467" s="34">
        <v>0</v>
      </c>
      <c r="AV467" s="34">
        <v>4.0983606557376998E-2</v>
      </c>
      <c r="AW467" s="10"/>
      <c r="AX467" s="8"/>
    </row>
    <row r="468" spans="1:50">
      <c r="A468" s="7"/>
      <c r="B468" s="10"/>
      <c r="C468" s="45" t="s">
        <v>396</v>
      </c>
      <c r="D468" s="23" t="s">
        <v>19</v>
      </c>
      <c r="E468" s="46" t="s">
        <v>514</v>
      </c>
      <c r="F468" s="46" t="s">
        <v>514</v>
      </c>
      <c r="G468" s="46" t="s">
        <v>514</v>
      </c>
      <c r="H468" s="46" t="s">
        <v>514</v>
      </c>
      <c r="I468" s="25">
        <v>0.9</v>
      </c>
      <c r="J468" s="26">
        <v>1</v>
      </c>
      <c r="K468" s="26">
        <v>0.98275862068965503</v>
      </c>
      <c r="L468" s="27">
        <v>0.97619047619047605</v>
      </c>
      <c r="M468" s="26">
        <v>0.98993288590604001</v>
      </c>
      <c r="N468" s="28">
        <v>0.9</v>
      </c>
      <c r="O468" s="26">
        <v>0.98536925220622396</v>
      </c>
      <c r="P468" s="26">
        <v>0.98816456885215098</v>
      </c>
      <c r="Q468" s="26">
        <v>0.98073919833420098</v>
      </c>
      <c r="R468" s="26">
        <v>0.98682342502218301</v>
      </c>
      <c r="S468" s="28">
        <v>0.9</v>
      </c>
      <c r="T468" s="26">
        <v>0.93265211333023701</v>
      </c>
      <c r="U468" s="26">
        <v>0.92109712568100699</v>
      </c>
      <c r="V468" s="26">
        <v>0.91931285788651695</v>
      </c>
      <c r="W468" s="26">
        <v>0.92861579414374396</v>
      </c>
      <c r="X468" s="28">
        <v>0.92</v>
      </c>
      <c r="Y468" s="28">
        <v>0.92352092352092396</v>
      </c>
      <c r="Z468" s="28">
        <v>0.94312169312169303</v>
      </c>
      <c r="AA468" s="28">
        <v>0.87034277198211596</v>
      </c>
      <c r="AB468" s="28">
        <v>0.88190522956052098</v>
      </c>
      <c r="AC468" s="28">
        <v>0.92</v>
      </c>
      <c r="AD468" s="26">
        <v>0.99680255795363704</v>
      </c>
      <c r="AE468" s="26">
        <v>0.991607217792698</v>
      </c>
      <c r="AF468" s="26">
        <v>0.99333333333333296</v>
      </c>
      <c r="AG468" s="26">
        <v>0.98813605815388805</v>
      </c>
      <c r="AH468" s="28">
        <v>0.92</v>
      </c>
      <c r="AI468" s="26">
        <v>0.97580483903219395</v>
      </c>
      <c r="AJ468" s="26">
        <v>0.98124691561111999</v>
      </c>
      <c r="AK468" s="26">
        <v>0.94753086419753096</v>
      </c>
      <c r="AL468" s="26">
        <v>0.96832851185332702</v>
      </c>
      <c r="AM468" s="25">
        <v>0.99</v>
      </c>
      <c r="AN468" s="30">
        <v>1</v>
      </c>
      <c r="AO468" s="30">
        <v>1</v>
      </c>
      <c r="AP468" s="30">
        <v>1</v>
      </c>
      <c r="AQ468" s="30">
        <v>1</v>
      </c>
      <c r="AR468" s="50">
        <v>0.05</v>
      </c>
      <c r="AS468" s="34">
        <v>0</v>
      </c>
      <c r="AT468" s="34">
        <v>0</v>
      </c>
      <c r="AU468" s="34">
        <v>0</v>
      </c>
      <c r="AV468" s="34">
        <v>2.3529411764705899E-2</v>
      </c>
      <c r="AW468" s="10"/>
      <c r="AX468" s="8"/>
    </row>
    <row r="469" spans="1:50">
      <c r="A469" s="7"/>
      <c r="B469" s="10"/>
      <c r="C469" s="45" t="s">
        <v>396</v>
      </c>
      <c r="D469" s="23" t="s">
        <v>19</v>
      </c>
      <c r="E469" s="46" t="s">
        <v>515</v>
      </c>
      <c r="F469" s="46" t="s">
        <v>515</v>
      </c>
      <c r="G469" s="46" t="s">
        <v>515</v>
      </c>
      <c r="H469" s="46" t="s">
        <v>515</v>
      </c>
      <c r="I469" s="25">
        <v>0.9</v>
      </c>
      <c r="J469" s="26">
        <v>0.98333333333333295</v>
      </c>
      <c r="K469" s="26">
        <v>0.984375</v>
      </c>
      <c r="L469" s="27">
        <v>0.97959183673469397</v>
      </c>
      <c r="M469" s="26">
        <v>0.98802395209580796</v>
      </c>
      <c r="N469" s="28">
        <v>0.9</v>
      </c>
      <c r="O469" s="26">
        <v>0.99149453219927097</v>
      </c>
      <c r="P469" s="26">
        <v>0.98750000000000004</v>
      </c>
      <c r="Q469" s="26">
        <v>0.99054982817869397</v>
      </c>
      <c r="R469" s="26">
        <v>0.98906173119866803</v>
      </c>
      <c r="S469" s="28">
        <v>0.9</v>
      </c>
      <c r="T469" s="26">
        <v>0.93377885783718095</v>
      </c>
      <c r="U469" s="26">
        <v>0.92</v>
      </c>
      <c r="V469" s="26">
        <v>0.95360824742268002</v>
      </c>
      <c r="W469" s="26">
        <v>0.93860943946103503</v>
      </c>
      <c r="X469" s="28">
        <v>0.92</v>
      </c>
      <c r="Y469" s="28">
        <v>0.90214067278287502</v>
      </c>
      <c r="Z469" s="28">
        <v>0.94634703196347003</v>
      </c>
      <c r="AA469" s="28">
        <v>0.94075403949730696</v>
      </c>
      <c r="AB469" s="28">
        <v>0.93056791881787404</v>
      </c>
      <c r="AC469" s="28">
        <v>0.92</v>
      </c>
      <c r="AD469" s="26">
        <v>0.99755401549123501</v>
      </c>
      <c r="AE469" s="26">
        <v>0.99833776595744705</v>
      </c>
      <c r="AF469" s="26">
        <v>0.99386406544996897</v>
      </c>
      <c r="AG469" s="26">
        <v>0.99538145164008995</v>
      </c>
      <c r="AH469" s="28">
        <v>0.92</v>
      </c>
      <c r="AI469" s="26">
        <v>0.96908783783783803</v>
      </c>
      <c r="AJ469" s="26">
        <v>0.97965915338097898</v>
      </c>
      <c r="AK469" s="26">
        <v>0.97008422887017098</v>
      </c>
      <c r="AL469" s="26">
        <v>0.97528167035985103</v>
      </c>
      <c r="AM469" s="25">
        <v>0.99</v>
      </c>
      <c r="AN469" s="30">
        <v>1</v>
      </c>
      <c r="AO469" s="30">
        <v>1</v>
      </c>
      <c r="AP469" s="30">
        <v>1</v>
      </c>
      <c r="AQ469" s="30">
        <v>1</v>
      </c>
      <c r="AR469" s="50">
        <v>0.05</v>
      </c>
      <c r="AS469" s="34">
        <v>0</v>
      </c>
      <c r="AT469" s="34">
        <v>6.6666666666666693E-2</v>
      </c>
      <c r="AU469" s="34">
        <v>5.8823529411764698E-2</v>
      </c>
      <c r="AV469" s="34">
        <v>6.7226890756302504E-2</v>
      </c>
      <c r="AW469" s="10"/>
      <c r="AX469" s="8"/>
    </row>
    <row r="470" spans="1:50">
      <c r="A470" s="7"/>
      <c r="B470" s="10"/>
      <c r="C470" s="45" t="s">
        <v>396</v>
      </c>
      <c r="D470" s="23" t="s">
        <v>19</v>
      </c>
      <c r="E470" s="46" t="s">
        <v>516</v>
      </c>
      <c r="F470" s="46" t="s">
        <v>516</v>
      </c>
      <c r="G470" s="46" t="s">
        <v>516</v>
      </c>
      <c r="H470" s="46" t="s">
        <v>516</v>
      </c>
      <c r="I470" s="25">
        <v>0.9</v>
      </c>
      <c r="J470" s="26">
        <v>0.98571428571428599</v>
      </c>
      <c r="K470" s="26">
        <v>0.98611111111111105</v>
      </c>
      <c r="L470" s="27">
        <v>0.98039215686274495</v>
      </c>
      <c r="M470" s="26">
        <v>0.97429305912596398</v>
      </c>
      <c r="N470" s="28">
        <v>0.9</v>
      </c>
      <c r="O470" s="26">
        <v>0.98942544941840005</v>
      </c>
      <c r="P470" s="26">
        <v>0.98348308668076101</v>
      </c>
      <c r="Q470" s="26">
        <v>0.98655034532897101</v>
      </c>
      <c r="R470" s="26">
        <v>0.98833285121974701</v>
      </c>
      <c r="S470" s="28">
        <v>0.9</v>
      </c>
      <c r="T470" s="26">
        <v>0.925273175890025</v>
      </c>
      <c r="U470" s="26">
        <v>0.87050739957716705</v>
      </c>
      <c r="V470" s="26">
        <v>0.90839694656488501</v>
      </c>
      <c r="W470" s="26">
        <v>0.91800854948092403</v>
      </c>
      <c r="X470" s="28">
        <v>0.92</v>
      </c>
      <c r="Y470" s="28">
        <v>0.91230068337129799</v>
      </c>
      <c r="Z470" s="28">
        <v>0.89527340129749799</v>
      </c>
      <c r="AA470" s="28">
        <v>0.925047438330171</v>
      </c>
      <c r="AB470" s="28">
        <v>0.90803778292639503</v>
      </c>
      <c r="AC470" s="28">
        <v>0.92</v>
      </c>
      <c r="AD470" s="26">
        <v>0.99808917197452196</v>
      </c>
      <c r="AE470" s="26">
        <v>0.996980878899698</v>
      </c>
      <c r="AF470" s="26">
        <v>0.99822443181818199</v>
      </c>
      <c r="AG470" s="26">
        <v>0.93520899140527403</v>
      </c>
      <c r="AH470" s="28">
        <v>0.92</v>
      </c>
      <c r="AI470" s="26">
        <v>0.96856401648100099</v>
      </c>
      <c r="AJ470" s="26">
        <v>0.971666473921591</v>
      </c>
      <c r="AK470" s="26">
        <v>0.96530880420499299</v>
      </c>
      <c r="AL470" s="26">
        <v>0.97165650185144803</v>
      </c>
      <c r="AM470" s="25">
        <v>0.99</v>
      </c>
      <c r="AN470" s="30">
        <v>1</v>
      </c>
      <c r="AO470" s="30">
        <v>1</v>
      </c>
      <c r="AP470" s="30">
        <v>1</v>
      </c>
      <c r="AQ470" s="30">
        <v>1</v>
      </c>
      <c r="AR470" s="50">
        <v>0.05</v>
      </c>
      <c r="AS470" s="34">
        <v>0</v>
      </c>
      <c r="AT470" s="34">
        <v>6.25E-2</v>
      </c>
      <c r="AU470" s="34">
        <v>0</v>
      </c>
      <c r="AV470" s="34">
        <v>3.3707865168539297E-2</v>
      </c>
      <c r="AW470" s="10"/>
      <c r="AX470" s="8"/>
    </row>
    <row r="471" spans="1:50">
      <c r="A471" s="7"/>
      <c r="B471" s="10"/>
      <c r="C471" s="45" t="s">
        <v>396</v>
      </c>
      <c r="D471" s="23" t="s">
        <v>19</v>
      </c>
      <c r="E471" s="46" t="s">
        <v>517</v>
      </c>
      <c r="F471" s="46" t="s">
        <v>517</v>
      </c>
      <c r="G471" s="46" t="s">
        <v>517</v>
      </c>
      <c r="H471" s="46" t="s">
        <v>517</v>
      </c>
      <c r="I471" s="25">
        <v>0.9</v>
      </c>
      <c r="J471" s="26">
        <v>1</v>
      </c>
      <c r="K471" s="26">
        <v>1</v>
      </c>
      <c r="L471" s="27">
        <v>1</v>
      </c>
      <c r="M471" s="26">
        <v>0.97894736842105301</v>
      </c>
      <c r="N471" s="28">
        <v>0.9</v>
      </c>
      <c r="O471" s="26">
        <v>0.99932111337406604</v>
      </c>
      <c r="P471" s="26">
        <v>0.997892518440464</v>
      </c>
      <c r="Q471" s="26">
        <v>1</v>
      </c>
      <c r="R471" s="26">
        <v>0.997249312328082</v>
      </c>
      <c r="S471" s="28">
        <v>0.9</v>
      </c>
      <c r="T471" s="26">
        <v>0.96809232858112704</v>
      </c>
      <c r="U471" s="26">
        <v>0.96048472075869296</v>
      </c>
      <c r="V471" s="26">
        <v>0.97657393850658902</v>
      </c>
      <c r="W471" s="26">
        <v>0.951487871967992</v>
      </c>
      <c r="X471" s="28">
        <v>0.92</v>
      </c>
      <c r="Y471" s="28">
        <v>0.91928251121076199</v>
      </c>
      <c r="Z471" s="28">
        <v>0.91964285714285698</v>
      </c>
      <c r="AA471" s="28">
        <v>0.90974729241877295</v>
      </c>
      <c r="AB471" s="28">
        <v>0.91861288039632005</v>
      </c>
      <c r="AC471" s="28">
        <v>0.92</v>
      </c>
      <c r="AD471" s="26">
        <v>0.99509803921568596</v>
      </c>
      <c r="AE471" s="26">
        <v>0.99310344827586206</v>
      </c>
      <c r="AF471" s="26">
        <v>0.990291262135922</v>
      </c>
      <c r="AG471" s="26">
        <v>0.99304174950298196</v>
      </c>
      <c r="AH471" s="28">
        <v>0.92</v>
      </c>
      <c r="AI471" s="26">
        <v>0.98054245283018904</v>
      </c>
      <c r="AJ471" s="26">
        <v>0.98114985862394</v>
      </c>
      <c r="AK471" s="26">
        <v>0.97187500000000004</v>
      </c>
      <c r="AL471" s="26">
        <v>0.98119222186802701</v>
      </c>
      <c r="AM471" s="25">
        <v>0.99</v>
      </c>
      <c r="AN471" s="30">
        <v>1</v>
      </c>
      <c r="AO471" s="30">
        <v>1</v>
      </c>
      <c r="AP471" s="30">
        <v>1</v>
      </c>
      <c r="AQ471" s="30">
        <v>1</v>
      </c>
      <c r="AR471" s="50">
        <v>0.05</v>
      </c>
      <c r="AS471" s="34">
        <v>0</v>
      </c>
      <c r="AT471" s="34">
        <v>0</v>
      </c>
      <c r="AU471" s="34">
        <v>0.33333333333333298</v>
      </c>
      <c r="AV471" s="34">
        <v>3.3333333333333298E-2</v>
      </c>
      <c r="AW471" s="10"/>
      <c r="AX471" s="8"/>
    </row>
    <row r="472" spans="1:50">
      <c r="A472" s="7"/>
      <c r="B472" s="10"/>
      <c r="C472" s="45" t="s">
        <v>396</v>
      </c>
      <c r="D472" s="23" t="s">
        <v>19</v>
      </c>
      <c r="E472" s="46" t="s">
        <v>518</v>
      </c>
      <c r="F472" s="46" t="s">
        <v>518</v>
      </c>
      <c r="G472" s="46" t="s">
        <v>518</v>
      </c>
      <c r="H472" s="46" t="s">
        <v>518</v>
      </c>
      <c r="I472" s="25">
        <v>0.9</v>
      </c>
      <c r="J472" s="26">
        <v>0.98666666666666702</v>
      </c>
      <c r="K472" s="26">
        <v>1</v>
      </c>
      <c r="L472" s="27">
        <v>0.96551724137931005</v>
      </c>
      <c r="M472" s="26">
        <v>0.97619047619047605</v>
      </c>
      <c r="N472" s="28">
        <v>0.9</v>
      </c>
      <c r="O472" s="26">
        <v>0.98528153345883995</v>
      </c>
      <c r="P472" s="26">
        <v>0.98031088082901596</v>
      </c>
      <c r="Q472" s="26">
        <v>0.98364825581395399</v>
      </c>
      <c r="R472" s="26">
        <v>0.982922380173607</v>
      </c>
      <c r="S472" s="28">
        <v>0.9</v>
      </c>
      <c r="T472" s="26">
        <v>0.94403559815163396</v>
      </c>
      <c r="U472" s="26">
        <v>0.93056994818652805</v>
      </c>
      <c r="V472" s="26">
        <v>0.94258720930232598</v>
      </c>
      <c r="W472" s="26">
        <v>0.93134356522833095</v>
      </c>
      <c r="X472" s="28">
        <v>0.92</v>
      </c>
      <c r="Y472" s="28">
        <v>0.87266355140186902</v>
      </c>
      <c r="Z472" s="28">
        <v>0.85813751087902501</v>
      </c>
      <c r="AA472" s="28">
        <v>0.79961089494163395</v>
      </c>
      <c r="AB472" s="28">
        <v>0.83601962158374199</v>
      </c>
      <c r="AC472" s="28">
        <v>0.92</v>
      </c>
      <c r="AD472" s="26">
        <v>0.99755700325732899</v>
      </c>
      <c r="AE472" s="26">
        <v>0.99143672692673601</v>
      </c>
      <c r="AF472" s="26">
        <v>0.967741935483871</v>
      </c>
      <c r="AG472" s="26">
        <v>0.99038221333999499</v>
      </c>
      <c r="AH472" s="28">
        <v>0.92</v>
      </c>
      <c r="AI472" s="26">
        <v>0.96119402985074598</v>
      </c>
      <c r="AJ472" s="26">
        <v>0.96211523283346501</v>
      </c>
      <c r="AK472" s="26">
        <v>0.92724867724867699</v>
      </c>
      <c r="AL472" s="26">
        <v>0.95339536619831</v>
      </c>
      <c r="AM472" s="25">
        <v>0.99</v>
      </c>
      <c r="AN472" s="30">
        <v>1</v>
      </c>
      <c r="AO472" s="30">
        <v>1</v>
      </c>
      <c r="AP472" s="30">
        <v>1</v>
      </c>
      <c r="AQ472" s="30">
        <v>1</v>
      </c>
      <c r="AR472" s="50">
        <v>0.05</v>
      </c>
      <c r="AS472" s="34">
        <v>0</v>
      </c>
      <c r="AT472" s="34">
        <v>4.3478260869565202E-2</v>
      </c>
      <c r="AU472" s="34">
        <v>0.2</v>
      </c>
      <c r="AV472" s="34">
        <v>4.7244094488188997E-2</v>
      </c>
      <c r="AW472" s="10"/>
      <c r="AX472" s="8"/>
    </row>
    <row r="473" spans="1:50">
      <c r="A473" s="7"/>
      <c r="B473" s="10"/>
      <c r="C473" s="45" t="s">
        <v>396</v>
      </c>
      <c r="D473" s="23" t="s">
        <v>19</v>
      </c>
      <c r="E473" s="46" t="s">
        <v>519</v>
      </c>
      <c r="F473" s="46" t="s">
        <v>519</v>
      </c>
      <c r="G473" s="46" t="s">
        <v>519</v>
      </c>
      <c r="H473" s="46" t="s">
        <v>519</v>
      </c>
      <c r="I473" s="25">
        <v>0.9</v>
      </c>
      <c r="J473" s="26">
        <v>1</v>
      </c>
      <c r="K473" s="26">
        <v>0.98245614035087703</v>
      </c>
      <c r="L473" s="27">
        <v>0.97727272727272696</v>
      </c>
      <c r="M473" s="26">
        <v>0.99022801302931596</v>
      </c>
      <c r="N473" s="28">
        <v>0.9</v>
      </c>
      <c r="O473" s="26">
        <v>0.98978741142142601</v>
      </c>
      <c r="P473" s="26">
        <v>0.97454054965435799</v>
      </c>
      <c r="Q473" s="26">
        <v>0.98865183840217896</v>
      </c>
      <c r="R473" s="26">
        <v>0.98374873036956001</v>
      </c>
      <c r="S473" s="28">
        <v>0.9</v>
      </c>
      <c r="T473" s="26">
        <v>0.93497290537724098</v>
      </c>
      <c r="U473" s="26">
        <v>0.927162367223065</v>
      </c>
      <c r="V473" s="26">
        <v>0.95823876532001795</v>
      </c>
      <c r="W473" s="26">
        <v>0.92276740370341404</v>
      </c>
      <c r="X473" s="28">
        <v>0.92</v>
      </c>
      <c r="Y473" s="28">
        <v>0.93387096774193501</v>
      </c>
      <c r="Z473" s="28">
        <v>0.93444576877234797</v>
      </c>
      <c r="AA473" s="28">
        <v>0.90609137055837596</v>
      </c>
      <c r="AB473" s="28">
        <v>0.899149740198394</v>
      </c>
      <c r="AC473" s="28">
        <v>0.92</v>
      </c>
      <c r="AD473" s="26">
        <v>1</v>
      </c>
      <c r="AE473" s="26">
        <v>0.99108469539375899</v>
      </c>
      <c r="AF473" s="26">
        <v>0.98984198645598198</v>
      </c>
      <c r="AG473" s="26">
        <v>0.99318227391217195</v>
      </c>
      <c r="AH473" s="28">
        <v>0.92</v>
      </c>
      <c r="AI473" s="26">
        <v>0.97804022882450603</v>
      </c>
      <c r="AJ473" s="26">
        <v>0.98079763663220099</v>
      </c>
      <c r="AK473" s="26">
        <v>0.96556335673687699</v>
      </c>
      <c r="AL473" s="26">
        <v>0.97435725538832796</v>
      </c>
      <c r="AM473" s="25">
        <v>0.99</v>
      </c>
      <c r="AN473" s="30">
        <v>1</v>
      </c>
      <c r="AO473" s="30">
        <v>1</v>
      </c>
      <c r="AP473" s="30">
        <v>1</v>
      </c>
      <c r="AQ473" s="30">
        <v>1</v>
      </c>
      <c r="AR473" s="50">
        <v>0.05</v>
      </c>
      <c r="AS473" s="34">
        <v>0</v>
      </c>
      <c r="AT473" s="34">
        <v>6.6666666666666693E-2</v>
      </c>
      <c r="AU473" s="34">
        <v>0</v>
      </c>
      <c r="AV473" s="34">
        <v>5.1546391752577303E-2</v>
      </c>
      <c r="AW473" s="10"/>
      <c r="AX473" s="8"/>
    </row>
    <row r="474" spans="1:50">
      <c r="A474" s="7"/>
      <c r="B474" s="10"/>
      <c r="C474" s="45" t="s">
        <v>396</v>
      </c>
      <c r="D474" s="23" t="s">
        <v>19</v>
      </c>
      <c r="E474" s="46" t="s">
        <v>520</v>
      </c>
      <c r="F474" s="46" t="s">
        <v>520</v>
      </c>
      <c r="G474" s="46" t="s">
        <v>520</v>
      </c>
      <c r="H474" s="46" t="s">
        <v>520</v>
      </c>
      <c r="I474" s="25">
        <v>0.9</v>
      </c>
      <c r="J474" s="26">
        <v>0.94871794871794901</v>
      </c>
      <c r="K474" s="26">
        <v>0.97674418604651203</v>
      </c>
      <c r="L474" s="27">
        <v>0.96969696969696995</v>
      </c>
      <c r="M474" s="26">
        <v>0.95067264573990995</v>
      </c>
      <c r="N474" s="28">
        <v>0.9</v>
      </c>
      <c r="O474" s="26">
        <v>0.98445905558876301</v>
      </c>
      <c r="P474" s="26">
        <v>0.98444753946146701</v>
      </c>
      <c r="Q474" s="26">
        <v>0.988612099644128</v>
      </c>
      <c r="R474" s="26">
        <v>0.982666962011297</v>
      </c>
      <c r="S474" s="28">
        <v>0.9</v>
      </c>
      <c r="T474" s="26">
        <v>0.91721458457860106</v>
      </c>
      <c r="U474" s="26">
        <v>0.89948932219127198</v>
      </c>
      <c r="V474" s="26">
        <v>0.932384341637011</v>
      </c>
      <c r="W474" s="26">
        <v>0.91726658544689299</v>
      </c>
      <c r="X474" s="28">
        <v>0.92</v>
      </c>
      <c r="Y474" s="28">
        <v>0.63209393346379605</v>
      </c>
      <c r="Z474" s="28">
        <v>0.73376623376623396</v>
      </c>
      <c r="AA474" s="28">
        <v>0.70900321543408396</v>
      </c>
      <c r="AB474" s="28">
        <v>0.70568763165813997</v>
      </c>
      <c r="AC474" s="28">
        <v>0.92</v>
      </c>
      <c r="AD474" s="26">
        <v>0.98425196850393704</v>
      </c>
      <c r="AE474" s="26">
        <v>0.93719806763284996</v>
      </c>
      <c r="AF474" s="26">
        <v>0.95104895104895104</v>
      </c>
      <c r="AG474" s="26">
        <v>0.92363931762794504</v>
      </c>
      <c r="AH474" s="28">
        <v>0.92</v>
      </c>
      <c r="AI474" s="26">
        <v>0.92818252527871403</v>
      </c>
      <c r="AJ474" s="26">
        <v>0.94333874898456505</v>
      </c>
      <c r="AK474" s="26">
        <v>0.89541193882585102</v>
      </c>
      <c r="AL474" s="26">
        <v>0.93489851276774905</v>
      </c>
      <c r="AM474" s="25">
        <v>0.99</v>
      </c>
      <c r="AN474" s="30">
        <v>1</v>
      </c>
      <c r="AO474" s="30">
        <v>1</v>
      </c>
      <c r="AP474" s="30">
        <v>1</v>
      </c>
      <c r="AQ474" s="30">
        <v>1</v>
      </c>
      <c r="AR474" s="50">
        <v>0.05</v>
      </c>
      <c r="AS474" s="34">
        <v>5.8823529411764698E-2</v>
      </c>
      <c r="AT474" s="34">
        <v>0.105263157894737</v>
      </c>
      <c r="AU474" s="34">
        <v>7.1428571428571397E-2</v>
      </c>
      <c r="AV474" s="34">
        <v>4.3859649122807001E-2</v>
      </c>
      <c r="AW474" s="10"/>
      <c r="AX474" s="8"/>
    </row>
    <row r="475" spans="1:50">
      <c r="A475" s="7"/>
      <c r="B475" s="10"/>
      <c r="C475" s="45" t="s">
        <v>396</v>
      </c>
      <c r="D475" s="23" t="s">
        <v>19</v>
      </c>
      <c r="E475" s="46" t="s">
        <v>521</v>
      </c>
      <c r="F475" s="46" t="s">
        <v>521</v>
      </c>
      <c r="G475" s="46" t="s">
        <v>521</v>
      </c>
      <c r="H475" s="46" t="s">
        <v>521</v>
      </c>
      <c r="I475" s="25">
        <v>0.9</v>
      </c>
      <c r="J475" s="26">
        <v>1</v>
      </c>
      <c r="K475" s="26">
        <v>1</v>
      </c>
      <c r="L475" s="27">
        <v>1</v>
      </c>
      <c r="M475" s="26">
        <v>0.99342105263157898</v>
      </c>
      <c r="N475" s="28">
        <v>0.9</v>
      </c>
      <c r="O475" s="26">
        <v>0.98201438848920897</v>
      </c>
      <c r="P475" s="26">
        <v>0.96451016635859499</v>
      </c>
      <c r="Q475" s="26">
        <v>0.95837366892546005</v>
      </c>
      <c r="R475" s="26">
        <v>0.97504533287280903</v>
      </c>
      <c r="S475" s="28">
        <v>0.9</v>
      </c>
      <c r="T475" s="26">
        <v>0.881744604316547</v>
      </c>
      <c r="U475" s="26">
        <v>0.78188539741219998</v>
      </c>
      <c r="V475" s="26">
        <v>0.88480154888673801</v>
      </c>
      <c r="W475" s="26">
        <v>0.84681806407046001</v>
      </c>
      <c r="X475" s="28">
        <v>0.92</v>
      </c>
      <c r="Y475" s="28">
        <v>0</v>
      </c>
      <c r="Z475" s="28">
        <v>0</v>
      </c>
      <c r="AA475" s="28">
        <v>0</v>
      </c>
      <c r="AB475" s="28">
        <v>1</v>
      </c>
      <c r="AC475" s="28">
        <v>0.92</v>
      </c>
      <c r="AD475" s="26">
        <v>0.98925735637552503</v>
      </c>
      <c r="AE475" s="26">
        <v>0.99039417025505105</v>
      </c>
      <c r="AF475" s="26">
        <v>0.97860568056067898</v>
      </c>
      <c r="AG475" s="26">
        <v>0.98455179540170501</v>
      </c>
      <c r="AH475" s="28">
        <v>0.92</v>
      </c>
      <c r="AI475" s="26">
        <v>0.95863309352518</v>
      </c>
      <c r="AJ475" s="26">
        <v>0.95600739371534205</v>
      </c>
      <c r="AK475" s="26">
        <v>0.91577928363988403</v>
      </c>
      <c r="AL475" s="26">
        <v>0.95727602278612101</v>
      </c>
      <c r="AM475" s="25">
        <v>0.99</v>
      </c>
      <c r="AN475" s="30">
        <v>1</v>
      </c>
      <c r="AO475" s="30">
        <v>1</v>
      </c>
      <c r="AP475" s="30">
        <v>1</v>
      </c>
      <c r="AQ475" s="30">
        <v>1</v>
      </c>
      <c r="AR475" s="50">
        <v>0.05</v>
      </c>
      <c r="AS475" s="34">
        <v>0</v>
      </c>
      <c r="AT475" s="34">
        <v>8.3333333333333301E-2</v>
      </c>
      <c r="AU475" s="34">
        <v>0</v>
      </c>
      <c r="AV475" s="34">
        <v>8.8607594936708903E-2</v>
      </c>
      <c r="AW475" s="10"/>
      <c r="AX475" s="8"/>
    </row>
    <row r="476" spans="1:50">
      <c r="A476" s="7"/>
      <c r="B476" s="10"/>
      <c r="C476" s="45" t="s">
        <v>396</v>
      </c>
      <c r="D476" s="23" t="s">
        <v>19</v>
      </c>
      <c r="E476" s="46" t="s">
        <v>522</v>
      </c>
      <c r="F476" s="46" t="s">
        <v>522</v>
      </c>
      <c r="G476" s="46" t="s">
        <v>522</v>
      </c>
      <c r="H476" s="46" t="s">
        <v>522</v>
      </c>
      <c r="I476" s="25">
        <v>0.9</v>
      </c>
      <c r="J476" s="26">
        <v>1</v>
      </c>
      <c r="K476" s="26">
        <v>1</v>
      </c>
      <c r="L476" s="27">
        <v>1</v>
      </c>
      <c r="M476" s="26">
        <v>1</v>
      </c>
      <c r="N476" s="28">
        <v>0.9</v>
      </c>
      <c r="O476" s="26">
        <v>0.99365908243192802</v>
      </c>
      <c r="P476" s="26">
        <v>0.98999061620269002</v>
      </c>
      <c r="Q476" s="26">
        <v>0.99673735725937995</v>
      </c>
      <c r="R476" s="26">
        <v>0.99422900978253204</v>
      </c>
      <c r="S476" s="28">
        <v>0.9</v>
      </c>
      <c r="T476" s="26">
        <v>0.95561357702349903</v>
      </c>
      <c r="U476" s="26">
        <v>0.92805755395683498</v>
      </c>
      <c r="V476" s="26">
        <v>0.95595432300163097</v>
      </c>
      <c r="W476" s="26">
        <v>0.94982053627982299</v>
      </c>
      <c r="X476" s="28">
        <v>0.92</v>
      </c>
      <c r="Y476" s="28">
        <v>0.94780793319415402</v>
      </c>
      <c r="Z476" s="28">
        <v>0.95910780669145002</v>
      </c>
      <c r="AA476" s="28">
        <v>0.97022767075306504</v>
      </c>
      <c r="AB476" s="28">
        <v>0.95580110497237603</v>
      </c>
      <c r="AC476" s="28">
        <v>0.92</v>
      </c>
      <c r="AD476" s="26">
        <v>0.99921048476235597</v>
      </c>
      <c r="AE476" s="26">
        <v>0.99530342355703905</v>
      </c>
      <c r="AF476" s="26">
        <v>0.99691863264323499</v>
      </c>
      <c r="AG476" s="26">
        <v>0.99555894198323702</v>
      </c>
      <c r="AH476" s="28">
        <v>0.92</v>
      </c>
      <c r="AI476" s="26">
        <v>0.98102466793168897</v>
      </c>
      <c r="AJ476" s="26">
        <v>0.98768736616702402</v>
      </c>
      <c r="AK476" s="26">
        <v>0.98441847523650505</v>
      </c>
      <c r="AL476" s="26">
        <v>0.98509469254150095</v>
      </c>
      <c r="AM476" s="25">
        <v>0.99</v>
      </c>
      <c r="AN476" s="30">
        <v>1</v>
      </c>
      <c r="AO476" s="30">
        <v>1</v>
      </c>
      <c r="AP476" s="30">
        <v>1</v>
      </c>
      <c r="AQ476" s="30">
        <v>1</v>
      </c>
      <c r="AR476" s="50">
        <v>0.05</v>
      </c>
      <c r="AS476" s="34">
        <v>6.25E-2</v>
      </c>
      <c r="AT476" s="34">
        <v>0</v>
      </c>
      <c r="AU476" s="34">
        <v>0</v>
      </c>
      <c r="AV476" s="34">
        <v>3.5294117647058802E-2</v>
      </c>
      <c r="AW476" s="10"/>
      <c r="AX476" s="8"/>
    </row>
    <row r="477" spans="1:50">
      <c r="A477" s="7"/>
      <c r="B477" s="10"/>
      <c r="C477" s="45" t="s">
        <v>396</v>
      </c>
      <c r="D477" s="23" t="s">
        <v>19</v>
      </c>
      <c r="E477" s="46" t="s">
        <v>523</v>
      </c>
      <c r="F477" s="46" t="s">
        <v>523</v>
      </c>
      <c r="G477" s="46" t="s">
        <v>523</v>
      </c>
      <c r="H477" s="46" t="s">
        <v>523</v>
      </c>
      <c r="I477" s="25">
        <v>0.9</v>
      </c>
      <c r="J477" s="26">
        <v>0.92857142857142905</v>
      </c>
      <c r="K477" s="26">
        <v>0.93333333333333302</v>
      </c>
      <c r="L477" s="27">
        <v>0.91428571428571404</v>
      </c>
      <c r="M477" s="26">
        <v>0.92241379310344795</v>
      </c>
      <c r="N477" s="28">
        <v>0.9</v>
      </c>
      <c r="O477" s="26">
        <v>0.97834158415841599</v>
      </c>
      <c r="P477" s="26">
        <v>0.98030747970288501</v>
      </c>
      <c r="Q477" s="26">
        <v>0.98803721754541396</v>
      </c>
      <c r="R477" s="26">
        <v>0.98390705342073204</v>
      </c>
      <c r="S477" s="28">
        <v>0.9</v>
      </c>
      <c r="T477" s="26">
        <v>0.85169141914191404</v>
      </c>
      <c r="U477" s="26">
        <v>0.86992572119537004</v>
      </c>
      <c r="V477" s="26">
        <v>0.92955250332299499</v>
      </c>
      <c r="W477" s="26">
        <v>0.86670330101660298</v>
      </c>
      <c r="X477" s="28">
        <v>0.92</v>
      </c>
      <c r="Y477" s="28">
        <v>0</v>
      </c>
      <c r="Z477" s="28">
        <v>0</v>
      </c>
      <c r="AA477" s="28">
        <v>0</v>
      </c>
      <c r="AB477" s="28">
        <v>0</v>
      </c>
      <c r="AC477" s="28">
        <v>0.92</v>
      </c>
      <c r="AD477" s="26">
        <v>0.997058823529412</v>
      </c>
      <c r="AE477" s="26">
        <v>0.99182561307901895</v>
      </c>
      <c r="AF477" s="26">
        <v>0.99483204134366898</v>
      </c>
      <c r="AG477" s="26">
        <v>0.991288399816598</v>
      </c>
      <c r="AH477" s="28">
        <v>0.92</v>
      </c>
      <c r="AI477" s="26">
        <v>0.96824742268041197</v>
      </c>
      <c r="AJ477" s="26">
        <v>0.97909828986007896</v>
      </c>
      <c r="AK477" s="26">
        <v>0.96898537882144398</v>
      </c>
      <c r="AL477" s="26">
        <v>0.97566623493857696</v>
      </c>
      <c r="AM477" s="25">
        <v>0.99</v>
      </c>
      <c r="AN477" s="30">
        <v>1</v>
      </c>
      <c r="AO477" s="30">
        <v>1</v>
      </c>
      <c r="AP477" s="30">
        <v>1</v>
      </c>
      <c r="AQ477" s="30">
        <v>1</v>
      </c>
      <c r="AR477" s="50">
        <v>0.05</v>
      </c>
      <c r="AS477" s="34">
        <v>-0.05</v>
      </c>
      <c r="AT477" s="34">
        <v>5.8823529411764698E-2</v>
      </c>
      <c r="AU477" s="34">
        <v>0</v>
      </c>
      <c r="AV477" s="34">
        <v>1.9230769230769201E-2</v>
      </c>
      <c r="AW477" s="10"/>
      <c r="AX477" s="8"/>
    </row>
    <row r="478" spans="1:50">
      <c r="A478" s="7"/>
      <c r="B478" s="10"/>
      <c r="C478" s="45" t="s">
        <v>396</v>
      </c>
      <c r="D478" s="23" t="s">
        <v>19</v>
      </c>
      <c r="E478" s="46" t="s">
        <v>524</v>
      </c>
      <c r="F478" s="46" t="s">
        <v>524</v>
      </c>
      <c r="G478" s="46" t="s">
        <v>524</v>
      </c>
      <c r="H478" s="46" t="s">
        <v>524</v>
      </c>
      <c r="I478" s="25">
        <v>0.9</v>
      </c>
      <c r="J478" s="26">
        <v>0.93333333333333302</v>
      </c>
      <c r="K478" s="26">
        <v>0.96666666666666701</v>
      </c>
      <c r="L478" s="27">
        <v>0.93333333333333302</v>
      </c>
      <c r="M478" s="26">
        <v>0.95209580838323304</v>
      </c>
      <c r="N478" s="28">
        <v>0.9</v>
      </c>
      <c r="O478" s="26">
        <v>0.99411764705882399</v>
      </c>
      <c r="P478" s="26">
        <v>0.99248377177997904</v>
      </c>
      <c r="Q478" s="26">
        <v>0.98984198645598198</v>
      </c>
      <c r="R478" s="26">
        <v>0.99195928753180695</v>
      </c>
      <c r="S478" s="28">
        <v>0.9</v>
      </c>
      <c r="T478" s="26">
        <v>0.87219251336898396</v>
      </c>
      <c r="U478" s="26">
        <v>0.76392210454390197</v>
      </c>
      <c r="V478" s="26">
        <v>0.93792325056433401</v>
      </c>
      <c r="W478" s="26">
        <v>0.84417302798982197</v>
      </c>
      <c r="X478" s="28">
        <v>0.92</v>
      </c>
      <c r="Y478" s="28">
        <v>0.91681312243702395</v>
      </c>
      <c r="Z478" s="28">
        <v>0.90257252326217796</v>
      </c>
      <c r="AA478" s="28">
        <v>0.91442786069651705</v>
      </c>
      <c r="AB478" s="28">
        <v>0.90433979686057298</v>
      </c>
      <c r="AC478" s="28">
        <v>0.92</v>
      </c>
      <c r="AD478" s="26">
        <v>1</v>
      </c>
      <c r="AE478" s="26">
        <v>1</v>
      </c>
      <c r="AF478" s="26">
        <v>1</v>
      </c>
      <c r="AG478" s="26">
        <v>0.99792674498963396</v>
      </c>
      <c r="AH478" s="28">
        <v>0.92</v>
      </c>
      <c r="AI478" s="26">
        <v>0.94296896840928202</v>
      </c>
      <c r="AJ478" s="26">
        <v>0.94679284963196597</v>
      </c>
      <c r="AK478" s="26">
        <v>0.93542817679557999</v>
      </c>
      <c r="AL478" s="26">
        <v>0.93799312648240496</v>
      </c>
      <c r="AM478" s="25">
        <v>0.99</v>
      </c>
      <c r="AN478" s="30">
        <v>1</v>
      </c>
      <c r="AO478" s="30">
        <v>1</v>
      </c>
      <c r="AP478" s="30">
        <v>1</v>
      </c>
      <c r="AQ478" s="30">
        <v>1</v>
      </c>
      <c r="AR478" s="50">
        <v>0.05</v>
      </c>
      <c r="AS478" s="34">
        <v>0.16666666666666699</v>
      </c>
      <c r="AT478" s="34">
        <v>0</v>
      </c>
      <c r="AU478" s="34">
        <v>0</v>
      </c>
      <c r="AV478" s="34">
        <v>1.5625E-2</v>
      </c>
      <c r="AW478" s="10"/>
      <c r="AX478" s="8"/>
    </row>
    <row r="479" spans="1:50">
      <c r="A479" s="7"/>
      <c r="B479" s="10"/>
      <c r="C479" s="45" t="s">
        <v>396</v>
      </c>
      <c r="D479" s="23" t="s">
        <v>19</v>
      </c>
      <c r="E479" s="46" t="s">
        <v>525</v>
      </c>
      <c r="F479" s="46" t="s">
        <v>525</v>
      </c>
      <c r="G479" s="46" t="s">
        <v>525</v>
      </c>
      <c r="H479" s="46" t="s">
        <v>525</v>
      </c>
      <c r="I479" s="25">
        <v>0.9</v>
      </c>
      <c r="J479" s="26">
        <v>0.93333333333333302</v>
      </c>
      <c r="K479" s="26">
        <v>0.93333333333333302</v>
      </c>
      <c r="L479" s="27">
        <v>0.71428571428571397</v>
      </c>
      <c r="M479" s="26">
        <v>0.83832335329341301</v>
      </c>
      <c r="N479" s="28">
        <v>0.9</v>
      </c>
      <c r="O479" s="26">
        <v>0.99289772727272696</v>
      </c>
      <c r="P479" s="26">
        <v>0.99345613184682502</v>
      </c>
      <c r="Q479" s="26">
        <v>0.99448529411764697</v>
      </c>
      <c r="R479" s="26">
        <v>0.99384741591468395</v>
      </c>
      <c r="S479" s="28">
        <v>0.9</v>
      </c>
      <c r="T479" s="26">
        <v>0.91938920454545503</v>
      </c>
      <c r="U479" s="26">
        <v>0.86403296170625299</v>
      </c>
      <c r="V479" s="26">
        <v>0.91789215686274495</v>
      </c>
      <c r="W479" s="26">
        <v>0.91251611391069998</v>
      </c>
      <c r="X479" s="28">
        <v>0.92</v>
      </c>
      <c r="Y479" s="28">
        <v>0</v>
      </c>
      <c r="Z479" s="28">
        <v>0</v>
      </c>
      <c r="AA479" s="28">
        <v>0</v>
      </c>
      <c r="AB479" s="28">
        <v>0</v>
      </c>
      <c r="AC479" s="28">
        <v>0.92</v>
      </c>
      <c r="AD479" s="26">
        <v>1</v>
      </c>
      <c r="AE479" s="26">
        <v>0.97883597883597895</v>
      </c>
      <c r="AF479" s="26">
        <v>0.92888888888888899</v>
      </c>
      <c r="AG479" s="26">
        <v>0.98389458272328001</v>
      </c>
      <c r="AH479" s="28">
        <v>0.92</v>
      </c>
      <c r="AI479" s="26">
        <v>0.98935037273695403</v>
      </c>
      <c r="AJ479" s="26">
        <v>0.98933591856519598</v>
      </c>
      <c r="AK479" s="26">
        <v>0.98897058823529405</v>
      </c>
      <c r="AL479" s="26">
        <v>0.98963032397914397</v>
      </c>
      <c r="AM479" s="25">
        <v>0.99</v>
      </c>
      <c r="AN479" s="30">
        <v>1</v>
      </c>
      <c r="AO479" s="30">
        <v>1</v>
      </c>
      <c r="AP479" s="30">
        <v>1</v>
      </c>
      <c r="AQ479" s="30">
        <v>1</v>
      </c>
      <c r="AR479" s="50">
        <v>0.05</v>
      </c>
      <c r="AS479" s="34">
        <v>0.133333333333333</v>
      </c>
      <c r="AT479" s="34">
        <v>0</v>
      </c>
      <c r="AU479" s="34">
        <v>0</v>
      </c>
      <c r="AV479" s="34">
        <v>3.4482758620689703E-2</v>
      </c>
      <c r="AW479" s="10"/>
      <c r="AX479" s="8"/>
    </row>
    <row r="480" spans="1:50">
      <c r="A480" s="7"/>
      <c r="B480" s="10"/>
      <c r="C480" s="45" t="s">
        <v>396</v>
      </c>
      <c r="D480" s="23" t="s">
        <v>19</v>
      </c>
      <c r="E480" s="46" t="s">
        <v>526</v>
      </c>
      <c r="F480" s="46" t="s">
        <v>526</v>
      </c>
      <c r="G480" s="46" t="s">
        <v>526</v>
      </c>
      <c r="H480" s="46" t="s">
        <v>526</v>
      </c>
      <c r="I480" s="25">
        <v>0.9</v>
      </c>
      <c r="J480" s="26">
        <v>0.84782608695652195</v>
      </c>
      <c r="K480" s="26">
        <v>0.77083333333333304</v>
      </c>
      <c r="L480" s="27">
        <v>0.75510204081632604</v>
      </c>
      <c r="M480" s="26">
        <v>0.79197080291970801</v>
      </c>
      <c r="N480" s="28">
        <v>0.9</v>
      </c>
      <c r="O480" s="26">
        <v>0.98786610878661096</v>
      </c>
      <c r="P480" s="26">
        <v>0.98512071869736095</v>
      </c>
      <c r="Q480" s="26">
        <v>0.98915989159891604</v>
      </c>
      <c r="R480" s="26">
        <v>0.98856169384278403</v>
      </c>
      <c r="S480" s="28">
        <v>0.9</v>
      </c>
      <c r="T480" s="26">
        <v>0.90585774058577395</v>
      </c>
      <c r="U480" s="26">
        <v>0.86945536215609198</v>
      </c>
      <c r="V480" s="26">
        <v>0.87985546522131897</v>
      </c>
      <c r="W480" s="26">
        <v>0.89194451204672698</v>
      </c>
      <c r="X480" s="28">
        <v>0.92</v>
      </c>
      <c r="Y480" s="28">
        <v>0.83780036968576699</v>
      </c>
      <c r="Z480" s="28">
        <v>0.88415199258572796</v>
      </c>
      <c r="AA480" s="28">
        <v>0.83471416735708404</v>
      </c>
      <c r="AB480" s="28">
        <v>0.84682013265704204</v>
      </c>
      <c r="AC480" s="28">
        <v>0.92</v>
      </c>
      <c r="AD480" s="26">
        <v>0.99831081081081097</v>
      </c>
      <c r="AE480" s="26">
        <v>0.993327773144287</v>
      </c>
      <c r="AF480" s="26">
        <v>0.99814643188137198</v>
      </c>
      <c r="AG480" s="26">
        <v>0.99430031446540901</v>
      </c>
      <c r="AH480" s="28">
        <v>0.92</v>
      </c>
      <c r="AI480" s="26">
        <v>0.91216512955643403</v>
      </c>
      <c r="AJ480" s="26">
        <v>0.94475524475524497</v>
      </c>
      <c r="AK480" s="26">
        <v>0.87762634866553102</v>
      </c>
      <c r="AL480" s="26">
        <v>0.91056587266870803</v>
      </c>
      <c r="AM480" s="25">
        <v>0.99</v>
      </c>
      <c r="AN480" s="30">
        <v>1</v>
      </c>
      <c r="AO480" s="30">
        <v>1</v>
      </c>
      <c r="AP480" s="30">
        <v>1</v>
      </c>
      <c r="AQ480" s="30">
        <v>1</v>
      </c>
      <c r="AR480" s="50">
        <v>0.05</v>
      </c>
      <c r="AS480" s="34">
        <v>0</v>
      </c>
      <c r="AT480" s="34">
        <v>0.16666666666666699</v>
      </c>
      <c r="AU480" s="34">
        <v>0</v>
      </c>
      <c r="AV480" s="34">
        <v>2.7027027027027001E-2</v>
      </c>
      <c r="AW480" s="10"/>
      <c r="AX480" s="8"/>
    </row>
    <row r="481" spans="1:50">
      <c r="A481" s="7"/>
      <c r="B481" s="10"/>
      <c r="C481" s="45" t="s">
        <v>396</v>
      </c>
      <c r="D481" s="23" t="s">
        <v>19</v>
      </c>
      <c r="E481" s="46" t="s">
        <v>527</v>
      </c>
      <c r="F481" s="46" t="s">
        <v>527</v>
      </c>
      <c r="G481" s="46" t="s">
        <v>527</v>
      </c>
      <c r="H481" s="46" t="s">
        <v>527</v>
      </c>
      <c r="I481" s="25">
        <v>0.9</v>
      </c>
      <c r="J481" s="26">
        <v>0.97142857142857097</v>
      </c>
      <c r="K481" s="26">
        <v>0.97435897435897401</v>
      </c>
      <c r="L481" s="27">
        <v>0.97142857142857097</v>
      </c>
      <c r="M481" s="26">
        <v>0.97619047619047605</v>
      </c>
      <c r="N481" s="28">
        <v>0.9</v>
      </c>
      <c r="O481" s="26">
        <v>0.99726925177498604</v>
      </c>
      <c r="P481" s="26">
        <v>0.99720781810929404</v>
      </c>
      <c r="Q481" s="26">
        <v>0.99637023593466401</v>
      </c>
      <c r="R481" s="26">
        <v>0.99762273901808796</v>
      </c>
      <c r="S481" s="28">
        <v>0.9</v>
      </c>
      <c r="T481" s="26">
        <v>0.91152375750955805</v>
      </c>
      <c r="U481" s="26">
        <v>0.92102114080574404</v>
      </c>
      <c r="V481" s="26">
        <v>0.92105263157894701</v>
      </c>
      <c r="W481" s="26">
        <v>0.91979328165374696</v>
      </c>
      <c r="X481" s="28">
        <v>0.92</v>
      </c>
      <c r="Y481" s="28">
        <v>0.92528735632183901</v>
      </c>
      <c r="Z481" s="28">
        <v>0.95539033457249101</v>
      </c>
      <c r="AA481" s="28">
        <v>0.94557195571955699</v>
      </c>
      <c r="AB481" s="28">
        <v>0.94516806722689095</v>
      </c>
      <c r="AC481" s="28">
        <v>0.92</v>
      </c>
      <c r="AD481" s="26">
        <v>0.99610894941634198</v>
      </c>
      <c r="AE481" s="26">
        <v>0.99401709401709404</v>
      </c>
      <c r="AF481" s="26">
        <v>0.991439688715953</v>
      </c>
      <c r="AG481" s="26">
        <v>0.99531782065834296</v>
      </c>
      <c r="AH481" s="28">
        <v>0.92</v>
      </c>
      <c r="AI481" s="26">
        <v>0.95144202472042405</v>
      </c>
      <c r="AJ481" s="26">
        <v>0.97209415190487702</v>
      </c>
      <c r="AK481" s="26">
        <v>0.95750535004585802</v>
      </c>
      <c r="AL481" s="26">
        <v>0.96228577381882596</v>
      </c>
      <c r="AM481" s="25">
        <v>0.99</v>
      </c>
      <c r="AN481" s="30">
        <v>1</v>
      </c>
      <c r="AO481" s="30">
        <v>1</v>
      </c>
      <c r="AP481" s="30">
        <v>1</v>
      </c>
      <c r="AQ481" s="30">
        <v>1</v>
      </c>
      <c r="AR481" s="50">
        <v>0.05</v>
      </c>
      <c r="AS481" s="34">
        <v>0</v>
      </c>
      <c r="AT481" s="34">
        <v>0</v>
      </c>
      <c r="AU481" s="34">
        <v>6.25E-2</v>
      </c>
      <c r="AV481" s="34">
        <v>2.6785714285714302E-2</v>
      </c>
      <c r="AW481" s="10"/>
      <c r="AX481" s="8"/>
    </row>
    <row r="482" spans="1:50">
      <c r="A482" s="7"/>
      <c r="B482" s="10"/>
      <c r="C482" s="45" t="s">
        <v>396</v>
      </c>
      <c r="D482" s="23" t="s">
        <v>19</v>
      </c>
      <c r="E482" s="46" t="s">
        <v>528</v>
      </c>
      <c r="F482" s="46" t="s">
        <v>528</v>
      </c>
      <c r="G482" s="46" t="s">
        <v>528</v>
      </c>
      <c r="H482" s="46" t="s">
        <v>528</v>
      </c>
      <c r="I482" s="25">
        <v>0.9</v>
      </c>
      <c r="J482" s="26">
        <v>1</v>
      </c>
      <c r="K482" s="26">
        <v>0.952380952380952</v>
      </c>
      <c r="L482" s="27">
        <v>1</v>
      </c>
      <c r="M482" s="26">
        <v>0.96363636363636396</v>
      </c>
      <c r="N482" s="28">
        <v>0.9</v>
      </c>
      <c r="O482" s="26">
        <v>0.99478623566214797</v>
      </c>
      <c r="P482" s="26">
        <v>0.988249845392703</v>
      </c>
      <c r="Q482" s="26">
        <v>0.994957983193277</v>
      </c>
      <c r="R482" s="26">
        <v>0.99464176362523005</v>
      </c>
      <c r="S482" s="28">
        <v>0.9</v>
      </c>
      <c r="T482" s="26">
        <v>0.920750782064651</v>
      </c>
      <c r="U482" s="26">
        <v>0.87322201607915895</v>
      </c>
      <c r="V482" s="26">
        <v>0.92773109243697505</v>
      </c>
      <c r="W482" s="26">
        <v>0.92176974892835295</v>
      </c>
      <c r="X482" s="28">
        <v>0.92</v>
      </c>
      <c r="Y482" s="28">
        <v>0.96801705756929601</v>
      </c>
      <c r="Z482" s="28">
        <v>0.97471264367816102</v>
      </c>
      <c r="AA482" s="28">
        <v>0.95695695695695704</v>
      </c>
      <c r="AB482" s="28">
        <v>0.95899347623485598</v>
      </c>
      <c r="AC482" s="28">
        <v>0.92</v>
      </c>
      <c r="AD482" s="26">
        <v>0.99193548387096797</v>
      </c>
      <c r="AE482" s="26">
        <v>0.977443609022556</v>
      </c>
      <c r="AF482" s="26">
        <v>0.99259259259259303</v>
      </c>
      <c r="AG482" s="26">
        <v>0.98230088495575196</v>
      </c>
      <c r="AH482" s="28">
        <v>0.92</v>
      </c>
      <c r="AI482" s="26">
        <v>0.97680548234053799</v>
      </c>
      <c r="AJ482" s="26">
        <v>0.98794212218649502</v>
      </c>
      <c r="AK482" s="26">
        <v>0.96549560853199501</v>
      </c>
      <c r="AL482" s="26">
        <v>0.97579628540213503</v>
      </c>
      <c r="AM482" s="25">
        <v>0.99</v>
      </c>
      <c r="AN482" s="30">
        <v>1</v>
      </c>
      <c r="AO482" s="30">
        <v>1</v>
      </c>
      <c r="AP482" s="30">
        <v>1</v>
      </c>
      <c r="AQ482" s="30">
        <v>1</v>
      </c>
      <c r="AR482" s="50">
        <v>0.05</v>
      </c>
      <c r="AS482" s="34">
        <v>0</v>
      </c>
      <c r="AT482" s="34">
        <v>0.33333333333333298</v>
      </c>
      <c r="AU482" s="34">
        <v>0.16666666666666699</v>
      </c>
      <c r="AV482" s="34">
        <v>9.6774193548387094E-2</v>
      </c>
      <c r="AW482" s="10"/>
      <c r="AX482" s="8"/>
    </row>
    <row r="483" spans="1:50">
      <c r="A483" s="7"/>
      <c r="B483" s="10"/>
      <c r="C483" s="45" t="s">
        <v>396</v>
      </c>
      <c r="D483" s="23" t="s">
        <v>19</v>
      </c>
      <c r="E483" s="46" t="s">
        <v>529</v>
      </c>
      <c r="F483" s="46" t="s">
        <v>529</v>
      </c>
      <c r="G483" s="46" t="s">
        <v>529</v>
      </c>
      <c r="H483" s="46" t="s">
        <v>529</v>
      </c>
      <c r="I483" s="25">
        <v>0.9</v>
      </c>
      <c r="J483" s="26">
        <v>0.92727272727272703</v>
      </c>
      <c r="K483" s="26">
        <v>0.83928571428571397</v>
      </c>
      <c r="L483" s="27">
        <v>0.82</v>
      </c>
      <c r="M483" s="26">
        <v>0.83557046979865801</v>
      </c>
      <c r="N483" s="28">
        <v>0.9</v>
      </c>
      <c r="O483" s="26">
        <v>0.96371803731858996</v>
      </c>
      <c r="P483" s="26">
        <v>0.94034378159757304</v>
      </c>
      <c r="Q483" s="26">
        <v>0.91200434546442199</v>
      </c>
      <c r="R483" s="26">
        <v>0.92705837851468897</v>
      </c>
      <c r="S483" s="28">
        <v>0.9</v>
      </c>
      <c r="T483" s="26">
        <v>0.87456807187284002</v>
      </c>
      <c r="U483" s="26">
        <v>0.83847320525783597</v>
      </c>
      <c r="V483" s="26">
        <v>0.88593155893536102</v>
      </c>
      <c r="W483" s="26">
        <v>0.83804060017652204</v>
      </c>
      <c r="X483" s="28">
        <v>0.92</v>
      </c>
      <c r="Y483" s="28">
        <v>0.91265060240963902</v>
      </c>
      <c r="Z483" s="28">
        <v>0.92774465099964898</v>
      </c>
      <c r="AA483" s="28">
        <v>0.85485592315901804</v>
      </c>
      <c r="AB483" s="28">
        <v>0.87041608960077099</v>
      </c>
      <c r="AC483" s="28">
        <v>0.92</v>
      </c>
      <c r="AD483" s="26">
        <v>0.998200051427102</v>
      </c>
      <c r="AE483" s="26">
        <v>0.98093132513472403</v>
      </c>
      <c r="AF483" s="26">
        <v>0.98711131140153197</v>
      </c>
      <c r="AG483" s="26">
        <v>0.91098763534140104</v>
      </c>
      <c r="AH483" s="28">
        <v>0.92</v>
      </c>
      <c r="AI483" s="26">
        <v>0.94289317240136905</v>
      </c>
      <c r="AJ483" s="26">
        <v>0.95827824298516195</v>
      </c>
      <c r="AK483" s="26">
        <v>0.89051878354203895</v>
      </c>
      <c r="AL483" s="26">
        <v>0.91694638622855895</v>
      </c>
      <c r="AM483" s="25">
        <v>0.99</v>
      </c>
      <c r="AN483" s="30">
        <v>1</v>
      </c>
      <c r="AO483" s="30">
        <v>1</v>
      </c>
      <c r="AP483" s="30">
        <v>1</v>
      </c>
      <c r="AQ483" s="30">
        <v>1</v>
      </c>
      <c r="AR483" s="50">
        <v>0.05</v>
      </c>
      <c r="AS483" s="34">
        <v>2.7777777777777801E-2</v>
      </c>
      <c r="AT483" s="34">
        <v>3.2258064516128997E-2</v>
      </c>
      <c r="AU483" s="34">
        <v>6.0606060606060601E-2</v>
      </c>
      <c r="AV483" s="34">
        <v>3.0456852791878201E-2</v>
      </c>
      <c r="AW483" s="10"/>
      <c r="AX483" s="8"/>
    </row>
    <row r="484" spans="1:50">
      <c r="A484" s="7"/>
      <c r="B484" s="10"/>
      <c r="C484" s="45" t="s">
        <v>396</v>
      </c>
      <c r="D484" s="23" t="s">
        <v>19</v>
      </c>
      <c r="E484" s="46" t="s">
        <v>530</v>
      </c>
      <c r="F484" s="46" t="s">
        <v>530</v>
      </c>
      <c r="G484" s="46" t="s">
        <v>530</v>
      </c>
      <c r="H484" s="46" t="s">
        <v>530</v>
      </c>
      <c r="I484" s="25">
        <v>0.9</v>
      </c>
      <c r="J484" s="26">
        <v>0.85</v>
      </c>
      <c r="K484" s="26">
        <v>0.87179487179487203</v>
      </c>
      <c r="L484" s="27">
        <v>0.83333333333333304</v>
      </c>
      <c r="M484" s="26">
        <v>0.85849056603773599</v>
      </c>
      <c r="N484" s="28">
        <v>0.9</v>
      </c>
      <c r="O484" s="26">
        <v>0.93701226309922003</v>
      </c>
      <c r="P484" s="26">
        <v>0.94768962510898003</v>
      </c>
      <c r="Q484" s="26">
        <v>0.96590909090909105</v>
      </c>
      <c r="R484" s="26">
        <v>0.93827685116328496</v>
      </c>
      <c r="S484" s="28">
        <v>0.9</v>
      </c>
      <c r="T484" s="26">
        <v>0.90468227424749204</v>
      </c>
      <c r="U484" s="26">
        <v>0.886224934612031</v>
      </c>
      <c r="V484" s="26">
        <v>0.90151515151515105</v>
      </c>
      <c r="W484" s="26">
        <v>0.88441517050887097</v>
      </c>
      <c r="X484" s="28">
        <v>0.92</v>
      </c>
      <c r="Y484" s="28">
        <v>0.89179104477611904</v>
      </c>
      <c r="Z484" s="28">
        <v>0.87615207373271897</v>
      </c>
      <c r="AA484" s="28">
        <v>0.86685552407931998</v>
      </c>
      <c r="AB484" s="28">
        <v>0.86666666666666703</v>
      </c>
      <c r="AC484" s="28">
        <v>0.92</v>
      </c>
      <c r="AD484" s="26">
        <v>0.99875404933964596</v>
      </c>
      <c r="AE484" s="26">
        <v>0.99854085603112797</v>
      </c>
      <c r="AF484" s="26">
        <v>0.99681170292573096</v>
      </c>
      <c r="AG484" s="26">
        <v>0.99741873804971304</v>
      </c>
      <c r="AH484" s="28">
        <v>0.92</v>
      </c>
      <c r="AI484" s="26">
        <v>0.92798353909465003</v>
      </c>
      <c r="AJ484" s="26">
        <v>0.92830563135698296</v>
      </c>
      <c r="AK484" s="26">
        <v>0.90012602394454899</v>
      </c>
      <c r="AL484" s="26">
        <v>0.91200752429720999</v>
      </c>
      <c r="AM484" s="25">
        <v>0.99</v>
      </c>
      <c r="AN484" s="30">
        <v>1</v>
      </c>
      <c r="AO484" s="30">
        <v>1</v>
      </c>
      <c r="AP484" s="30">
        <v>1</v>
      </c>
      <c r="AQ484" s="30">
        <v>1</v>
      </c>
      <c r="AR484" s="50">
        <v>0.05</v>
      </c>
      <c r="AS484" s="34">
        <v>0.11111111111111099</v>
      </c>
      <c r="AT484" s="34">
        <v>4.7619047619047603E-2</v>
      </c>
      <c r="AU484" s="34">
        <v>9.0909090909090898E-2</v>
      </c>
      <c r="AV484" s="34">
        <v>5.2631578947368397E-2</v>
      </c>
      <c r="AW484" s="10"/>
      <c r="AX484" s="8"/>
    </row>
    <row r="485" spans="1:50">
      <c r="A485" s="7"/>
      <c r="B485" s="10"/>
      <c r="C485" s="45" t="s">
        <v>396</v>
      </c>
      <c r="D485" s="23" t="s">
        <v>19</v>
      </c>
      <c r="E485" s="46" t="s">
        <v>531</v>
      </c>
      <c r="F485" s="46" t="s">
        <v>531</v>
      </c>
      <c r="G485" s="46" t="s">
        <v>531</v>
      </c>
      <c r="H485" s="46" t="s">
        <v>531</v>
      </c>
      <c r="I485" s="25">
        <v>0.9</v>
      </c>
      <c r="J485" s="26">
        <v>0.72727272727272696</v>
      </c>
      <c r="K485" s="26">
        <v>0.76086956521739102</v>
      </c>
      <c r="L485" s="27">
        <v>0.76315789473684204</v>
      </c>
      <c r="M485" s="26">
        <v>0.73443983402489599</v>
      </c>
      <c r="N485" s="28">
        <v>0.9</v>
      </c>
      <c r="O485" s="26">
        <v>0.97392581711347803</v>
      </c>
      <c r="P485" s="26">
        <v>0.90038022813688201</v>
      </c>
      <c r="Q485" s="26">
        <v>0.96683046683046703</v>
      </c>
      <c r="R485" s="26">
        <v>0.93710520953609999</v>
      </c>
      <c r="S485" s="28">
        <v>0.9</v>
      </c>
      <c r="T485" s="26">
        <v>0.83400661035622503</v>
      </c>
      <c r="U485" s="26">
        <v>0.76679340937896101</v>
      </c>
      <c r="V485" s="26">
        <v>0.84766584766584796</v>
      </c>
      <c r="W485" s="26">
        <v>0.80431977178564196</v>
      </c>
      <c r="X485" s="28">
        <v>0.92</v>
      </c>
      <c r="Y485" s="28">
        <v>0.88937728937728899</v>
      </c>
      <c r="Z485" s="28">
        <v>0.88523391812865504</v>
      </c>
      <c r="AA485" s="28">
        <v>0.81600407747196702</v>
      </c>
      <c r="AB485" s="28">
        <v>0.83464001436351698</v>
      </c>
      <c r="AC485" s="28">
        <v>0.92</v>
      </c>
      <c r="AD485" s="26">
        <v>0.99212812160694897</v>
      </c>
      <c r="AE485" s="26">
        <v>0.96176024279210903</v>
      </c>
      <c r="AF485" s="26">
        <v>0.99254783484390696</v>
      </c>
      <c r="AG485" s="26">
        <v>0.98308845281530399</v>
      </c>
      <c r="AH485" s="28">
        <v>0.92</v>
      </c>
      <c r="AI485" s="26">
        <v>0.92775944261092802</v>
      </c>
      <c r="AJ485" s="26">
        <v>0.93804250224483698</v>
      </c>
      <c r="AK485" s="26">
        <v>0.84909058166756701</v>
      </c>
      <c r="AL485" s="26">
        <v>0.89059220151389895</v>
      </c>
      <c r="AM485" s="25">
        <v>0.99</v>
      </c>
      <c r="AN485" s="30">
        <v>1</v>
      </c>
      <c r="AO485" s="30">
        <v>1</v>
      </c>
      <c r="AP485" s="30">
        <v>1</v>
      </c>
      <c r="AQ485" s="30">
        <v>1</v>
      </c>
      <c r="AR485" s="50">
        <v>0.05</v>
      </c>
      <c r="AS485" s="34">
        <v>0</v>
      </c>
      <c r="AT485" s="34">
        <v>1.1952191235059801E-2</v>
      </c>
      <c r="AU485" s="34">
        <v>1.4084507042253501E-2</v>
      </c>
      <c r="AV485" s="34">
        <v>5.8910162002945498E-3</v>
      </c>
      <c r="AW485" s="10"/>
      <c r="AX485" s="8"/>
    </row>
    <row r="486" spans="1:50">
      <c r="A486" s="7"/>
      <c r="B486" s="10"/>
      <c r="C486" s="45" t="s">
        <v>396</v>
      </c>
      <c r="D486" s="23" t="s">
        <v>19</v>
      </c>
      <c r="E486" s="46" t="s">
        <v>532</v>
      </c>
      <c r="F486" s="46" t="s">
        <v>532</v>
      </c>
      <c r="G486" s="46" t="s">
        <v>532</v>
      </c>
      <c r="H486" s="46" t="s">
        <v>532</v>
      </c>
      <c r="I486" s="25">
        <v>0.9</v>
      </c>
      <c r="J486" s="26">
        <v>0.97435897435897401</v>
      </c>
      <c r="K486" s="26">
        <v>1</v>
      </c>
      <c r="L486" s="27">
        <v>0.94871794871794901</v>
      </c>
      <c r="M486" s="26">
        <v>0.98165137614678899</v>
      </c>
      <c r="N486" s="28">
        <v>0.9</v>
      </c>
      <c r="O486" s="26">
        <v>0.98705501618123004</v>
      </c>
      <c r="P486" s="26">
        <v>0.98729227761485805</v>
      </c>
      <c r="Q486" s="26">
        <v>0.99763033175355498</v>
      </c>
      <c r="R486" s="26">
        <v>0.99113233287858105</v>
      </c>
      <c r="S486" s="28">
        <v>0.9</v>
      </c>
      <c r="T486" s="26">
        <v>0.92371705963938999</v>
      </c>
      <c r="U486" s="26">
        <v>0.91039426523297495</v>
      </c>
      <c r="V486" s="26">
        <v>0.94312796208530802</v>
      </c>
      <c r="W486" s="26">
        <v>0.92394270122783095</v>
      </c>
      <c r="X486" s="28">
        <v>0.92</v>
      </c>
      <c r="Y486" s="28">
        <v>0.93612334801762098</v>
      </c>
      <c r="Z486" s="28">
        <v>0.92689161554192201</v>
      </c>
      <c r="AA486" s="28">
        <v>0.93420074349442395</v>
      </c>
      <c r="AB486" s="28">
        <v>0.9323499491353</v>
      </c>
      <c r="AC486" s="28">
        <v>0.92</v>
      </c>
      <c r="AD486" s="26">
        <v>0.99888703394546496</v>
      </c>
      <c r="AE486" s="26">
        <v>0.99829448550312705</v>
      </c>
      <c r="AF486" s="26">
        <v>1</v>
      </c>
      <c r="AG486" s="26">
        <v>0.99774557165861499</v>
      </c>
      <c r="AH486" s="28">
        <v>0.92</v>
      </c>
      <c r="AI486" s="26">
        <v>0.96205076652425203</v>
      </c>
      <c r="AJ486" s="26">
        <v>0.96000795861520105</v>
      </c>
      <c r="AK486" s="26">
        <v>0.95222446916076797</v>
      </c>
      <c r="AL486" s="26">
        <v>0.95880977683315605</v>
      </c>
      <c r="AM486" s="25">
        <v>0.99</v>
      </c>
      <c r="AN486" s="30">
        <v>1</v>
      </c>
      <c r="AO486" s="30">
        <v>1</v>
      </c>
      <c r="AP486" s="30">
        <v>1</v>
      </c>
      <c r="AQ486" s="30">
        <v>1</v>
      </c>
      <c r="AR486" s="50">
        <v>0.05</v>
      </c>
      <c r="AS486" s="34">
        <v>6.25E-2</v>
      </c>
      <c r="AT486" s="34">
        <v>0</v>
      </c>
      <c r="AU486" s="34">
        <v>0</v>
      </c>
      <c r="AV486" s="34">
        <v>2.9702970297029702E-2</v>
      </c>
      <c r="AW486" s="10"/>
      <c r="AX486" s="8"/>
    </row>
    <row r="487" spans="1:50">
      <c r="A487" s="7"/>
      <c r="B487" s="10"/>
      <c r="C487" s="45" t="s">
        <v>396</v>
      </c>
      <c r="D487" s="23" t="s">
        <v>19</v>
      </c>
      <c r="E487" s="46" t="s">
        <v>533</v>
      </c>
      <c r="F487" s="46" t="s">
        <v>533</v>
      </c>
      <c r="G487" s="46" t="s">
        <v>533</v>
      </c>
      <c r="H487" s="46" t="s">
        <v>533</v>
      </c>
      <c r="I487" s="25">
        <v>0.9</v>
      </c>
      <c r="J487" s="26">
        <v>0.89285714285714302</v>
      </c>
      <c r="K487" s="26">
        <v>0.92857142857142905</v>
      </c>
      <c r="L487" s="27">
        <v>1</v>
      </c>
      <c r="M487" s="26">
        <v>0.94405594405594395</v>
      </c>
      <c r="N487" s="28">
        <v>0.9</v>
      </c>
      <c r="O487" s="26">
        <v>0.90885860306643995</v>
      </c>
      <c r="P487" s="26">
        <v>0.94768392370572196</v>
      </c>
      <c r="Q487" s="26">
        <v>0.95738636363636398</v>
      </c>
      <c r="R487" s="26">
        <v>0.92501143118427098</v>
      </c>
      <c r="S487" s="28">
        <v>0.9</v>
      </c>
      <c r="T487" s="26">
        <v>0.88500851788756396</v>
      </c>
      <c r="U487" s="26">
        <v>0.88283378746593999</v>
      </c>
      <c r="V487" s="26">
        <v>0.88920454545454497</v>
      </c>
      <c r="W487" s="26">
        <v>0.862216125590611</v>
      </c>
      <c r="X487" s="28">
        <v>0.92</v>
      </c>
      <c r="Y487" s="28">
        <v>0.92814960629921295</v>
      </c>
      <c r="Z487" s="28">
        <v>0.94157088122605404</v>
      </c>
      <c r="AA487" s="28">
        <v>0.91388888888888897</v>
      </c>
      <c r="AB487" s="28">
        <v>0.88757993941433899</v>
      </c>
      <c r="AC487" s="28">
        <v>0.92</v>
      </c>
      <c r="AD487" s="26">
        <v>0.99310344827586206</v>
      </c>
      <c r="AE487" s="26">
        <v>0.99166666666666703</v>
      </c>
      <c r="AF487" s="26">
        <v>0.99137931034482796</v>
      </c>
      <c r="AG487" s="26">
        <v>0.99376947040498398</v>
      </c>
      <c r="AH487" s="28">
        <v>0.92</v>
      </c>
      <c r="AI487" s="26">
        <v>0.94885844748858394</v>
      </c>
      <c r="AJ487" s="26">
        <v>0.96527777777777801</v>
      </c>
      <c r="AK487" s="26">
        <v>0.93557422969187698</v>
      </c>
      <c r="AL487" s="26">
        <v>0.92875419798496694</v>
      </c>
      <c r="AM487" s="25">
        <v>0.99</v>
      </c>
      <c r="AN487" s="30">
        <v>1</v>
      </c>
      <c r="AO487" s="30">
        <v>1</v>
      </c>
      <c r="AP487" s="30">
        <v>1</v>
      </c>
      <c r="AQ487" s="30">
        <v>1</v>
      </c>
      <c r="AR487" s="50">
        <v>0.05</v>
      </c>
      <c r="AS487" s="34">
        <v>0</v>
      </c>
      <c r="AT487" s="34">
        <v>1.05263157894737E-2</v>
      </c>
      <c r="AU487" s="34">
        <v>0</v>
      </c>
      <c r="AV487" s="34">
        <v>2.0661157024793402E-3</v>
      </c>
      <c r="AW487" s="10"/>
      <c r="AX487" s="8"/>
    </row>
    <row r="488" spans="1:50">
      <c r="A488" s="7"/>
      <c r="B488" s="10"/>
      <c r="C488" s="45" t="s">
        <v>396</v>
      </c>
      <c r="D488" s="23" t="s">
        <v>19</v>
      </c>
      <c r="E488" s="46" t="s">
        <v>534</v>
      </c>
      <c r="F488" s="46" t="s">
        <v>534</v>
      </c>
      <c r="G488" s="46" t="s">
        <v>534</v>
      </c>
      <c r="H488" s="46" t="s">
        <v>534</v>
      </c>
      <c r="I488" s="25">
        <v>0.9</v>
      </c>
      <c r="J488" s="26">
        <v>0.86486486486486502</v>
      </c>
      <c r="K488" s="26">
        <v>0.94594594594594605</v>
      </c>
      <c r="L488" s="27">
        <v>0.84375</v>
      </c>
      <c r="M488" s="26">
        <v>0.83</v>
      </c>
      <c r="N488" s="28">
        <v>0.9</v>
      </c>
      <c r="O488" s="26">
        <v>0.98340471092077097</v>
      </c>
      <c r="P488" s="26">
        <v>0.87648456057007096</v>
      </c>
      <c r="Q488" s="26">
        <v>0.95833333333333304</v>
      </c>
      <c r="R488" s="26">
        <v>0.94747274529236902</v>
      </c>
      <c r="S488" s="28">
        <v>0.9</v>
      </c>
      <c r="T488" s="26">
        <v>0.84689507494646699</v>
      </c>
      <c r="U488" s="26">
        <v>0.63691890057685796</v>
      </c>
      <c r="V488" s="26">
        <v>0.84848484848484895</v>
      </c>
      <c r="W488" s="26">
        <v>0.78245787908820597</v>
      </c>
      <c r="X488" s="28">
        <v>0.92</v>
      </c>
      <c r="Y488" s="28">
        <v>0.86528189910979203</v>
      </c>
      <c r="Z488" s="28">
        <v>0.86830601092896198</v>
      </c>
      <c r="AA488" s="28">
        <v>0.77820267686424505</v>
      </c>
      <c r="AB488" s="28">
        <v>0.84445502141837203</v>
      </c>
      <c r="AC488" s="28">
        <v>0.92</v>
      </c>
      <c r="AD488" s="26">
        <v>0.99468085106382997</v>
      </c>
      <c r="AE488" s="26">
        <v>0.97872340425531901</v>
      </c>
      <c r="AF488" s="26">
        <v>0.95778364116095005</v>
      </c>
      <c r="AG488" s="26">
        <v>0.98074921956295502</v>
      </c>
      <c r="AH488" s="28">
        <v>0.92</v>
      </c>
      <c r="AI488" s="26">
        <v>0.91136747326955503</v>
      </c>
      <c r="AJ488" s="26">
        <v>0.92924429558300203</v>
      </c>
      <c r="AK488" s="26">
        <v>0.83994919021911696</v>
      </c>
      <c r="AL488" s="26">
        <v>0.90057287115253903</v>
      </c>
      <c r="AM488" s="25">
        <v>0.99</v>
      </c>
      <c r="AN488" s="30">
        <v>1</v>
      </c>
      <c r="AO488" s="30">
        <v>1</v>
      </c>
      <c r="AP488" s="30">
        <v>1</v>
      </c>
      <c r="AQ488" s="30">
        <v>1</v>
      </c>
      <c r="AR488" s="50">
        <v>0.05</v>
      </c>
      <c r="AS488" s="34">
        <v>0</v>
      </c>
      <c r="AT488" s="34">
        <v>7.1428571428571397E-2</v>
      </c>
      <c r="AU488" s="34">
        <v>0</v>
      </c>
      <c r="AV488" s="34">
        <v>6.7796610169491497E-2</v>
      </c>
      <c r="AW488" s="10"/>
      <c r="AX488" s="8"/>
    </row>
    <row r="489" spans="1:50">
      <c r="A489" s="7"/>
      <c r="B489" s="10"/>
      <c r="C489" s="45" t="s">
        <v>396</v>
      </c>
      <c r="D489" s="23" t="s">
        <v>19</v>
      </c>
      <c r="E489" s="46" t="s">
        <v>535</v>
      </c>
      <c r="F489" s="46" t="s">
        <v>535</v>
      </c>
      <c r="G489" s="46" t="s">
        <v>535</v>
      </c>
      <c r="H489" s="46" t="s">
        <v>535</v>
      </c>
      <c r="I489" s="25">
        <v>0.9</v>
      </c>
      <c r="J489" s="26">
        <v>0.97560975609756095</v>
      </c>
      <c r="K489" s="26">
        <v>0.97777777777777797</v>
      </c>
      <c r="L489" s="27">
        <v>0.93181818181818199</v>
      </c>
      <c r="M489" s="26">
        <v>0.94893617021276599</v>
      </c>
      <c r="N489" s="28">
        <v>0.9</v>
      </c>
      <c r="O489" s="26">
        <v>0.948431456811345</v>
      </c>
      <c r="P489" s="26">
        <v>0.98628389154704899</v>
      </c>
      <c r="Q489" s="26">
        <v>0.98718914845516204</v>
      </c>
      <c r="R489" s="26">
        <v>0.97783770118816904</v>
      </c>
      <c r="S489" s="28">
        <v>0.9</v>
      </c>
      <c r="T489" s="26">
        <v>0.93038246669531599</v>
      </c>
      <c r="U489" s="26">
        <v>0.90590111642743198</v>
      </c>
      <c r="V489" s="26">
        <v>0.94272795779954799</v>
      </c>
      <c r="W489" s="26">
        <v>0.90772731103058901</v>
      </c>
      <c r="X489" s="28">
        <v>0.92</v>
      </c>
      <c r="Y489" s="28">
        <v>0.92178217821782205</v>
      </c>
      <c r="Z489" s="28">
        <v>0.94238476953907802</v>
      </c>
      <c r="AA489" s="28">
        <v>0.92800303145130703</v>
      </c>
      <c r="AB489" s="28">
        <v>0.91207414829659295</v>
      </c>
      <c r="AC489" s="28">
        <v>0.92</v>
      </c>
      <c r="AD489" s="26">
        <v>0.99846255216340896</v>
      </c>
      <c r="AE489" s="26">
        <v>0.97994370161857802</v>
      </c>
      <c r="AF489" s="26">
        <v>0.99626140272169905</v>
      </c>
      <c r="AG489" s="26">
        <v>0.98685186433821004</v>
      </c>
      <c r="AH489" s="28">
        <v>0.92</v>
      </c>
      <c r="AI489" s="26">
        <v>0.95377184912603497</v>
      </c>
      <c r="AJ489" s="26">
        <v>0.96725784447476104</v>
      </c>
      <c r="AK489" s="26">
        <v>0.94805849722642499</v>
      </c>
      <c r="AL489" s="26">
        <v>0.94443512538790597</v>
      </c>
      <c r="AM489" s="25">
        <v>0.99</v>
      </c>
      <c r="AN489" s="30">
        <v>1</v>
      </c>
      <c r="AO489" s="30">
        <v>1</v>
      </c>
      <c r="AP489" s="30">
        <v>1</v>
      </c>
      <c r="AQ489" s="30">
        <v>1</v>
      </c>
      <c r="AR489" s="50">
        <v>0.05</v>
      </c>
      <c r="AS489" s="34">
        <v>0</v>
      </c>
      <c r="AT489" s="34">
        <v>0</v>
      </c>
      <c r="AU489" s="34">
        <v>5.2631578947368397E-2</v>
      </c>
      <c r="AV489" s="34">
        <v>3.2000000000000001E-2</v>
      </c>
      <c r="AW489" s="10"/>
      <c r="AX489" s="8"/>
    </row>
    <row r="490" spans="1:50">
      <c r="A490" s="7"/>
      <c r="B490" s="10"/>
      <c r="C490" s="45" t="s">
        <v>396</v>
      </c>
      <c r="D490" s="23" t="s">
        <v>19</v>
      </c>
      <c r="E490" s="46" t="s">
        <v>536</v>
      </c>
      <c r="F490" s="46" t="s">
        <v>536</v>
      </c>
      <c r="G490" s="46" t="s">
        <v>536</v>
      </c>
      <c r="H490" s="46" t="s">
        <v>536</v>
      </c>
      <c r="I490" s="25">
        <v>0.9</v>
      </c>
      <c r="J490" s="26">
        <v>0.89795918367346905</v>
      </c>
      <c r="K490" s="26">
        <v>0.89090909090909098</v>
      </c>
      <c r="L490" s="27">
        <v>0.95555555555555605</v>
      </c>
      <c r="M490" s="26">
        <v>0.91958041958042003</v>
      </c>
      <c r="N490" s="28">
        <v>0.9</v>
      </c>
      <c r="O490" s="26">
        <v>0.976696012428793</v>
      </c>
      <c r="P490" s="26">
        <v>0.97267759562841505</v>
      </c>
      <c r="Q490" s="26">
        <v>0.95369127516778496</v>
      </c>
      <c r="R490" s="26">
        <v>0.94778752622544304</v>
      </c>
      <c r="S490" s="28">
        <v>0.9</v>
      </c>
      <c r="T490" s="26">
        <v>0.89487312273433495</v>
      </c>
      <c r="U490" s="26">
        <v>0.91319882303488897</v>
      </c>
      <c r="V490" s="26">
        <v>0.96375838926174495</v>
      </c>
      <c r="W490" s="26">
        <v>0.91851039481213004</v>
      </c>
      <c r="X490" s="28">
        <v>0.92</v>
      </c>
      <c r="Y490" s="28">
        <v>0.93597304128053904</v>
      </c>
      <c r="Z490" s="28">
        <v>0.94986449864498601</v>
      </c>
      <c r="AA490" s="28">
        <v>0.96053430479659996</v>
      </c>
      <c r="AB490" s="28">
        <v>0.94337035513506096</v>
      </c>
      <c r="AC490" s="28">
        <v>0.92</v>
      </c>
      <c r="AD490" s="26">
        <v>0.99667774086378702</v>
      </c>
      <c r="AE490" s="26">
        <v>0.99580712788259995</v>
      </c>
      <c r="AF490" s="26">
        <v>0.99115044247787598</v>
      </c>
      <c r="AG490" s="26">
        <v>0.99282692661394201</v>
      </c>
      <c r="AH490" s="28">
        <v>0.92</v>
      </c>
      <c r="AI490" s="26">
        <v>0.97050673000791798</v>
      </c>
      <c r="AJ490" s="26">
        <v>0.98075689544579903</v>
      </c>
      <c r="AK490" s="26">
        <v>0.97545425565827204</v>
      </c>
      <c r="AL490" s="26">
        <v>0.97697368421052599</v>
      </c>
      <c r="AM490" s="25">
        <v>0.99</v>
      </c>
      <c r="AN490" s="30">
        <v>1</v>
      </c>
      <c r="AO490" s="30">
        <v>1</v>
      </c>
      <c r="AP490" s="30">
        <v>1</v>
      </c>
      <c r="AQ490" s="30">
        <v>1</v>
      </c>
      <c r="AR490" s="50">
        <v>0.05</v>
      </c>
      <c r="AS490" s="34">
        <v>9.0909090909090898E-2</v>
      </c>
      <c r="AT490" s="34">
        <v>7.1428571428571397E-2</v>
      </c>
      <c r="AU490" s="34">
        <v>0.125</v>
      </c>
      <c r="AV490" s="34">
        <v>0.122448979591837</v>
      </c>
      <c r="AW490" s="10"/>
      <c r="AX490" s="8"/>
    </row>
    <row r="491" spans="1:50">
      <c r="A491" s="7"/>
      <c r="B491" s="10"/>
      <c r="C491" s="45" t="s">
        <v>396</v>
      </c>
      <c r="D491" s="23" t="s">
        <v>19</v>
      </c>
      <c r="E491" s="46" t="s">
        <v>537</v>
      </c>
      <c r="F491" s="46" t="s">
        <v>537</v>
      </c>
      <c r="G491" s="46" t="s">
        <v>537</v>
      </c>
      <c r="H491" s="46" t="s">
        <v>537</v>
      </c>
      <c r="I491" s="25">
        <v>0.9</v>
      </c>
      <c r="J491" s="26">
        <v>0.85714285714285698</v>
      </c>
      <c r="K491" s="26">
        <v>0.88095238095238104</v>
      </c>
      <c r="L491" s="27">
        <v>0.93333333333333302</v>
      </c>
      <c r="M491" s="26">
        <v>0.90610328638497695</v>
      </c>
      <c r="N491" s="28">
        <v>0.9</v>
      </c>
      <c r="O491" s="26">
        <v>0.97621776504297997</v>
      </c>
      <c r="P491" s="26">
        <v>0.95089285714285698</v>
      </c>
      <c r="Q491" s="26">
        <v>0.98025867937372402</v>
      </c>
      <c r="R491" s="26">
        <v>0.95895972786129702</v>
      </c>
      <c r="S491" s="28">
        <v>0.9</v>
      </c>
      <c r="T491" s="26">
        <v>0.82234957020057298</v>
      </c>
      <c r="U491" s="26">
        <v>0.875</v>
      </c>
      <c r="V491" s="26">
        <v>0.930565010211028</v>
      </c>
      <c r="W491" s="26">
        <v>0.87940305058707302</v>
      </c>
      <c r="X491" s="28">
        <v>0.92</v>
      </c>
      <c r="Y491" s="28">
        <v>0.871</v>
      </c>
      <c r="Z491" s="28">
        <v>0.91947411668036105</v>
      </c>
      <c r="AA491" s="28">
        <v>0.90650710545998503</v>
      </c>
      <c r="AB491" s="28">
        <v>0.90919851200541102</v>
      </c>
      <c r="AC491" s="28">
        <v>0.92</v>
      </c>
      <c r="AD491" s="26">
        <v>0.99911842491918901</v>
      </c>
      <c r="AE491" s="26">
        <v>0.99852832965415705</v>
      </c>
      <c r="AF491" s="26">
        <v>0.99790958975698996</v>
      </c>
      <c r="AG491" s="26">
        <v>0.99845806487141398</v>
      </c>
      <c r="AH491" s="28">
        <v>0.92</v>
      </c>
      <c r="AI491" s="26">
        <v>0.93079661771250599</v>
      </c>
      <c r="AJ491" s="26">
        <v>0.96437416650790597</v>
      </c>
      <c r="AK491" s="26">
        <v>0.94301994301994296</v>
      </c>
      <c r="AL491" s="26">
        <v>0.95489936221320304</v>
      </c>
      <c r="AM491" s="25">
        <v>0.99</v>
      </c>
      <c r="AN491" s="30">
        <v>1</v>
      </c>
      <c r="AO491" s="30">
        <v>1</v>
      </c>
      <c r="AP491" s="30">
        <v>1</v>
      </c>
      <c r="AQ491" s="30">
        <v>1</v>
      </c>
      <c r="AR491" s="50">
        <v>0.05</v>
      </c>
      <c r="AS491" s="34">
        <v>0</v>
      </c>
      <c r="AT491" s="34">
        <v>6.6666666666666693E-2</v>
      </c>
      <c r="AU491" s="34">
        <v>0</v>
      </c>
      <c r="AV491" s="34">
        <v>2.8169014084507001E-2</v>
      </c>
      <c r="AW491" s="10"/>
      <c r="AX491" s="8"/>
    </row>
    <row r="492" spans="1:50">
      <c r="A492" s="7"/>
      <c r="B492" s="10"/>
      <c r="C492" s="45" t="s">
        <v>396</v>
      </c>
      <c r="D492" s="23" t="s">
        <v>19</v>
      </c>
      <c r="E492" s="46" t="s">
        <v>538</v>
      </c>
      <c r="F492" s="46" t="s">
        <v>538</v>
      </c>
      <c r="G492" s="46" t="s">
        <v>538</v>
      </c>
      <c r="H492" s="46" t="s">
        <v>538</v>
      </c>
      <c r="I492" s="25">
        <v>0.9</v>
      </c>
      <c r="J492" s="26">
        <v>0.95833333333333304</v>
      </c>
      <c r="K492" s="26">
        <v>0.97916666666666696</v>
      </c>
      <c r="L492" s="27">
        <v>0.95454545454545503</v>
      </c>
      <c r="M492" s="26">
        <v>0.96691176470588203</v>
      </c>
      <c r="N492" s="28">
        <v>0.9</v>
      </c>
      <c r="O492" s="26">
        <v>0.75</v>
      </c>
      <c r="P492" s="26">
        <v>0</v>
      </c>
      <c r="Q492" s="26">
        <v>1</v>
      </c>
      <c r="R492" s="26">
        <v>0.83333333333333304</v>
      </c>
      <c r="S492" s="28">
        <v>0.9</v>
      </c>
      <c r="T492" s="26">
        <v>0.25</v>
      </c>
      <c r="U492" s="26">
        <v>0</v>
      </c>
      <c r="V492" s="26">
        <v>0</v>
      </c>
      <c r="W492" s="26">
        <v>0.33333333333333298</v>
      </c>
      <c r="X492" s="28">
        <v>0.92</v>
      </c>
      <c r="Y492" s="28">
        <v>0</v>
      </c>
      <c r="Z492" s="28">
        <v>0</v>
      </c>
      <c r="AA492" s="28">
        <v>0</v>
      </c>
      <c r="AB492" s="28">
        <v>0</v>
      </c>
      <c r="AC492" s="28">
        <v>0.92</v>
      </c>
      <c r="AD492" s="26">
        <v>0.99684542586750802</v>
      </c>
      <c r="AE492" s="26">
        <v>0.99874529485570895</v>
      </c>
      <c r="AF492" s="26">
        <v>0.99365750528541197</v>
      </c>
      <c r="AG492" s="26">
        <v>0.98587962962963005</v>
      </c>
      <c r="AH492" s="28">
        <v>0.92</v>
      </c>
      <c r="AI492" s="26">
        <v>0.97320296940068796</v>
      </c>
      <c r="AJ492" s="26">
        <v>0.982113821138211</v>
      </c>
      <c r="AK492" s="26">
        <v>0.97341925090616199</v>
      </c>
      <c r="AL492" s="26">
        <v>0.96835172659309399</v>
      </c>
      <c r="AM492" s="25">
        <v>0.99</v>
      </c>
      <c r="AN492" s="30">
        <v>1</v>
      </c>
      <c r="AO492" s="30">
        <v>1</v>
      </c>
      <c r="AP492" s="30">
        <v>1</v>
      </c>
      <c r="AQ492" s="30">
        <v>1</v>
      </c>
      <c r="AR492" s="50">
        <v>0.05</v>
      </c>
      <c r="AS492" s="34">
        <v>5.2631578947368397E-2</v>
      </c>
      <c r="AT492" s="34">
        <v>0.11111111111111099</v>
      </c>
      <c r="AU492" s="34">
        <v>6.25E-2</v>
      </c>
      <c r="AV492" s="34">
        <v>6.7226890756302504E-2</v>
      </c>
      <c r="AW492" s="10"/>
      <c r="AX492" s="8"/>
    </row>
    <row r="493" spans="1:50">
      <c r="A493" s="7"/>
      <c r="B493" s="10"/>
      <c r="C493" s="45" t="s">
        <v>396</v>
      </c>
      <c r="D493" s="23" t="s">
        <v>19</v>
      </c>
      <c r="E493" s="46" t="s">
        <v>539</v>
      </c>
      <c r="F493" s="46" t="s">
        <v>539</v>
      </c>
      <c r="G493" s="46" t="s">
        <v>539</v>
      </c>
      <c r="H493" s="46" t="s">
        <v>539</v>
      </c>
      <c r="I493" s="25">
        <v>0.9</v>
      </c>
      <c r="J493" s="26">
        <v>0.87272727272727302</v>
      </c>
      <c r="K493" s="26">
        <v>0.89090909090909098</v>
      </c>
      <c r="L493" s="27">
        <v>0.86842105263157898</v>
      </c>
      <c r="M493" s="26">
        <v>0.87458745874587496</v>
      </c>
      <c r="N493" s="28">
        <v>0.9</v>
      </c>
      <c r="O493" s="26">
        <v>1</v>
      </c>
      <c r="P493" s="26">
        <v>0</v>
      </c>
      <c r="Q493" s="26">
        <v>0</v>
      </c>
      <c r="R493" s="26">
        <v>0.2</v>
      </c>
      <c r="S493" s="28">
        <v>0.9</v>
      </c>
      <c r="T493" s="26">
        <v>0</v>
      </c>
      <c r="U493" s="26">
        <v>0</v>
      </c>
      <c r="V493" s="26">
        <v>1</v>
      </c>
      <c r="W493" s="26">
        <v>0.5</v>
      </c>
      <c r="X493" s="28">
        <v>0.92</v>
      </c>
      <c r="Y493" s="28">
        <v>0</v>
      </c>
      <c r="Z493" s="28">
        <v>0.5</v>
      </c>
      <c r="AA493" s="28">
        <v>0</v>
      </c>
      <c r="AB493" s="28">
        <v>0.2</v>
      </c>
      <c r="AC493" s="28">
        <v>0.92</v>
      </c>
      <c r="AD493" s="26">
        <v>0.99415204678362601</v>
      </c>
      <c r="AE493" s="26">
        <v>0.98051282051282096</v>
      </c>
      <c r="AF493" s="26">
        <v>0.99424552429667501</v>
      </c>
      <c r="AG493" s="26">
        <v>0.99086062452399104</v>
      </c>
      <c r="AH493" s="28">
        <v>0.92</v>
      </c>
      <c r="AI493" s="26">
        <v>0.92003499562554703</v>
      </c>
      <c r="AJ493" s="26">
        <v>0.93174603174603199</v>
      </c>
      <c r="AK493" s="26">
        <v>0.81907894736842102</v>
      </c>
      <c r="AL493" s="26">
        <v>0.91333498882542796</v>
      </c>
      <c r="AM493" s="25">
        <v>0.99</v>
      </c>
      <c r="AN493" s="30">
        <v>1</v>
      </c>
      <c r="AO493" s="30">
        <v>1</v>
      </c>
      <c r="AP493" s="30">
        <v>1</v>
      </c>
      <c r="AQ493" s="30">
        <v>1</v>
      </c>
      <c r="AR493" s="50">
        <v>0.05</v>
      </c>
      <c r="AS493" s="34">
        <v>8.3333333333333301E-2</v>
      </c>
      <c r="AT493" s="34">
        <v>0</v>
      </c>
      <c r="AU493" s="34">
        <v>0.125</v>
      </c>
      <c r="AV493" s="34">
        <v>4.1666666666666699E-2</v>
      </c>
      <c r="AW493" s="10"/>
      <c r="AX493" s="8"/>
    </row>
    <row r="494" spans="1:50">
      <c r="A494" s="7"/>
      <c r="B494" s="10"/>
      <c r="C494" s="45" t="s">
        <v>396</v>
      </c>
      <c r="D494" s="23" t="s">
        <v>19</v>
      </c>
      <c r="E494" s="46" t="s">
        <v>540</v>
      </c>
      <c r="F494" s="46" t="s">
        <v>540</v>
      </c>
      <c r="G494" s="46" t="s">
        <v>540</v>
      </c>
      <c r="H494" s="46" t="s">
        <v>540</v>
      </c>
      <c r="I494" s="25">
        <v>0.9</v>
      </c>
      <c r="J494" s="26">
        <v>0.83333333333333304</v>
      </c>
      <c r="K494" s="26">
        <v>0.97297297297297303</v>
      </c>
      <c r="L494" s="27">
        <v>0.88461538461538503</v>
      </c>
      <c r="M494" s="26">
        <v>0.885572139303483</v>
      </c>
      <c r="N494" s="28">
        <v>0.9</v>
      </c>
      <c r="O494" s="26">
        <v>0.95367088607594896</v>
      </c>
      <c r="P494" s="26">
        <v>0.95106761565836295</v>
      </c>
      <c r="Q494" s="26">
        <v>0.91389983117614004</v>
      </c>
      <c r="R494" s="26">
        <v>0.92626267672478402</v>
      </c>
      <c r="S494" s="28">
        <v>0.9</v>
      </c>
      <c r="T494" s="26">
        <v>0.866835443037975</v>
      </c>
      <c r="U494" s="26">
        <v>0.83652135231316704</v>
      </c>
      <c r="V494" s="26">
        <v>0.93303320202588602</v>
      </c>
      <c r="W494" s="26">
        <v>0.86471499225658199</v>
      </c>
      <c r="X494" s="28">
        <v>0.92</v>
      </c>
      <c r="Y494" s="28">
        <v>0</v>
      </c>
      <c r="Z494" s="28">
        <v>0</v>
      </c>
      <c r="AA494" s="28">
        <v>0</v>
      </c>
      <c r="AB494" s="28">
        <v>0</v>
      </c>
      <c r="AC494" s="28">
        <v>0.92</v>
      </c>
      <c r="AD494" s="26">
        <v>1</v>
      </c>
      <c r="AE494" s="26">
        <v>0.99619565217391304</v>
      </c>
      <c r="AF494" s="26">
        <v>0.99876237623762398</v>
      </c>
      <c r="AG494" s="26">
        <v>0.99700449326010998</v>
      </c>
      <c r="AH494" s="28">
        <v>0.92</v>
      </c>
      <c r="AI494" s="26">
        <v>0.96458386035922095</v>
      </c>
      <c r="AJ494" s="26">
        <v>0.96999333185152303</v>
      </c>
      <c r="AK494" s="26">
        <v>0.97806524184476895</v>
      </c>
      <c r="AL494" s="26">
        <v>0.96180156788335702</v>
      </c>
      <c r="AM494" s="25">
        <v>0.99</v>
      </c>
      <c r="AN494" s="30">
        <v>1</v>
      </c>
      <c r="AO494" s="30">
        <v>1</v>
      </c>
      <c r="AP494" s="30">
        <v>1</v>
      </c>
      <c r="AQ494" s="30">
        <v>1</v>
      </c>
      <c r="AR494" s="50">
        <v>0.05</v>
      </c>
      <c r="AS494" s="34">
        <v>0</v>
      </c>
      <c r="AT494" s="34">
        <v>0</v>
      </c>
      <c r="AU494" s="34">
        <v>0</v>
      </c>
      <c r="AV494" s="34">
        <v>6.4935064935064901E-2</v>
      </c>
      <c r="AW494" s="10"/>
      <c r="AX494" s="8"/>
    </row>
    <row r="495" spans="1:50">
      <c r="A495" s="7"/>
      <c r="B495" s="10"/>
      <c r="C495" s="45" t="s">
        <v>396</v>
      </c>
      <c r="D495" s="23" t="s">
        <v>19</v>
      </c>
      <c r="E495" s="46" t="s">
        <v>541</v>
      </c>
      <c r="F495" s="46" t="s">
        <v>541</v>
      </c>
      <c r="G495" s="46" t="s">
        <v>541</v>
      </c>
      <c r="H495" s="46" t="s">
        <v>541</v>
      </c>
      <c r="I495" s="25">
        <v>0.9</v>
      </c>
      <c r="J495" s="26">
        <v>1</v>
      </c>
      <c r="K495" s="26">
        <v>1</v>
      </c>
      <c r="L495" s="27">
        <v>0.94594594594594605</v>
      </c>
      <c r="M495" s="26">
        <v>0.97211155378486103</v>
      </c>
      <c r="N495" s="28">
        <v>0.9</v>
      </c>
      <c r="O495" s="26">
        <v>0.934493815849748</v>
      </c>
      <c r="P495" s="26">
        <v>0.96142006977221395</v>
      </c>
      <c r="Q495" s="26">
        <v>0.94718514219384797</v>
      </c>
      <c r="R495" s="26">
        <v>0.95768733850129195</v>
      </c>
      <c r="S495" s="28">
        <v>0.9</v>
      </c>
      <c r="T495" s="26">
        <v>0.89601465872652297</v>
      </c>
      <c r="U495" s="26">
        <v>0.87687256310281103</v>
      </c>
      <c r="V495" s="26">
        <v>0.92977365060940198</v>
      </c>
      <c r="W495" s="26">
        <v>0.90471576227390205</v>
      </c>
      <c r="X495" s="28">
        <v>0.92</v>
      </c>
      <c r="Y495" s="28">
        <v>0.82982171799027504</v>
      </c>
      <c r="Z495" s="28">
        <v>0.87893761581222996</v>
      </c>
      <c r="AA495" s="28">
        <v>0.91773778920308502</v>
      </c>
      <c r="AB495" s="28">
        <v>0.89086161879895598</v>
      </c>
      <c r="AC495" s="28">
        <v>0.92</v>
      </c>
      <c r="AD495" s="26">
        <v>0.99756809338521402</v>
      </c>
      <c r="AE495" s="26">
        <v>0.99300699300699302</v>
      </c>
      <c r="AF495" s="26">
        <v>0.99600957701516402</v>
      </c>
      <c r="AG495" s="26">
        <v>0.99315925586051601</v>
      </c>
      <c r="AH495" s="28">
        <v>0.92</v>
      </c>
      <c r="AI495" s="26">
        <v>0.92669876939539897</v>
      </c>
      <c r="AJ495" s="26">
        <v>0.94424765131680299</v>
      </c>
      <c r="AK495" s="26">
        <v>0.94541018603232696</v>
      </c>
      <c r="AL495" s="26">
        <v>0.94781867757327898</v>
      </c>
      <c r="AM495" s="25">
        <v>0.99</v>
      </c>
      <c r="AN495" s="30">
        <v>1</v>
      </c>
      <c r="AO495" s="30">
        <v>1</v>
      </c>
      <c r="AP495" s="30">
        <v>1</v>
      </c>
      <c r="AQ495" s="30">
        <v>1</v>
      </c>
      <c r="AR495" s="50">
        <v>0.05</v>
      </c>
      <c r="AS495" s="34">
        <v>4.1666666666666699E-2</v>
      </c>
      <c r="AT495" s="34">
        <v>0</v>
      </c>
      <c r="AU495" s="34">
        <v>0</v>
      </c>
      <c r="AV495" s="34">
        <v>3.4013605442176902E-2</v>
      </c>
      <c r="AW495" s="10"/>
      <c r="AX495" s="8"/>
    </row>
    <row r="496" spans="1:50">
      <c r="A496" s="7"/>
      <c r="B496" s="10"/>
      <c r="C496" s="45" t="s">
        <v>396</v>
      </c>
      <c r="D496" s="23" t="s">
        <v>19</v>
      </c>
      <c r="E496" s="46" t="s">
        <v>542</v>
      </c>
      <c r="F496" s="46" t="s">
        <v>542</v>
      </c>
      <c r="G496" s="46" t="s">
        <v>542</v>
      </c>
      <c r="H496" s="46" t="s">
        <v>542</v>
      </c>
      <c r="I496" s="25">
        <v>0.9</v>
      </c>
      <c r="J496" s="26">
        <v>0.95555555555555605</v>
      </c>
      <c r="K496" s="26">
        <v>0.97826086956521696</v>
      </c>
      <c r="L496" s="27">
        <v>0.95</v>
      </c>
      <c r="M496" s="26">
        <v>0.96911196911196895</v>
      </c>
      <c r="N496" s="28">
        <v>0.9</v>
      </c>
      <c r="O496" s="26">
        <v>0.98609534619750305</v>
      </c>
      <c r="P496" s="26">
        <v>0.97888675623800403</v>
      </c>
      <c r="Q496" s="26">
        <v>0.983584131326949</v>
      </c>
      <c r="R496" s="26">
        <v>0.97872911854756395</v>
      </c>
      <c r="S496" s="28">
        <v>0.9</v>
      </c>
      <c r="T496" s="26">
        <v>0.93558456299659498</v>
      </c>
      <c r="U496" s="26">
        <v>0.92826295585412699</v>
      </c>
      <c r="V496" s="26">
        <v>0.914500683994528</v>
      </c>
      <c r="W496" s="26">
        <v>0.93205135091583002</v>
      </c>
      <c r="X496" s="28">
        <v>0.92</v>
      </c>
      <c r="Y496" s="28">
        <v>0.93195266272189303</v>
      </c>
      <c r="Z496" s="28">
        <v>0.94090909090909103</v>
      </c>
      <c r="AA496" s="28">
        <v>0.93146417445482899</v>
      </c>
      <c r="AB496" s="28">
        <v>0.93507954362847501</v>
      </c>
      <c r="AC496" s="28">
        <v>0.92</v>
      </c>
      <c r="AD496" s="26">
        <v>0.99885518030910103</v>
      </c>
      <c r="AE496" s="26">
        <v>0.99831176139561095</v>
      </c>
      <c r="AF496" s="26">
        <v>0.9988358556461</v>
      </c>
      <c r="AG496" s="26">
        <v>0.99878934624697302</v>
      </c>
      <c r="AH496" s="28">
        <v>0.92</v>
      </c>
      <c r="AI496" s="26">
        <v>0.96593406593406606</v>
      </c>
      <c r="AJ496" s="26">
        <v>0.97612973760932897</v>
      </c>
      <c r="AK496" s="26">
        <v>0.95994173343044398</v>
      </c>
      <c r="AL496" s="26">
        <v>0.97159525246429301</v>
      </c>
      <c r="AM496" s="25">
        <v>0.99</v>
      </c>
      <c r="AN496" s="30">
        <v>1</v>
      </c>
      <c r="AO496" s="30">
        <v>1</v>
      </c>
      <c r="AP496" s="30">
        <v>1</v>
      </c>
      <c r="AQ496" s="30">
        <v>1</v>
      </c>
      <c r="AR496" s="50">
        <v>0.05</v>
      </c>
      <c r="AS496" s="34">
        <v>9.0909090909090898E-2</v>
      </c>
      <c r="AT496" s="34">
        <v>0</v>
      </c>
      <c r="AU496" s="34">
        <v>0</v>
      </c>
      <c r="AV496" s="34">
        <v>1.1904761904761901E-2</v>
      </c>
      <c r="AW496" s="10"/>
      <c r="AX496" s="8"/>
    </row>
    <row r="497" spans="1:50">
      <c r="A497" s="7"/>
      <c r="B497" s="10"/>
      <c r="C497" s="45" t="s">
        <v>396</v>
      </c>
      <c r="D497" s="23" t="s">
        <v>19</v>
      </c>
      <c r="E497" s="46" t="s">
        <v>543</v>
      </c>
      <c r="F497" s="46" t="s">
        <v>543</v>
      </c>
      <c r="G497" s="46" t="s">
        <v>543</v>
      </c>
      <c r="H497" s="46" t="s">
        <v>543</v>
      </c>
      <c r="I497" s="25">
        <v>0.9</v>
      </c>
      <c r="J497" s="26">
        <v>0.96875</v>
      </c>
      <c r="K497" s="26">
        <v>0.98947368421052595</v>
      </c>
      <c r="L497" s="27">
        <v>0.96875</v>
      </c>
      <c r="M497" s="26">
        <v>0.98431372549019602</v>
      </c>
      <c r="N497" s="28">
        <v>0.9</v>
      </c>
      <c r="O497" s="26">
        <v>0.982872385230942</v>
      </c>
      <c r="P497" s="26">
        <v>0.97859293120749202</v>
      </c>
      <c r="Q497" s="26">
        <v>0.97769399937166201</v>
      </c>
      <c r="R497" s="26">
        <v>0.980189857606795</v>
      </c>
      <c r="S497" s="28">
        <v>0.9</v>
      </c>
      <c r="T497" s="26">
        <v>0.93036641864382996</v>
      </c>
      <c r="U497" s="26">
        <v>0.95328353216635098</v>
      </c>
      <c r="V497" s="26">
        <v>0.92774112472510195</v>
      </c>
      <c r="W497" s="26">
        <v>0.94036972270796904</v>
      </c>
      <c r="X497" s="28">
        <v>0.92</v>
      </c>
      <c r="Y497" s="28">
        <v>0.93885949441505001</v>
      </c>
      <c r="Z497" s="28">
        <v>0.94383057090239397</v>
      </c>
      <c r="AA497" s="28">
        <v>0.944622425629291</v>
      </c>
      <c r="AB497" s="28">
        <v>0.94847634322373697</v>
      </c>
      <c r="AC497" s="28">
        <v>0.92</v>
      </c>
      <c r="AD497" s="26">
        <v>0.99800399201596801</v>
      </c>
      <c r="AE497" s="26">
        <v>0.98780487804878003</v>
      </c>
      <c r="AF497" s="26">
        <v>0.98021978021977996</v>
      </c>
      <c r="AG497" s="26">
        <v>0.97108116989812698</v>
      </c>
      <c r="AH497" s="28">
        <v>0.92</v>
      </c>
      <c r="AI497" s="26">
        <v>0.97091114883984198</v>
      </c>
      <c r="AJ497" s="26">
        <v>0.98214285714285698</v>
      </c>
      <c r="AK497" s="26">
        <v>0.96778398510242103</v>
      </c>
      <c r="AL497" s="26">
        <v>0.98182944868668298</v>
      </c>
      <c r="AM497" s="25">
        <v>0.99</v>
      </c>
      <c r="AN497" s="30">
        <v>1</v>
      </c>
      <c r="AO497" s="30">
        <v>1</v>
      </c>
      <c r="AP497" s="30">
        <v>1</v>
      </c>
      <c r="AQ497" s="30">
        <v>1</v>
      </c>
      <c r="AR497" s="50">
        <v>0.05</v>
      </c>
      <c r="AS497" s="34">
        <v>0.108108108108108</v>
      </c>
      <c r="AT497" s="34">
        <v>5.5555555555555601E-2</v>
      </c>
      <c r="AU497" s="34">
        <v>3.7037037037037E-2</v>
      </c>
      <c r="AV497" s="34">
        <v>6.8965517241379296E-2</v>
      </c>
      <c r="AW497" s="10"/>
      <c r="AX497" s="8"/>
    </row>
    <row r="498" spans="1:50">
      <c r="A498" s="7"/>
      <c r="B498" s="10"/>
      <c r="C498" s="45" t="s">
        <v>396</v>
      </c>
      <c r="D498" s="23" t="s">
        <v>19</v>
      </c>
      <c r="E498" s="46" t="s">
        <v>544</v>
      </c>
      <c r="F498" s="46" t="s">
        <v>544</v>
      </c>
      <c r="G498" s="46" t="s">
        <v>544</v>
      </c>
      <c r="H498" s="46" t="s">
        <v>544</v>
      </c>
      <c r="I498" s="25">
        <v>0.9</v>
      </c>
      <c r="J498" s="26">
        <v>1</v>
      </c>
      <c r="K498" s="26">
        <v>1</v>
      </c>
      <c r="L498" s="27">
        <v>1</v>
      </c>
      <c r="M498" s="26">
        <v>0.99447513812154698</v>
      </c>
      <c r="N498" s="28">
        <v>0.9</v>
      </c>
      <c r="O498" s="26">
        <v>0.66666666666666696</v>
      </c>
      <c r="P498" s="26">
        <v>0</v>
      </c>
      <c r="Q498" s="26">
        <v>0</v>
      </c>
      <c r="R498" s="26">
        <v>0.5</v>
      </c>
      <c r="S498" s="28">
        <v>0.9</v>
      </c>
      <c r="T498" s="26">
        <v>0</v>
      </c>
      <c r="U498" s="26">
        <v>0</v>
      </c>
      <c r="V498" s="26">
        <v>0</v>
      </c>
      <c r="W498" s="26">
        <v>0.125</v>
      </c>
      <c r="X498" s="28">
        <v>0.92</v>
      </c>
      <c r="Y498" s="28">
        <v>0</v>
      </c>
      <c r="Z498" s="28">
        <v>0</v>
      </c>
      <c r="AA498" s="28">
        <v>0</v>
      </c>
      <c r="AB498" s="28">
        <v>0</v>
      </c>
      <c r="AC498" s="28">
        <v>0.92</v>
      </c>
      <c r="AD498" s="26">
        <v>0.97530864197530898</v>
      </c>
      <c r="AE498" s="26">
        <v>1</v>
      </c>
      <c r="AF498" s="26">
        <v>0.952380952380952</v>
      </c>
      <c r="AG498" s="26">
        <v>0.97297297297297303</v>
      </c>
      <c r="AH498" s="28">
        <v>0.92</v>
      </c>
      <c r="AI498" s="26">
        <v>0.97631224764468405</v>
      </c>
      <c r="AJ498" s="26">
        <v>0.99</v>
      </c>
      <c r="AK498" s="26">
        <v>0.96916565900846396</v>
      </c>
      <c r="AL498" s="26">
        <v>0.98323934837092697</v>
      </c>
      <c r="AM498" s="25">
        <v>0.99</v>
      </c>
      <c r="AN498" s="30">
        <v>1</v>
      </c>
      <c r="AO498" s="30">
        <v>1</v>
      </c>
      <c r="AP498" s="30">
        <v>1</v>
      </c>
      <c r="AQ498" s="30">
        <v>1</v>
      </c>
      <c r="AR498" s="50">
        <v>0.05</v>
      </c>
      <c r="AS498" s="34">
        <v>0</v>
      </c>
      <c r="AT498" s="34">
        <v>0</v>
      </c>
      <c r="AU498" s="34">
        <v>0</v>
      </c>
      <c r="AV498" s="34">
        <v>2.32558139534884E-2</v>
      </c>
      <c r="AW498" s="10"/>
      <c r="AX498" s="8"/>
    </row>
    <row r="499" spans="1:50">
      <c r="A499" s="7"/>
      <c r="B499" s="10"/>
      <c r="C499" s="45" t="s">
        <v>396</v>
      </c>
      <c r="D499" s="23" t="s">
        <v>19</v>
      </c>
      <c r="E499" s="46" t="s">
        <v>545</v>
      </c>
      <c r="F499" s="46" t="s">
        <v>545</v>
      </c>
      <c r="G499" s="46" t="s">
        <v>545</v>
      </c>
      <c r="H499" s="46" t="s">
        <v>545</v>
      </c>
      <c r="I499" s="25">
        <v>0.9</v>
      </c>
      <c r="J499" s="26">
        <v>0.93220338983050799</v>
      </c>
      <c r="K499" s="26">
        <v>0.93333333333333302</v>
      </c>
      <c r="L499" s="27">
        <v>0.85714285714285698</v>
      </c>
      <c r="M499" s="26">
        <v>0.92307692307692302</v>
      </c>
      <c r="N499" s="28">
        <v>0.9</v>
      </c>
      <c r="O499" s="26">
        <v>0.28571428571428598</v>
      </c>
      <c r="P499" s="26">
        <v>0.5</v>
      </c>
      <c r="Q499" s="26">
        <v>0</v>
      </c>
      <c r="R499" s="26">
        <v>0.3</v>
      </c>
      <c r="S499" s="28">
        <v>0.9</v>
      </c>
      <c r="T499" s="26">
        <v>0.14285714285714299</v>
      </c>
      <c r="U499" s="26">
        <v>0</v>
      </c>
      <c r="V499" s="26">
        <v>0</v>
      </c>
      <c r="W499" s="26">
        <v>0.1</v>
      </c>
      <c r="X499" s="28">
        <v>0.92</v>
      </c>
      <c r="Y499" s="28">
        <v>0</v>
      </c>
      <c r="Z499" s="28">
        <v>0</v>
      </c>
      <c r="AA499" s="28">
        <v>0</v>
      </c>
      <c r="AB499" s="28">
        <v>0</v>
      </c>
      <c r="AC499" s="28">
        <v>0.92</v>
      </c>
      <c r="AD499" s="26">
        <v>0.99607843137254903</v>
      </c>
      <c r="AE499" s="26">
        <v>0.98181818181818203</v>
      </c>
      <c r="AF499" s="26">
        <v>0.98994974874371899</v>
      </c>
      <c r="AG499" s="26">
        <v>0.98911353032659399</v>
      </c>
      <c r="AH499" s="28">
        <v>0.92</v>
      </c>
      <c r="AI499" s="26">
        <v>0.95571428571428596</v>
      </c>
      <c r="AJ499" s="26">
        <v>0.97124600638977598</v>
      </c>
      <c r="AK499" s="26">
        <v>0.96362839614373397</v>
      </c>
      <c r="AL499" s="26">
        <v>0.96804618261647302</v>
      </c>
      <c r="AM499" s="25">
        <v>0.99</v>
      </c>
      <c r="AN499" s="30">
        <v>1</v>
      </c>
      <c r="AO499" s="30">
        <v>1</v>
      </c>
      <c r="AP499" s="30">
        <v>1</v>
      </c>
      <c r="AQ499" s="30">
        <v>1</v>
      </c>
      <c r="AR499" s="50">
        <v>0.05</v>
      </c>
      <c r="AS499" s="34">
        <v>0</v>
      </c>
      <c r="AT499" s="34">
        <v>8.6956521739130405E-2</v>
      </c>
      <c r="AU499" s="34">
        <v>0</v>
      </c>
      <c r="AV499" s="34">
        <v>2.4390243902439001E-2</v>
      </c>
      <c r="AW499" s="10"/>
      <c r="AX499" s="8"/>
    </row>
    <row r="500" spans="1:50">
      <c r="A500" s="7"/>
      <c r="B500" s="10"/>
      <c r="C500" s="45" t="s">
        <v>396</v>
      </c>
      <c r="D500" s="23" t="s">
        <v>19</v>
      </c>
      <c r="E500" s="46" t="s">
        <v>546</v>
      </c>
      <c r="F500" s="46" t="s">
        <v>546</v>
      </c>
      <c r="G500" s="46" t="s">
        <v>546</v>
      </c>
      <c r="H500" s="46" t="s">
        <v>546</v>
      </c>
      <c r="I500" s="25">
        <v>0.9</v>
      </c>
      <c r="J500" s="26">
        <v>0.88</v>
      </c>
      <c r="K500" s="26">
        <v>0.95652173913043503</v>
      </c>
      <c r="L500" s="27">
        <v>0.88888888888888895</v>
      </c>
      <c r="M500" s="26">
        <v>0.91111111111111098</v>
      </c>
      <c r="N500" s="28">
        <v>0.9</v>
      </c>
      <c r="O500" s="26">
        <v>0.16666666666666699</v>
      </c>
      <c r="P500" s="26">
        <v>0</v>
      </c>
      <c r="Q500" s="26">
        <v>1</v>
      </c>
      <c r="R500" s="26">
        <v>0.28571428571428598</v>
      </c>
      <c r="S500" s="28">
        <v>0.9</v>
      </c>
      <c r="T500" s="26">
        <v>0</v>
      </c>
      <c r="U500" s="26">
        <v>0</v>
      </c>
      <c r="V500" s="26">
        <v>1</v>
      </c>
      <c r="W500" s="26">
        <v>0.14285714285714299</v>
      </c>
      <c r="X500" s="28">
        <v>0.92</v>
      </c>
      <c r="Y500" s="28">
        <v>0</v>
      </c>
      <c r="Z500" s="28">
        <v>1</v>
      </c>
      <c r="AA500" s="28">
        <v>0</v>
      </c>
      <c r="AB500" s="28">
        <v>1</v>
      </c>
      <c r="AC500" s="28">
        <v>0.92</v>
      </c>
      <c r="AD500" s="26">
        <v>1</v>
      </c>
      <c r="AE500" s="26">
        <v>0.97619047619047605</v>
      </c>
      <c r="AF500" s="26">
        <v>0.96078431372549</v>
      </c>
      <c r="AG500" s="26">
        <v>0.87657430730478603</v>
      </c>
      <c r="AH500" s="28">
        <v>0.92</v>
      </c>
      <c r="AI500" s="26">
        <v>0.96367041198501902</v>
      </c>
      <c r="AJ500" s="26">
        <v>0.96442831215971003</v>
      </c>
      <c r="AK500" s="26">
        <v>0.92307692307692302</v>
      </c>
      <c r="AL500" s="26">
        <v>0.96107311941083595</v>
      </c>
      <c r="AM500" s="25">
        <v>0.99</v>
      </c>
      <c r="AN500" s="30">
        <v>1</v>
      </c>
      <c r="AO500" s="30">
        <v>1</v>
      </c>
      <c r="AP500" s="30">
        <v>1</v>
      </c>
      <c r="AQ500" s="30">
        <v>1</v>
      </c>
      <c r="AR500" s="50">
        <v>0.05</v>
      </c>
      <c r="AS500" s="34">
        <v>0</v>
      </c>
      <c r="AT500" s="34">
        <v>0</v>
      </c>
      <c r="AU500" s="34">
        <v>0</v>
      </c>
      <c r="AV500" s="34">
        <v>0</v>
      </c>
      <c r="AW500" s="10"/>
      <c r="AX500" s="8"/>
    </row>
    <row r="501" spans="1:50">
      <c r="A501" s="7"/>
      <c r="B501" s="10"/>
      <c r="C501" s="45" t="s">
        <v>396</v>
      </c>
      <c r="D501" s="23" t="s">
        <v>19</v>
      </c>
      <c r="E501" s="46" t="s">
        <v>547</v>
      </c>
      <c r="F501" s="46" t="s">
        <v>547</v>
      </c>
      <c r="G501" s="46" t="s">
        <v>547</v>
      </c>
      <c r="H501" s="46" t="s">
        <v>547</v>
      </c>
      <c r="I501" s="25">
        <v>0.9</v>
      </c>
      <c r="J501" s="26">
        <v>0.87096774193548399</v>
      </c>
      <c r="K501" s="26">
        <v>0.91525423728813604</v>
      </c>
      <c r="L501" s="27">
        <v>0.87234042553191504</v>
      </c>
      <c r="M501" s="26">
        <v>0.91692307692307695</v>
      </c>
      <c r="N501" s="28">
        <v>0.9</v>
      </c>
      <c r="O501" s="26">
        <v>0.953361027190332</v>
      </c>
      <c r="P501" s="26">
        <v>0.97064189749543905</v>
      </c>
      <c r="Q501" s="26">
        <v>0.93419833178869305</v>
      </c>
      <c r="R501" s="26">
        <v>0.96013375441203797</v>
      </c>
      <c r="S501" s="28">
        <v>0.9</v>
      </c>
      <c r="T501" s="26">
        <v>0.86310422960725097</v>
      </c>
      <c r="U501" s="26">
        <v>0.82401724995853398</v>
      </c>
      <c r="V501" s="26">
        <v>0.84244670991658899</v>
      </c>
      <c r="W501" s="26">
        <v>0.84332156789894097</v>
      </c>
      <c r="X501" s="28">
        <v>0.92</v>
      </c>
      <c r="Y501" s="28">
        <v>0.92795031055900601</v>
      </c>
      <c r="Z501" s="28">
        <v>0.88849646821392503</v>
      </c>
      <c r="AA501" s="28">
        <v>0.87015413358243798</v>
      </c>
      <c r="AB501" s="28">
        <v>0.90449615668105698</v>
      </c>
      <c r="AC501" s="28">
        <v>0.92</v>
      </c>
      <c r="AD501" s="26">
        <v>0.99243466299862404</v>
      </c>
      <c r="AE501" s="26">
        <v>0.99292572006063695</v>
      </c>
      <c r="AF501" s="26">
        <v>0.993190151911996</v>
      </c>
      <c r="AG501" s="26">
        <v>0.99036286753859804</v>
      </c>
      <c r="AH501" s="28">
        <v>0.92</v>
      </c>
      <c r="AI501" s="26">
        <v>0.96400693842150897</v>
      </c>
      <c r="AJ501" s="26">
        <v>0.95807860262008704</v>
      </c>
      <c r="AK501" s="26">
        <v>0.91678289167828897</v>
      </c>
      <c r="AL501" s="26">
        <v>0.95493096917629605</v>
      </c>
      <c r="AM501" s="25">
        <v>0.99</v>
      </c>
      <c r="AN501" s="30">
        <v>1</v>
      </c>
      <c r="AO501" s="30">
        <v>1</v>
      </c>
      <c r="AP501" s="30">
        <v>1</v>
      </c>
      <c r="AQ501" s="30">
        <v>1</v>
      </c>
      <c r="AR501" s="50">
        <v>0.05</v>
      </c>
      <c r="AS501" s="34">
        <v>9.5238095238095205E-2</v>
      </c>
      <c r="AT501" s="34">
        <v>6.8965517241379296E-2</v>
      </c>
      <c r="AU501" s="34">
        <v>0</v>
      </c>
      <c r="AV501" s="34">
        <v>6.6985645933014398E-2</v>
      </c>
      <c r="AW501" s="10"/>
      <c r="AX501" s="8"/>
    </row>
    <row r="502" spans="1:50">
      <c r="A502" s="7"/>
      <c r="B502" s="10"/>
      <c r="C502" s="45" t="s">
        <v>396</v>
      </c>
      <c r="D502" s="23" t="s">
        <v>19</v>
      </c>
      <c r="E502" s="46" t="s">
        <v>548</v>
      </c>
      <c r="F502" s="46" t="s">
        <v>548</v>
      </c>
      <c r="G502" s="46" t="s">
        <v>548</v>
      </c>
      <c r="H502" s="46" t="s">
        <v>548</v>
      </c>
      <c r="I502" s="25">
        <v>0.9</v>
      </c>
      <c r="J502" s="26">
        <v>1</v>
      </c>
      <c r="K502" s="26">
        <v>1</v>
      </c>
      <c r="L502" s="27">
        <v>0.96</v>
      </c>
      <c r="M502" s="26">
        <v>0.98895027624309395</v>
      </c>
      <c r="N502" s="28">
        <v>0.9</v>
      </c>
      <c r="O502" s="26">
        <v>0.98287182415072805</v>
      </c>
      <c r="P502" s="26">
        <v>0.97648484848484896</v>
      </c>
      <c r="Q502" s="26">
        <v>0.98295454545454497</v>
      </c>
      <c r="R502" s="26">
        <v>0.98232532449599597</v>
      </c>
      <c r="S502" s="28">
        <v>0.9</v>
      </c>
      <c r="T502" s="26">
        <v>0.916928347131031</v>
      </c>
      <c r="U502" s="26">
        <v>0.89309090909090905</v>
      </c>
      <c r="V502" s="26">
        <v>0.94507575757575801</v>
      </c>
      <c r="W502" s="26">
        <v>0.91842032587682998</v>
      </c>
      <c r="X502" s="28">
        <v>0.92</v>
      </c>
      <c r="Y502" s="28">
        <v>0</v>
      </c>
      <c r="Z502" s="28">
        <v>0</v>
      </c>
      <c r="AA502" s="28">
        <v>0</v>
      </c>
      <c r="AB502" s="28">
        <v>0</v>
      </c>
      <c r="AC502" s="28">
        <v>0.92</v>
      </c>
      <c r="AD502" s="26">
        <v>0.99691833590138701</v>
      </c>
      <c r="AE502" s="26">
        <v>0.98603839441535801</v>
      </c>
      <c r="AF502" s="26">
        <v>0.98093587521663805</v>
      </c>
      <c r="AG502" s="26">
        <v>0.99211770888071504</v>
      </c>
      <c r="AH502" s="28">
        <v>0.92</v>
      </c>
      <c r="AI502" s="26">
        <v>0.97604790419161702</v>
      </c>
      <c r="AJ502" s="26">
        <v>0.98329702251270901</v>
      </c>
      <c r="AK502" s="26">
        <v>0.98548895899053601</v>
      </c>
      <c r="AL502" s="26">
        <v>0.98339127076091204</v>
      </c>
      <c r="AM502" s="25">
        <v>0.99</v>
      </c>
      <c r="AN502" s="30">
        <v>1</v>
      </c>
      <c r="AO502" s="30">
        <v>1</v>
      </c>
      <c r="AP502" s="30">
        <v>1</v>
      </c>
      <c r="AQ502" s="30">
        <v>1</v>
      </c>
      <c r="AR502" s="50">
        <v>0.05</v>
      </c>
      <c r="AS502" s="34">
        <v>0</v>
      </c>
      <c r="AT502" s="34">
        <v>0</v>
      </c>
      <c r="AU502" s="34">
        <v>0.2</v>
      </c>
      <c r="AV502" s="34">
        <v>3.2967032967033003E-2</v>
      </c>
      <c r="AW502" s="10"/>
      <c r="AX502" s="8"/>
    </row>
    <row r="503" spans="1:50">
      <c r="A503" s="7"/>
      <c r="B503" s="10"/>
      <c r="C503" s="45" t="s">
        <v>396</v>
      </c>
      <c r="D503" s="23" t="s">
        <v>19</v>
      </c>
      <c r="E503" s="46" t="s">
        <v>549</v>
      </c>
      <c r="F503" s="46" t="s">
        <v>549</v>
      </c>
      <c r="G503" s="46" t="s">
        <v>549</v>
      </c>
      <c r="H503" s="46" t="s">
        <v>549</v>
      </c>
      <c r="I503" s="25">
        <v>0.9</v>
      </c>
      <c r="J503" s="26">
        <v>1</v>
      </c>
      <c r="K503" s="26">
        <v>1</v>
      </c>
      <c r="L503" s="27">
        <v>1</v>
      </c>
      <c r="M503" s="26">
        <v>1</v>
      </c>
      <c r="N503" s="28">
        <v>0.9</v>
      </c>
      <c r="O503" s="26">
        <v>0.5</v>
      </c>
      <c r="P503" s="26">
        <v>0</v>
      </c>
      <c r="Q503" s="26">
        <v>0.5</v>
      </c>
      <c r="R503" s="26">
        <v>0.28571428571428598</v>
      </c>
      <c r="S503" s="28">
        <v>0.9</v>
      </c>
      <c r="T503" s="26">
        <v>0</v>
      </c>
      <c r="U503" s="26">
        <v>0</v>
      </c>
      <c r="V503" s="26">
        <v>0</v>
      </c>
      <c r="W503" s="26">
        <v>0</v>
      </c>
      <c r="X503" s="28">
        <v>0.92</v>
      </c>
      <c r="Y503" s="28">
        <v>0</v>
      </c>
      <c r="Z503" s="28">
        <v>0</v>
      </c>
      <c r="AA503" s="28">
        <v>0</v>
      </c>
      <c r="AB503" s="28">
        <v>0</v>
      </c>
      <c r="AC503" s="28">
        <v>0.92</v>
      </c>
      <c r="AD503" s="26">
        <v>0.99363057324840798</v>
      </c>
      <c r="AE503" s="26">
        <v>0.98671096345514997</v>
      </c>
      <c r="AF503" s="26">
        <v>0.99606299212598404</v>
      </c>
      <c r="AG503" s="26">
        <v>0.99259681093394103</v>
      </c>
      <c r="AH503" s="28">
        <v>0.92</v>
      </c>
      <c r="AI503" s="26">
        <v>0.97470433639947396</v>
      </c>
      <c r="AJ503" s="26">
        <v>0.98957746478873199</v>
      </c>
      <c r="AK503" s="26">
        <v>0.98145506419400896</v>
      </c>
      <c r="AL503" s="26">
        <v>0.98495238095238102</v>
      </c>
      <c r="AM503" s="25">
        <v>0.99</v>
      </c>
      <c r="AN503" s="30">
        <v>1</v>
      </c>
      <c r="AO503" s="30">
        <v>1</v>
      </c>
      <c r="AP503" s="30">
        <v>1</v>
      </c>
      <c r="AQ503" s="30">
        <v>1</v>
      </c>
      <c r="AR503" s="50">
        <v>0.05</v>
      </c>
      <c r="AS503" s="34">
        <v>0.125</v>
      </c>
      <c r="AT503" s="34">
        <v>0</v>
      </c>
      <c r="AU503" s="34">
        <v>0.16666666666666699</v>
      </c>
      <c r="AV503" s="34">
        <v>9.0909090909090898E-2</v>
      </c>
      <c r="AW503" s="10"/>
      <c r="AX503" s="8"/>
    </row>
    <row r="504" spans="1:50">
      <c r="A504" s="7"/>
      <c r="B504" s="10"/>
      <c r="C504" s="45" t="s">
        <v>396</v>
      </c>
      <c r="D504" s="23" t="s">
        <v>19</v>
      </c>
      <c r="E504" s="46" t="s">
        <v>550</v>
      </c>
      <c r="F504" s="46" t="s">
        <v>550</v>
      </c>
      <c r="G504" s="46" t="s">
        <v>550</v>
      </c>
      <c r="H504" s="46" t="s">
        <v>550</v>
      </c>
      <c r="I504" s="25">
        <v>0.9</v>
      </c>
      <c r="J504" s="26">
        <v>1</v>
      </c>
      <c r="K504" s="26">
        <v>1</v>
      </c>
      <c r="L504" s="27">
        <v>0.94871794871794901</v>
      </c>
      <c r="M504" s="26">
        <v>0.98031496062992096</v>
      </c>
      <c r="N504" s="28">
        <v>0.9</v>
      </c>
      <c r="O504" s="26">
        <v>0.5</v>
      </c>
      <c r="P504" s="26">
        <v>0</v>
      </c>
      <c r="Q504" s="26">
        <v>0</v>
      </c>
      <c r="R504" s="26">
        <v>0.5</v>
      </c>
      <c r="S504" s="28">
        <v>0.9</v>
      </c>
      <c r="T504" s="26">
        <v>0.25</v>
      </c>
      <c r="U504" s="26">
        <v>0</v>
      </c>
      <c r="V504" s="26">
        <v>0</v>
      </c>
      <c r="W504" s="26">
        <v>0.25</v>
      </c>
      <c r="X504" s="28">
        <v>0.92</v>
      </c>
      <c r="Y504" s="28">
        <v>0</v>
      </c>
      <c r="Z504" s="28">
        <v>0</v>
      </c>
      <c r="AA504" s="28">
        <v>0</v>
      </c>
      <c r="AB504" s="28">
        <v>0.14285714285714299</v>
      </c>
      <c r="AC504" s="28">
        <v>0.92</v>
      </c>
      <c r="AD504" s="26">
        <v>0.99148936170212798</v>
      </c>
      <c r="AE504" s="26">
        <v>0.99300699300699302</v>
      </c>
      <c r="AF504" s="26">
        <v>0.993670886075949</v>
      </c>
      <c r="AG504" s="26">
        <v>0.99183673469387801</v>
      </c>
      <c r="AH504" s="28">
        <v>0.92</v>
      </c>
      <c r="AI504" s="26">
        <v>0.958577217469608</v>
      </c>
      <c r="AJ504" s="26">
        <v>0.97762585456805495</v>
      </c>
      <c r="AK504" s="26">
        <v>0.96369965191447005</v>
      </c>
      <c r="AL504" s="26">
        <v>0.96800605170649201</v>
      </c>
      <c r="AM504" s="25">
        <v>0.99</v>
      </c>
      <c r="AN504" s="30">
        <v>1</v>
      </c>
      <c r="AO504" s="30">
        <v>1</v>
      </c>
      <c r="AP504" s="30">
        <v>1</v>
      </c>
      <c r="AQ504" s="30">
        <v>1</v>
      </c>
      <c r="AR504" s="50">
        <v>0.05</v>
      </c>
      <c r="AS504" s="34">
        <v>0</v>
      </c>
      <c r="AT504" s="34">
        <v>0</v>
      </c>
      <c r="AU504" s="34">
        <v>0</v>
      </c>
      <c r="AV504" s="34">
        <v>0</v>
      </c>
      <c r="AW504" s="10"/>
      <c r="AX504" s="8"/>
    </row>
    <row r="505" spans="1:50">
      <c r="A505" s="7"/>
      <c r="B505" s="10"/>
      <c r="C505" s="45" t="s">
        <v>396</v>
      </c>
      <c r="D505" s="23" t="s">
        <v>19</v>
      </c>
      <c r="E505" s="46" t="s">
        <v>551</v>
      </c>
      <c r="F505" s="46" t="s">
        <v>551</v>
      </c>
      <c r="G505" s="46" t="s">
        <v>551</v>
      </c>
      <c r="H505" s="46" t="s">
        <v>551</v>
      </c>
      <c r="I505" s="25">
        <v>0.9</v>
      </c>
      <c r="J505" s="26">
        <v>0.95918367346938804</v>
      </c>
      <c r="K505" s="26">
        <v>0.95833333333333304</v>
      </c>
      <c r="L505" s="27">
        <v>0.939393939393939</v>
      </c>
      <c r="M505" s="26">
        <v>0.95752895752895795</v>
      </c>
      <c r="N505" s="28">
        <v>0.9</v>
      </c>
      <c r="O505" s="26">
        <v>0.3</v>
      </c>
      <c r="P505" s="26">
        <v>0</v>
      </c>
      <c r="Q505" s="26">
        <v>0</v>
      </c>
      <c r="R505" s="26">
        <v>0.30769230769230799</v>
      </c>
      <c r="S505" s="28">
        <v>0.9</v>
      </c>
      <c r="T505" s="26">
        <v>0.1</v>
      </c>
      <c r="U505" s="26">
        <v>0</v>
      </c>
      <c r="V505" s="26">
        <v>0</v>
      </c>
      <c r="W505" s="26">
        <v>0.30769230769230799</v>
      </c>
      <c r="X505" s="28">
        <v>0.92</v>
      </c>
      <c r="Y505" s="28">
        <v>0</v>
      </c>
      <c r="Z505" s="28">
        <v>0</v>
      </c>
      <c r="AA505" s="28">
        <v>0</v>
      </c>
      <c r="AB505" s="28">
        <v>0</v>
      </c>
      <c r="AC505" s="28">
        <v>0.92</v>
      </c>
      <c r="AD505" s="26">
        <v>0.980582524271845</v>
      </c>
      <c r="AE505" s="26">
        <v>0.94871794871794901</v>
      </c>
      <c r="AF505" s="26">
        <v>0.978494623655914</v>
      </c>
      <c r="AG505" s="26">
        <v>0.97095435684647302</v>
      </c>
      <c r="AH505" s="28">
        <v>0.92</v>
      </c>
      <c r="AI505" s="26">
        <v>0.98016496465043201</v>
      </c>
      <c r="AJ505" s="26">
        <v>0.98782961460446295</v>
      </c>
      <c r="AK505" s="26">
        <v>0.97459945291129302</v>
      </c>
      <c r="AL505" s="26">
        <v>0.98843578819233102</v>
      </c>
      <c r="AM505" s="25">
        <v>0.99</v>
      </c>
      <c r="AN505" s="30">
        <v>1</v>
      </c>
      <c r="AO505" s="30">
        <v>1</v>
      </c>
      <c r="AP505" s="30">
        <v>1</v>
      </c>
      <c r="AQ505" s="30">
        <v>1</v>
      </c>
      <c r="AR505" s="50">
        <v>0.05</v>
      </c>
      <c r="AS505" s="34">
        <v>0</v>
      </c>
      <c r="AT505" s="34">
        <v>0</v>
      </c>
      <c r="AU505" s="34">
        <v>0.6</v>
      </c>
      <c r="AV505" s="34">
        <v>0.152542372881356</v>
      </c>
      <c r="AW505" s="10"/>
      <c r="AX505" s="8"/>
    </row>
    <row r="506" spans="1:50">
      <c r="A506" s="7"/>
      <c r="B506" s="10"/>
      <c r="C506" s="45" t="s">
        <v>396</v>
      </c>
      <c r="D506" s="23" t="s">
        <v>19</v>
      </c>
      <c r="E506" s="46" t="s">
        <v>552</v>
      </c>
      <c r="F506" s="46" t="s">
        <v>552</v>
      </c>
      <c r="G506" s="46" t="s">
        <v>552</v>
      </c>
      <c r="H506" s="46" t="s">
        <v>552</v>
      </c>
      <c r="I506" s="25">
        <v>0.9</v>
      </c>
      <c r="J506" s="26">
        <v>1</v>
      </c>
      <c r="K506" s="26">
        <v>1</v>
      </c>
      <c r="L506" s="27">
        <v>1</v>
      </c>
      <c r="M506" s="26">
        <v>1</v>
      </c>
      <c r="N506" s="28">
        <v>0.9</v>
      </c>
      <c r="O506" s="26">
        <v>0.999171156237049</v>
      </c>
      <c r="P506" s="26">
        <v>0.99836065573770505</v>
      </c>
      <c r="Q506" s="26">
        <v>0.99697885196374603</v>
      </c>
      <c r="R506" s="26">
        <v>0.99525562951423296</v>
      </c>
      <c r="S506" s="28">
        <v>0.9</v>
      </c>
      <c r="T506" s="26">
        <v>0.95068379610443399</v>
      </c>
      <c r="U506" s="26">
        <v>0.96655737704917999</v>
      </c>
      <c r="V506" s="26">
        <v>0.965760322255791</v>
      </c>
      <c r="W506" s="26">
        <v>0.96225747061322797</v>
      </c>
      <c r="X506" s="28">
        <v>0.92</v>
      </c>
      <c r="Y506" s="28">
        <v>0.92428571428571404</v>
      </c>
      <c r="Z506" s="28">
        <v>0.94423791821561298</v>
      </c>
      <c r="AA506" s="28">
        <v>0.95798319327731096</v>
      </c>
      <c r="AB506" s="28">
        <v>0.94313725490196099</v>
      </c>
      <c r="AC506" s="28">
        <v>0.92</v>
      </c>
      <c r="AD506" s="26">
        <v>0.99871216999356105</v>
      </c>
      <c r="AE506" s="26">
        <v>0.99827437446074196</v>
      </c>
      <c r="AF506" s="26">
        <v>0.99861014593467701</v>
      </c>
      <c r="AG506" s="26">
        <v>0.99909940335472203</v>
      </c>
      <c r="AH506" s="28">
        <v>0.92</v>
      </c>
      <c r="AI506" s="26">
        <v>0.97076774815290701</v>
      </c>
      <c r="AJ506" s="26">
        <v>0.98418459942960801</v>
      </c>
      <c r="AK506" s="26">
        <v>0.97634961439588697</v>
      </c>
      <c r="AL506" s="26">
        <v>0.98176124814591004</v>
      </c>
      <c r="AM506" s="25">
        <v>0.99</v>
      </c>
      <c r="AN506" s="30">
        <v>1</v>
      </c>
      <c r="AO506" s="30">
        <v>1</v>
      </c>
      <c r="AP506" s="30">
        <v>1</v>
      </c>
      <c r="AQ506" s="30">
        <v>1</v>
      </c>
      <c r="AR506" s="50">
        <v>0.05</v>
      </c>
      <c r="AS506" s="34">
        <v>0</v>
      </c>
      <c r="AT506" s="34">
        <v>9.0909090909090898E-2</v>
      </c>
      <c r="AU506" s="34">
        <v>0.2</v>
      </c>
      <c r="AV506" s="34">
        <v>5.1724137931034503E-2</v>
      </c>
      <c r="AW506" s="10"/>
      <c r="AX506" s="8"/>
    </row>
    <row r="507" spans="1:50">
      <c r="A507" s="7"/>
      <c r="B507" s="10"/>
      <c r="C507" s="45" t="s">
        <v>396</v>
      </c>
      <c r="D507" s="23" t="s">
        <v>19</v>
      </c>
      <c r="E507" s="46" t="s">
        <v>553</v>
      </c>
      <c r="F507" s="46" t="s">
        <v>553</v>
      </c>
      <c r="G507" s="46" t="s">
        <v>553</v>
      </c>
      <c r="H507" s="46" t="s">
        <v>553</v>
      </c>
      <c r="I507" s="25">
        <v>0.9</v>
      </c>
      <c r="J507" s="26">
        <v>0.952380952380952</v>
      </c>
      <c r="K507" s="26">
        <v>1</v>
      </c>
      <c r="L507" s="27">
        <v>0.95918367346938804</v>
      </c>
      <c r="M507" s="26">
        <v>0.97667638483965002</v>
      </c>
      <c r="N507" s="28">
        <v>0.9</v>
      </c>
      <c r="O507" s="26">
        <v>0.98380935055484797</v>
      </c>
      <c r="P507" s="26">
        <v>0.98675599875350595</v>
      </c>
      <c r="Q507" s="26">
        <v>0.98825435398946904</v>
      </c>
      <c r="R507" s="26">
        <v>0.985176099526897</v>
      </c>
      <c r="S507" s="28">
        <v>0.9</v>
      </c>
      <c r="T507" s="26">
        <v>0.93651082408586495</v>
      </c>
      <c r="U507" s="26">
        <v>0.93736366469305099</v>
      </c>
      <c r="V507" s="26">
        <v>0.95018226002430095</v>
      </c>
      <c r="W507" s="26">
        <v>0.94406868757665996</v>
      </c>
      <c r="X507" s="28">
        <v>0.92</v>
      </c>
      <c r="Y507" s="28">
        <v>0</v>
      </c>
      <c r="Z507" s="28">
        <v>0</v>
      </c>
      <c r="AA507" s="28">
        <v>0</v>
      </c>
      <c r="AB507" s="28">
        <v>0</v>
      </c>
      <c r="AC507" s="28">
        <v>0.92</v>
      </c>
      <c r="AD507" s="26">
        <v>0.98148148148148195</v>
      </c>
      <c r="AE507" s="26">
        <v>0.92941176470588205</v>
      </c>
      <c r="AF507" s="26">
        <v>0.98958333333333304</v>
      </c>
      <c r="AG507" s="26">
        <v>0.90048939641109305</v>
      </c>
      <c r="AH507" s="28">
        <v>0.92</v>
      </c>
      <c r="AI507" s="26">
        <v>0.98159177043854895</v>
      </c>
      <c r="AJ507" s="26">
        <v>0.99175097276264601</v>
      </c>
      <c r="AK507" s="26">
        <v>0.98502630513961997</v>
      </c>
      <c r="AL507" s="26">
        <v>0.98870352883572898</v>
      </c>
      <c r="AM507" s="25">
        <v>0.99</v>
      </c>
      <c r="AN507" s="30">
        <v>1</v>
      </c>
      <c r="AO507" s="30">
        <v>1</v>
      </c>
      <c r="AP507" s="30">
        <v>1</v>
      </c>
      <c r="AQ507" s="30">
        <v>1</v>
      </c>
      <c r="AR507" s="50">
        <v>0.05</v>
      </c>
      <c r="AS507" s="34">
        <v>7.69230769230769E-2</v>
      </c>
      <c r="AT507" s="34">
        <v>0</v>
      </c>
      <c r="AU507" s="34">
        <v>0</v>
      </c>
      <c r="AV507" s="34">
        <v>2.66666666666667E-2</v>
      </c>
      <c r="AW507" s="10"/>
      <c r="AX507" s="8"/>
    </row>
    <row r="508" spans="1:50">
      <c r="A508" s="7"/>
      <c r="B508" s="10"/>
      <c r="C508" s="45" t="s">
        <v>396</v>
      </c>
      <c r="D508" s="23" t="s">
        <v>19</v>
      </c>
      <c r="E508" s="46" t="s">
        <v>554</v>
      </c>
      <c r="F508" s="46" t="s">
        <v>554</v>
      </c>
      <c r="G508" s="46" t="s">
        <v>554</v>
      </c>
      <c r="H508" s="46" t="s">
        <v>554</v>
      </c>
      <c r="I508" s="25">
        <v>0.9</v>
      </c>
      <c r="J508" s="26">
        <v>0.88</v>
      </c>
      <c r="K508" s="26">
        <v>0.88</v>
      </c>
      <c r="L508" s="27">
        <v>0.94444444444444398</v>
      </c>
      <c r="M508" s="26">
        <v>0.91044776119403004</v>
      </c>
      <c r="N508" s="28">
        <v>0.9</v>
      </c>
      <c r="O508" s="26">
        <v>0.96390041493775902</v>
      </c>
      <c r="P508" s="26">
        <v>0.98637015781922499</v>
      </c>
      <c r="Q508" s="26">
        <v>0.94088176352705399</v>
      </c>
      <c r="R508" s="26">
        <v>0.97240816326530599</v>
      </c>
      <c r="S508" s="28">
        <v>0.9</v>
      </c>
      <c r="T508" s="26">
        <v>0.93443983402489605</v>
      </c>
      <c r="U508" s="26">
        <v>0.95659971305595404</v>
      </c>
      <c r="V508" s="26">
        <v>0.94388777555110204</v>
      </c>
      <c r="W508" s="26">
        <v>0.94277551020408201</v>
      </c>
      <c r="X508" s="28">
        <v>0.92</v>
      </c>
      <c r="Y508" s="28">
        <v>0.5</v>
      </c>
      <c r="Z508" s="28">
        <v>0</v>
      </c>
      <c r="AA508" s="28">
        <v>0</v>
      </c>
      <c r="AB508" s="28">
        <v>0.5</v>
      </c>
      <c r="AC508" s="28">
        <v>0.92</v>
      </c>
      <c r="AD508" s="26">
        <v>1</v>
      </c>
      <c r="AE508" s="26">
        <v>0.962025316455696</v>
      </c>
      <c r="AF508" s="26">
        <v>1</v>
      </c>
      <c r="AG508" s="26">
        <v>0.98095238095238102</v>
      </c>
      <c r="AH508" s="28">
        <v>0.92</v>
      </c>
      <c r="AI508" s="26">
        <v>0.97597348798674399</v>
      </c>
      <c r="AJ508" s="26">
        <v>0.98494083901039797</v>
      </c>
      <c r="AK508" s="26">
        <v>0.96793587174348705</v>
      </c>
      <c r="AL508" s="26">
        <v>0.98327349869451697</v>
      </c>
      <c r="AM508" s="25">
        <v>0.99</v>
      </c>
      <c r="AN508" s="30">
        <v>1</v>
      </c>
      <c r="AO508" s="30">
        <v>1</v>
      </c>
      <c r="AP508" s="30">
        <v>1</v>
      </c>
      <c r="AQ508" s="30">
        <v>1</v>
      </c>
      <c r="AR508" s="50">
        <v>0.05</v>
      </c>
      <c r="AS508" s="34">
        <v>0</v>
      </c>
      <c r="AT508" s="34">
        <v>0</v>
      </c>
      <c r="AU508" s="34">
        <v>0</v>
      </c>
      <c r="AV508" s="34">
        <v>3.7037037037037E-2</v>
      </c>
      <c r="AW508" s="10"/>
      <c r="AX508" s="8"/>
    </row>
    <row r="509" spans="1:50">
      <c r="A509" s="7"/>
      <c r="B509" s="10"/>
      <c r="C509" s="45" t="s">
        <v>396</v>
      </c>
      <c r="D509" s="23" t="s">
        <v>19</v>
      </c>
      <c r="E509" s="46" t="s">
        <v>555</v>
      </c>
      <c r="F509" s="46" t="s">
        <v>555</v>
      </c>
      <c r="G509" s="46" t="s">
        <v>555</v>
      </c>
      <c r="H509" s="46" t="s">
        <v>555</v>
      </c>
      <c r="I509" s="25">
        <v>0.9</v>
      </c>
      <c r="J509" s="26">
        <v>0.89705882352941202</v>
      </c>
      <c r="K509" s="26">
        <v>0.91891891891891897</v>
      </c>
      <c r="L509" s="27">
        <v>0.91379310344827602</v>
      </c>
      <c r="M509" s="26">
        <v>0.90322580645161299</v>
      </c>
      <c r="N509" s="28">
        <v>0.9</v>
      </c>
      <c r="O509" s="26">
        <v>0.2</v>
      </c>
      <c r="P509" s="26">
        <v>0.5</v>
      </c>
      <c r="Q509" s="26">
        <v>0</v>
      </c>
      <c r="R509" s="26">
        <v>0.28571428571428598</v>
      </c>
      <c r="S509" s="28">
        <v>0.9</v>
      </c>
      <c r="T509" s="26">
        <v>0</v>
      </c>
      <c r="U509" s="26">
        <v>0.5</v>
      </c>
      <c r="V509" s="26">
        <v>0</v>
      </c>
      <c r="W509" s="26">
        <v>0.14285714285714299</v>
      </c>
      <c r="X509" s="28">
        <v>0.92</v>
      </c>
      <c r="Y509" s="28">
        <v>0</v>
      </c>
      <c r="Z509" s="28">
        <v>0</v>
      </c>
      <c r="AA509" s="28">
        <v>0</v>
      </c>
      <c r="AB509" s="28">
        <v>0</v>
      </c>
      <c r="AC509" s="28">
        <v>0.92</v>
      </c>
      <c r="AD509" s="26">
        <v>0.99232736572890001</v>
      </c>
      <c r="AE509" s="26">
        <v>0.99509803921568596</v>
      </c>
      <c r="AF509" s="26">
        <v>0.99139784946236598</v>
      </c>
      <c r="AG509" s="26">
        <v>0.99047967777370904</v>
      </c>
      <c r="AH509" s="28">
        <v>0.92</v>
      </c>
      <c r="AI509" s="26">
        <v>0.95465457455321401</v>
      </c>
      <c r="AJ509" s="26">
        <v>0.97009230769230803</v>
      </c>
      <c r="AK509" s="26">
        <v>0.95290251916757895</v>
      </c>
      <c r="AL509" s="26">
        <v>0.96661244093268295</v>
      </c>
      <c r="AM509" s="25">
        <v>0.99</v>
      </c>
      <c r="AN509" s="30">
        <v>1</v>
      </c>
      <c r="AO509" s="30">
        <v>1</v>
      </c>
      <c r="AP509" s="30">
        <v>1</v>
      </c>
      <c r="AQ509" s="30">
        <v>1</v>
      </c>
      <c r="AR509" s="50">
        <v>0.05</v>
      </c>
      <c r="AS509" s="34">
        <v>0</v>
      </c>
      <c r="AT509" s="34">
        <v>0</v>
      </c>
      <c r="AU509" s="34">
        <v>0</v>
      </c>
      <c r="AV509" s="34">
        <v>5.2631578947368397E-2</v>
      </c>
      <c r="AW509" s="10"/>
      <c r="AX509" s="8"/>
    </row>
    <row r="510" spans="1:50">
      <c r="A510" s="7"/>
      <c r="B510" s="10"/>
      <c r="C510" s="45" t="s">
        <v>396</v>
      </c>
      <c r="D510" s="23" t="s">
        <v>19</v>
      </c>
      <c r="E510" s="46" t="s">
        <v>556</v>
      </c>
      <c r="F510" s="46" t="s">
        <v>556</v>
      </c>
      <c r="G510" s="46" t="s">
        <v>556</v>
      </c>
      <c r="H510" s="46" t="s">
        <v>556</v>
      </c>
      <c r="I510" s="25">
        <v>0.9</v>
      </c>
      <c r="J510" s="26">
        <v>0.93023255813953498</v>
      </c>
      <c r="K510" s="26">
        <v>0.92222222222222205</v>
      </c>
      <c r="L510" s="27">
        <v>0.92647058823529405</v>
      </c>
      <c r="M510" s="26">
        <v>0.94274028629856899</v>
      </c>
      <c r="N510" s="28">
        <v>0.9</v>
      </c>
      <c r="O510" s="26">
        <v>0.25</v>
      </c>
      <c r="P510" s="26">
        <v>0</v>
      </c>
      <c r="Q510" s="26">
        <v>0</v>
      </c>
      <c r="R510" s="26">
        <v>0.25</v>
      </c>
      <c r="S510" s="28">
        <v>0.9</v>
      </c>
      <c r="T510" s="26">
        <v>0</v>
      </c>
      <c r="U510" s="26">
        <v>0</v>
      </c>
      <c r="V510" s="26">
        <v>0</v>
      </c>
      <c r="W510" s="26">
        <v>0</v>
      </c>
      <c r="X510" s="28">
        <v>0.92</v>
      </c>
      <c r="Y510" s="28">
        <v>0</v>
      </c>
      <c r="Z510" s="28">
        <v>0</v>
      </c>
      <c r="AA510" s="28">
        <v>0</v>
      </c>
      <c r="AB510" s="28">
        <v>0</v>
      </c>
      <c r="AC510" s="28">
        <v>0.92</v>
      </c>
      <c r="AD510" s="26">
        <v>0.99388379204892996</v>
      </c>
      <c r="AE510" s="26">
        <v>0.98563218390804597</v>
      </c>
      <c r="AF510" s="26">
        <v>0.99757281553398103</v>
      </c>
      <c r="AG510" s="26">
        <v>0.98767530811729698</v>
      </c>
      <c r="AH510" s="28">
        <v>0.92</v>
      </c>
      <c r="AI510" s="26">
        <v>0.95059135625069102</v>
      </c>
      <c r="AJ510" s="26">
        <v>0.94718875502008004</v>
      </c>
      <c r="AK510" s="26">
        <v>0.88284714119019803</v>
      </c>
      <c r="AL510" s="26">
        <v>0.94346665509234096</v>
      </c>
      <c r="AM510" s="25">
        <v>0.99</v>
      </c>
      <c r="AN510" s="30">
        <v>1</v>
      </c>
      <c r="AO510" s="30">
        <v>1</v>
      </c>
      <c r="AP510" s="30">
        <v>1</v>
      </c>
      <c r="AQ510" s="30">
        <v>1</v>
      </c>
      <c r="AR510" s="50">
        <v>0.05</v>
      </c>
      <c r="AS510" s="34">
        <v>0.11111111111111099</v>
      </c>
      <c r="AT510" s="34">
        <v>9.0909090909090898E-2</v>
      </c>
      <c r="AU510" s="34">
        <v>5.8823529411764698E-2</v>
      </c>
      <c r="AV510" s="34">
        <v>9.0909090909090898E-2</v>
      </c>
      <c r="AW510" s="10"/>
      <c r="AX510" s="8"/>
    </row>
    <row r="511" spans="1:50">
      <c r="A511" s="7"/>
      <c r="B511" s="10"/>
      <c r="C511" s="45" t="s">
        <v>396</v>
      </c>
      <c r="D511" s="23" t="s">
        <v>19</v>
      </c>
      <c r="E511" s="46" t="s">
        <v>557</v>
      </c>
      <c r="F511" s="46" t="s">
        <v>557</v>
      </c>
      <c r="G511" s="46" t="s">
        <v>557</v>
      </c>
      <c r="H511" s="46" t="s">
        <v>557</v>
      </c>
      <c r="I511" s="25">
        <v>0.9</v>
      </c>
      <c r="J511" s="26">
        <v>0.953125</v>
      </c>
      <c r="K511" s="26">
        <v>0.93846153846153801</v>
      </c>
      <c r="L511" s="27">
        <v>0.90909090909090895</v>
      </c>
      <c r="M511" s="26">
        <v>0.92896174863388004</v>
      </c>
      <c r="N511" s="28">
        <v>0.9</v>
      </c>
      <c r="O511" s="26">
        <v>0.5</v>
      </c>
      <c r="P511" s="26">
        <v>0</v>
      </c>
      <c r="Q511" s="26">
        <v>0</v>
      </c>
      <c r="R511" s="26">
        <v>0.18181818181818199</v>
      </c>
      <c r="S511" s="28">
        <v>0.9</v>
      </c>
      <c r="T511" s="26">
        <v>0</v>
      </c>
      <c r="U511" s="26">
        <v>0</v>
      </c>
      <c r="V511" s="26">
        <v>1</v>
      </c>
      <c r="W511" s="26">
        <v>0.45454545454545497</v>
      </c>
      <c r="X511" s="28">
        <v>0.92</v>
      </c>
      <c r="Y511" s="28">
        <v>0</v>
      </c>
      <c r="Z511" s="28">
        <v>0</v>
      </c>
      <c r="AA511" s="28">
        <v>0</v>
      </c>
      <c r="AB511" s="28">
        <v>0</v>
      </c>
      <c r="AC511" s="28">
        <v>0.92</v>
      </c>
      <c r="AD511" s="26">
        <v>0.98425196850393704</v>
      </c>
      <c r="AE511" s="26">
        <v>0.92700729927007297</v>
      </c>
      <c r="AF511" s="26">
        <v>0.90909090909090895</v>
      </c>
      <c r="AG511" s="26">
        <v>0.91021324354657696</v>
      </c>
      <c r="AH511" s="28">
        <v>0.92</v>
      </c>
      <c r="AI511" s="26">
        <v>0.96849897621672698</v>
      </c>
      <c r="AJ511" s="26">
        <v>0.97553516819571895</v>
      </c>
      <c r="AK511" s="26">
        <v>0.97066189624329202</v>
      </c>
      <c r="AL511" s="26">
        <v>0.97652881520616996</v>
      </c>
      <c r="AM511" s="25">
        <v>0.99</v>
      </c>
      <c r="AN511" s="30">
        <v>1</v>
      </c>
      <c r="AO511" s="30">
        <v>1</v>
      </c>
      <c r="AP511" s="30">
        <v>1</v>
      </c>
      <c r="AQ511" s="30">
        <v>1</v>
      </c>
      <c r="AR511" s="50">
        <v>0.05</v>
      </c>
      <c r="AS511" s="34">
        <v>6.25E-2</v>
      </c>
      <c r="AT511" s="34">
        <v>0</v>
      </c>
      <c r="AU511" s="34">
        <v>0</v>
      </c>
      <c r="AV511" s="34">
        <v>0.101449275362319</v>
      </c>
      <c r="AW511" s="10"/>
      <c r="AX511" s="8"/>
    </row>
    <row r="512" spans="1:50">
      <c r="A512" s="7"/>
      <c r="B512" s="10"/>
      <c r="C512" s="45" t="s">
        <v>396</v>
      </c>
      <c r="D512" s="23" t="s">
        <v>19</v>
      </c>
      <c r="E512" s="46" t="s">
        <v>558</v>
      </c>
      <c r="F512" s="46" t="s">
        <v>558</v>
      </c>
      <c r="G512" s="46" t="s">
        <v>558</v>
      </c>
      <c r="H512" s="46" t="s">
        <v>558</v>
      </c>
      <c r="I512" s="25">
        <v>0.9</v>
      </c>
      <c r="J512" s="26">
        <v>1</v>
      </c>
      <c r="K512" s="26">
        <v>1</v>
      </c>
      <c r="L512" s="27">
        <v>1</v>
      </c>
      <c r="M512" s="26">
        <v>1</v>
      </c>
      <c r="N512" s="28">
        <v>0.9</v>
      </c>
      <c r="O512" s="26">
        <v>0.99111956866476403</v>
      </c>
      <c r="P512" s="26">
        <v>0.99065170940170899</v>
      </c>
      <c r="Q512" s="26">
        <v>0.985528219971056</v>
      </c>
      <c r="R512" s="26">
        <v>0.987714987714988</v>
      </c>
      <c r="S512" s="28">
        <v>0.9</v>
      </c>
      <c r="T512" s="26">
        <v>0.97557881382809997</v>
      </c>
      <c r="U512" s="26">
        <v>0.97435897435897401</v>
      </c>
      <c r="V512" s="26">
        <v>0.95441389290882805</v>
      </c>
      <c r="W512" s="26">
        <v>0.97099538562953203</v>
      </c>
      <c r="X512" s="28">
        <v>0.92</v>
      </c>
      <c r="Y512" s="28">
        <v>0</v>
      </c>
      <c r="Z512" s="28">
        <v>0</v>
      </c>
      <c r="AA512" s="28">
        <v>0</v>
      </c>
      <c r="AB512" s="28">
        <v>0</v>
      </c>
      <c r="AC512" s="28">
        <v>0.92</v>
      </c>
      <c r="AD512" s="26">
        <v>0.98648648648648696</v>
      </c>
      <c r="AE512" s="26">
        <v>0.98780487804878003</v>
      </c>
      <c r="AF512" s="26">
        <v>0.971830985915493</v>
      </c>
      <c r="AG512" s="26">
        <v>0.98513800424628495</v>
      </c>
      <c r="AH512" s="28">
        <v>0.92</v>
      </c>
      <c r="AI512" s="26">
        <v>0.98605388272583205</v>
      </c>
      <c r="AJ512" s="26">
        <v>0.99092607419268797</v>
      </c>
      <c r="AK512" s="26">
        <v>0.98118668596237302</v>
      </c>
      <c r="AL512" s="26">
        <v>0.98927630002396405</v>
      </c>
      <c r="AM512" s="25">
        <v>0.99</v>
      </c>
      <c r="AN512" s="30">
        <v>1</v>
      </c>
      <c r="AO512" s="30">
        <v>1</v>
      </c>
      <c r="AP512" s="30">
        <v>1</v>
      </c>
      <c r="AQ512" s="30">
        <v>1</v>
      </c>
      <c r="AR512" s="50">
        <v>0.05</v>
      </c>
      <c r="AS512" s="34">
        <v>0</v>
      </c>
      <c r="AT512" s="34">
        <v>0</v>
      </c>
      <c r="AU512" s="34">
        <v>0</v>
      </c>
      <c r="AV512" s="34">
        <v>8.6956521739130405E-2</v>
      </c>
      <c r="AW512" s="10"/>
      <c r="AX512" s="8"/>
    </row>
    <row r="513" spans="1:50">
      <c r="A513" s="7"/>
      <c r="B513" s="10"/>
      <c r="C513" s="45" t="s">
        <v>396</v>
      </c>
      <c r="D513" s="23" t="s">
        <v>19</v>
      </c>
      <c r="E513" s="46" t="s">
        <v>559</v>
      </c>
      <c r="F513" s="46" t="s">
        <v>559</v>
      </c>
      <c r="G513" s="46" t="s">
        <v>559</v>
      </c>
      <c r="H513" s="46" t="s">
        <v>559</v>
      </c>
      <c r="I513" s="25">
        <v>0.9</v>
      </c>
      <c r="J513" s="26">
        <v>1</v>
      </c>
      <c r="K513" s="26">
        <v>1</v>
      </c>
      <c r="L513" s="27">
        <v>1</v>
      </c>
      <c r="M513" s="26">
        <v>1</v>
      </c>
      <c r="N513" s="28">
        <v>0.9</v>
      </c>
      <c r="O513" s="26">
        <v>0.98215348007138603</v>
      </c>
      <c r="P513" s="26">
        <v>0.97539044013251297</v>
      </c>
      <c r="Q513" s="26">
        <v>0.97275204359672995</v>
      </c>
      <c r="R513" s="26">
        <v>0.97669441141498203</v>
      </c>
      <c r="S513" s="28">
        <v>0.9</v>
      </c>
      <c r="T513" s="26">
        <v>0.92861392028554401</v>
      </c>
      <c r="U513" s="26">
        <v>0.933743492664458</v>
      </c>
      <c r="V513" s="26">
        <v>0.93460490463215296</v>
      </c>
      <c r="W513" s="26">
        <v>0.93590963139120098</v>
      </c>
      <c r="X513" s="28">
        <v>0.92</v>
      </c>
      <c r="Y513" s="28">
        <v>0.95407098121085598</v>
      </c>
      <c r="Z513" s="28">
        <v>0.96075353218210402</v>
      </c>
      <c r="AA513" s="28">
        <v>0.93944353518821599</v>
      </c>
      <c r="AB513" s="28">
        <v>0.96180555555555602</v>
      </c>
      <c r="AC513" s="28">
        <v>0.92</v>
      </c>
      <c r="AD513" s="26">
        <v>0.99590163934426201</v>
      </c>
      <c r="AE513" s="26">
        <v>0.99886749716874301</v>
      </c>
      <c r="AF513" s="26">
        <v>0.99765533411488905</v>
      </c>
      <c r="AG513" s="26">
        <v>0.99828796438965905</v>
      </c>
      <c r="AH513" s="28">
        <v>0.92</v>
      </c>
      <c r="AI513" s="26">
        <v>0.97409805735430199</v>
      </c>
      <c r="AJ513" s="26">
        <v>0.98363636363636398</v>
      </c>
      <c r="AK513" s="26">
        <v>0.96731054977711695</v>
      </c>
      <c r="AL513" s="26">
        <v>0.97919065635795399</v>
      </c>
      <c r="AM513" s="25">
        <v>0.99</v>
      </c>
      <c r="AN513" s="30">
        <v>1</v>
      </c>
      <c r="AO513" s="30">
        <v>1</v>
      </c>
      <c r="AP513" s="30">
        <v>1</v>
      </c>
      <c r="AQ513" s="30">
        <v>1</v>
      </c>
      <c r="AR513" s="50">
        <v>0.05</v>
      </c>
      <c r="AS513" s="34">
        <v>0</v>
      </c>
      <c r="AT513" s="34">
        <v>0</v>
      </c>
      <c r="AU513" s="34">
        <v>0</v>
      </c>
      <c r="AV513" s="34">
        <v>0</v>
      </c>
      <c r="AW513" s="10"/>
      <c r="AX513" s="8"/>
    </row>
    <row r="514" spans="1:50">
      <c r="A514" s="7"/>
      <c r="B514" s="10"/>
      <c r="C514" s="45" t="s">
        <v>396</v>
      </c>
      <c r="D514" s="23" t="s">
        <v>19</v>
      </c>
      <c r="E514" s="46" t="s">
        <v>560</v>
      </c>
      <c r="F514" s="46" t="s">
        <v>560</v>
      </c>
      <c r="G514" s="46" t="s">
        <v>560</v>
      </c>
      <c r="H514" s="46" t="s">
        <v>560</v>
      </c>
      <c r="I514" s="25">
        <v>0.9</v>
      </c>
      <c r="J514" s="26">
        <v>0.94545454545454499</v>
      </c>
      <c r="K514" s="26">
        <v>0.98245614035087703</v>
      </c>
      <c r="L514" s="27">
        <v>0.95348837209302295</v>
      </c>
      <c r="M514" s="26">
        <v>0.96103896103896103</v>
      </c>
      <c r="N514" s="28">
        <v>0.9</v>
      </c>
      <c r="O514" s="26">
        <v>0</v>
      </c>
      <c r="P514" s="26">
        <v>0</v>
      </c>
      <c r="Q514" s="26">
        <v>0</v>
      </c>
      <c r="R514" s="26">
        <v>0</v>
      </c>
      <c r="S514" s="28">
        <v>0.9</v>
      </c>
      <c r="T514" s="26">
        <v>0</v>
      </c>
      <c r="U514" s="26">
        <v>0</v>
      </c>
      <c r="V514" s="26">
        <v>0</v>
      </c>
      <c r="W514" s="26">
        <v>0.33333333333333298</v>
      </c>
      <c r="X514" s="28">
        <v>0.92</v>
      </c>
      <c r="Y514" s="28">
        <v>0</v>
      </c>
      <c r="Z514" s="28">
        <v>0</v>
      </c>
      <c r="AA514" s="28">
        <v>0</v>
      </c>
      <c r="AB514" s="28">
        <v>0</v>
      </c>
      <c r="AC514" s="28">
        <v>0.92</v>
      </c>
      <c r="AD514" s="26">
        <v>0.98979591836734704</v>
      </c>
      <c r="AE514" s="26">
        <v>0.98503740648379101</v>
      </c>
      <c r="AF514" s="26">
        <v>0.995867768595041</v>
      </c>
      <c r="AG514" s="26">
        <v>0.97686077902044</v>
      </c>
      <c r="AH514" s="28">
        <v>0.92</v>
      </c>
      <c r="AI514" s="26">
        <v>0.97320146753868197</v>
      </c>
      <c r="AJ514" s="26">
        <v>0.97832996243860204</v>
      </c>
      <c r="AK514" s="26">
        <v>0.97571001494768295</v>
      </c>
      <c r="AL514" s="26">
        <v>0.97655592254387702</v>
      </c>
      <c r="AM514" s="25">
        <v>0.99</v>
      </c>
      <c r="AN514" s="30">
        <v>1</v>
      </c>
      <c r="AO514" s="30">
        <v>1</v>
      </c>
      <c r="AP514" s="30">
        <v>1</v>
      </c>
      <c r="AQ514" s="30">
        <v>1</v>
      </c>
      <c r="AR514" s="50">
        <v>0.05</v>
      </c>
      <c r="AS514" s="34">
        <v>0</v>
      </c>
      <c r="AT514" s="34">
        <v>5.8823529411764698E-2</v>
      </c>
      <c r="AU514" s="34">
        <v>0.2</v>
      </c>
      <c r="AV514" s="34">
        <v>5.31914893617021E-2</v>
      </c>
      <c r="AW514" s="10"/>
      <c r="AX514" s="8"/>
    </row>
    <row r="515" spans="1:50">
      <c r="A515" s="7"/>
      <c r="B515" s="10"/>
      <c r="C515" s="45" t="s">
        <v>396</v>
      </c>
      <c r="D515" s="23" t="s">
        <v>19</v>
      </c>
      <c r="E515" s="46" t="s">
        <v>561</v>
      </c>
      <c r="F515" s="46" t="s">
        <v>561</v>
      </c>
      <c r="G515" s="46" t="s">
        <v>561</v>
      </c>
      <c r="H515" s="46" t="s">
        <v>561</v>
      </c>
      <c r="I515" s="25">
        <v>0.9</v>
      </c>
      <c r="J515" s="26">
        <v>0.91935483870967705</v>
      </c>
      <c r="K515" s="26">
        <v>0.939393939393939</v>
      </c>
      <c r="L515" s="27">
        <v>0.93548387096774199</v>
      </c>
      <c r="M515" s="26">
        <v>0.92452830188679203</v>
      </c>
      <c r="N515" s="28">
        <v>0.9</v>
      </c>
      <c r="O515" s="26">
        <v>0.89554062309102</v>
      </c>
      <c r="P515" s="26">
        <v>0.92783321454027101</v>
      </c>
      <c r="Q515" s="26">
        <v>0.93451422436929699</v>
      </c>
      <c r="R515" s="26">
        <v>0.93371723590150901</v>
      </c>
      <c r="S515" s="28">
        <v>0.9</v>
      </c>
      <c r="T515" s="26">
        <v>0.81286906943596005</v>
      </c>
      <c r="U515" s="26">
        <v>0.792943692088382</v>
      </c>
      <c r="V515" s="26">
        <v>0.89318303811057398</v>
      </c>
      <c r="W515" s="26">
        <v>0.83002382843526601</v>
      </c>
      <c r="X515" s="28">
        <v>0.92</v>
      </c>
      <c r="Y515" s="28">
        <v>0.78095872170439395</v>
      </c>
      <c r="Z515" s="28">
        <v>0.83536585365853699</v>
      </c>
      <c r="AA515" s="28">
        <v>0.85910652920962205</v>
      </c>
      <c r="AB515" s="28">
        <v>0.826423635930426</v>
      </c>
      <c r="AC515" s="28">
        <v>0.92</v>
      </c>
      <c r="AD515" s="26">
        <v>0.99894736842105303</v>
      </c>
      <c r="AE515" s="26">
        <v>0.99829448550312705</v>
      </c>
      <c r="AF515" s="26">
        <v>0.99699699699699695</v>
      </c>
      <c r="AG515" s="26">
        <v>0.99771355405158202</v>
      </c>
      <c r="AH515" s="28">
        <v>0.92</v>
      </c>
      <c r="AI515" s="26">
        <v>0.88148263510356595</v>
      </c>
      <c r="AJ515" s="26">
        <v>0.91648291069459797</v>
      </c>
      <c r="AK515" s="26">
        <v>0.91301939058171699</v>
      </c>
      <c r="AL515" s="26">
        <v>0.91551308386174901</v>
      </c>
      <c r="AM515" s="25">
        <v>0.99</v>
      </c>
      <c r="AN515" s="30">
        <v>1</v>
      </c>
      <c r="AO515" s="30">
        <v>1</v>
      </c>
      <c r="AP515" s="30">
        <v>1</v>
      </c>
      <c r="AQ515" s="30">
        <v>1</v>
      </c>
      <c r="AR515" s="50">
        <v>0.05</v>
      </c>
      <c r="AS515" s="34">
        <v>3.7037037037037E-2</v>
      </c>
      <c r="AT515" s="34">
        <v>0</v>
      </c>
      <c r="AU515" s="34">
        <v>4.7619047619047603E-2</v>
      </c>
      <c r="AV515" s="34">
        <v>2.2222222222222199E-2</v>
      </c>
      <c r="AW515" s="10"/>
      <c r="AX515" s="8"/>
    </row>
    <row r="516" spans="1:50">
      <c r="A516" s="7"/>
      <c r="B516" s="10"/>
      <c r="C516" s="45" t="s">
        <v>396</v>
      </c>
      <c r="D516" s="23" t="s">
        <v>19</v>
      </c>
      <c r="E516" s="46" t="s">
        <v>562</v>
      </c>
      <c r="F516" s="46" t="s">
        <v>562</v>
      </c>
      <c r="G516" s="46" t="s">
        <v>562</v>
      </c>
      <c r="H516" s="46" t="s">
        <v>562</v>
      </c>
      <c r="I516" s="25">
        <v>0.9</v>
      </c>
      <c r="J516" s="26">
        <v>0.96153846153846201</v>
      </c>
      <c r="K516" s="26">
        <v>1</v>
      </c>
      <c r="L516" s="27">
        <v>0.8</v>
      </c>
      <c r="M516" s="26">
        <v>0.93525179856115104</v>
      </c>
      <c r="N516" s="28">
        <v>0.9</v>
      </c>
      <c r="O516" s="26">
        <v>0.98950020999580002</v>
      </c>
      <c r="P516" s="26">
        <v>0.98975409836065598</v>
      </c>
      <c r="Q516" s="26">
        <v>0.96120689655172398</v>
      </c>
      <c r="R516" s="26">
        <v>0.98029330889092603</v>
      </c>
      <c r="S516" s="28">
        <v>0.9</v>
      </c>
      <c r="T516" s="26">
        <v>0.97816043679126397</v>
      </c>
      <c r="U516" s="26">
        <v>0.97267759562841505</v>
      </c>
      <c r="V516" s="26">
        <v>0.93793103448275905</v>
      </c>
      <c r="W516" s="26">
        <v>0.96700274977085199</v>
      </c>
      <c r="X516" s="28">
        <v>0.92</v>
      </c>
      <c r="Y516" s="28">
        <v>0</v>
      </c>
      <c r="Z516" s="28">
        <v>0</v>
      </c>
      <c r="AA516" s="28">
        <v>0</v>
      </c>
      <c r="AB516" s="28">
        <v>0</v>
      </c>
      <c r="AC516" s="28">
        <v>0.92</v>
      </c>
      <c r="AD516" s="26">
        <v>0.99354838709677396</v>
      </c>
      <c r="AE516" s="26">
        <v>0.98870056497175096</v>
      </c>
      <c r="AF516" s="26">
        <v>0.96296296296296302</v>
      </c>
      <c r="AG516" s="26">
        <v>0.98479913137893604</v>
      </c>
      <c r="AH516" s="28">
        <v>0.92</v>
      </c>
      <c r="AI516" s="26">
        <v>0.98866022679546395</v>
      </c>
      <c r="AJ516" s="26">
        <v>0.99487704918032804</v>
      </c>
      <c r="AK516" s="26">
        <v>0.957795004306632</v>
      </c>
      <c r="AL516" s="26">
        <v>0.99075842053005403</v>
      </c>
      <c r="AM516" s="25">
        <v>0.99</v>
      </c>
      <c r="AN516" s="30">
        <v>1</v>
      </c>
      <c r="AO516" s="30">
        <v>1</v>
      </c>
      <c r="AP516" s="30">
        <v>1</v>
      </c>
      <c r="AQ516" s="30">
        <v>1</v>
      </c>
      <c r="AR516" s="50">
        <v>0.05</v>
      </c>
      <c r="AS516" s="34">
        <v>0.25</v>
      </c>
      <c r="AT516" s="34">
        <v>0</v>
      </c>
      <c r="AU516" s="34">
        <v>0</v>
      </c>
      <c r="AV516" s="34">
        <v>4.3478260869565202E-2</v>
      </c>
      <c r="AW516" s="10"/>
      <c r="AX516" s="8"/>
    </row>
    <row r="517" spans="1:50">
      <c r="A517" s="7"/>
      <c r="B517" s="10"/>
      <c r="C517" s="45" t="s">
        <v>396</v>
      </c>
      <c r="D517" s="23" t="s">
        <v>19</v>
      </c>
      <c r="E517" s="46" t="s">
        <v>563</v>
      </c>
      <c r="F517" s="46" t="s">
        <v>563</v>
      </c>
      <c r="G517" s="46" t="s">
        <v>563</v>
      </c>
      <c r="H517" s="46" t="s">
        <v>563</v>
      </c>
      <c r="I517" s="25">
        <v>0.9</v>
      </c>
      <c r="J517" s="26">
        <v>1</v>
      </c>
      <c r="K517" s="26">
        <v>1</v>
      </c>
      <c r="L517" s="27">
        <v>1</v>
      </c>
      <c r="M517" s="26">
        <v>0.96728971962616805</v>
      </c>
      <c r="N517" s="28">
        <v>0.9</v>
      </c>
      <c r="O517" s="26">
        <v>1</v>
      </c>
      <c r="P517" s="26">
        <v>1</v>
      </c>
      <c r="Q517" s="26">
        <v>1</v>
      </c>
      <c r="R517" s="26">
        <v>1</v>
      </c>
      <c r="S517" s="28">
        <v>0.9</v>
      </c>
      <c r="T517" s="26">
        <v>0.16666666666666699</v>
      </c>
      <c r="U517" s="26">
        <v>0</v>
      </c>
      <c r="V517" s="26">
        <v>1</v>
      </c>
      <c r="W517" s="26">
        <v>0.25</v>
      </c>
      <c r="X517" s="28">
        <v>0.92</v>
      </c>
      <c r="Y517" s="28">
        <v>0</v>
      </c>
      <c r="Z517" s="28">
        <v>0</v>
      </c>
      <c r="AA517" s="28">
        <v>0</v>
      </c>
      <c r="AB517" s="28">
        <v>0</v>
      </c>
      <c r="AC517" s="28">
        <v>0.92</v>
      </c>
      <c r="AD517" s="26">
        <v>0.99767981438515096</v>
      </c>
      <c r="AE517" s="26">
        <v>0.99440715883668895</v>
      </c>
      <c r="AF517" s="26">
        <v>0.99624530663329203</v>
      </c>
      <c r="AG517" s="26">
        <v>0.99686793109448402</v>
      </c>
      <c r="AH517" s="28">
        <v>0.92</v>
      </c>
      <c r="AI517" s="26">
        <v>0.99457364341085297</v>
      </c>
      <c r="AJ517" s="26">
        <v>0.99595853101388199</v>
      </c>
      <c r="AK517" s="26">
        <v>0.993576876756323</v>
      </c>
      <c r="AL517" s="26">
        <v>0.99273662707119603</v>
      </c>
      <c r="AM517" s="25">
        <v>0.99</v>
      </c>
      <c r="AN517" s="30">
        <v>1</v>
      </c>
      <c r="AO517" s="30">
        <v>1</v>
      </c>
      <c r="AP517" s="30">
        <v>1</v>
      </c>
      <c r="AQ517" s="30">
        <v>1</v>
      </c>
      <c r="AR517" s="50">
        <v>0.05</v>
      </c>
      <c r="AS517" s="34">
        <v>0.133333333333333</v>
      </c>
      <c r="AT517" s="34">
        <v>0.1</v>
      </c>
      <c r="AU517" s="34">
        <v>0</v>
      </c>
      <c r="AV517" s="34">
        <v>4.3478260869565202E-2</v>
      </c>
      <c r="AW517" s="10"/>
      <c r="AX517" s="8"/>
    </row>
    <row r="518" spans="1:50">
      <c r="A518" s="7"/>
      <c r="B518" s="10"/>
      <c r="C518" s="45" t="s">
        <v>396</v>
      </c>
      <c r="D518" s="23" t="s">
        <v>19</v>
      </c>
      <c r="E518" s="46" t="s">
        <v>564</v>
      </c>
      <c r="F518" s="46" t="s">
        <v>564</v>
      </c>
      <c r="G518" s="46" t="s">
        <v>564</v>
      </c>
      <c r="H518" s="46" t="s">
        <v>564</v>
      </c>
      <c r="I518" s="25">
        <v>0.9</v>
      </c>
      <c r="J518" s="26">
        <v>0.91891891891891897</v>
      </c>
      <c r="K518" s="26">
        <v>0.92307692307692302</v>
      </c>
      <c r="L518" s="27">
        <v>0.94285714285714295</v>
      </c>
      <c r="M518" s="26">
        <v>0.94581280788177302</v>
      </c>
      <c r="N518" s="28">
        <v>0.9</v>
      </c>
      <c r="O518" s="26">
        <v>0.93649085037674895</v>
      </c>
      <c r="P518" s="26">
        <v>0.92269551498760405</v>
      </c>
      <c r="Q518" s="26">
        <v>0.93563218390804603</v>
      </c>
      <c r="R518" s="26">
        <v>0.93951510856911502</v>
      </c>
      <c r="S518" s="28">
        <v>0.9</v>
      </c>
      <c r="T518" s="26">
        <v>0.91576964477933298</v>
      </c>
      <c r="U518" s="26">
        <v>0.886184358800992</v>
      </c>
      <c r="V518" s="26">
        <v>0.921264367816092</v>
      </c>
      <c r="W518" s="26">
        <v>0.90621045705319603</v>
      </c>
      <c r="X518" s="28">
        <v>0.92</v>
      </c>
      <c r="Y518" s="28">
        <v>0</v>
      </c>
      <c r="Z518" s="28">
        <v>0</v>
      </c>
      <c r="AA518" s="28">
        <v>0</v>
      </c>
      <c r="AB518" s="28">
        <v>0</v>
      </c>
      <c r="AC518" s="28">
        <v>0.92</v>
      </c>
      <c r="AD518" s="26">
        <v>1</v>
      </c>
      <c r="AE518" s="26">
        <v>0.99555555555555597</v>
      </c>
      <c r="AF518" s="26">
        <v>0.98026315789473695</v>
      </c>
      <c r="AG518" s="26">
        <v>0.97614503816793896</v>
      </c>
      <c r="AH518" s="28">
        <v>0.92</v>
      </c>
      <c r="AI518" s="26">
        <v>0.97040624159268196</v>
      </c>
      <c r="AJ518" s="26">
        <v>0.98039215686274495</v>
      </c>
      <c r="AK518" s="26">
        <v>0.97528735632183905</v>
      </c>
      <c r="AL518" s="26">
        <v>0.976262779633566</v>
      </c>
      <c r="AM518" s="25">
        <v>0.99</v>
      </c>
      <c r="AN518" s="30">
        <v>1</v>
      </c>
      <c r="AO518" s="30">
        <v>1</v>
      </c>
      <c r="AP518" s="30">
        <v>1</v>
      </c>
      <c r="AQ518" s="30">
        <v>1</v>
      </c>
      <c r="AR518" s="50">
        <v>0.05</v>
      </c>
      <c r="AS518" s="34">
        <v>7.1428571428571397E-2</v>
      </c>
      <c r="AT518" s="34">
        <v>7.69230769230769E-2</v>
      </c>
      <c r="AU518" s="34">
        <v>0</v>
      </c>
      <c r="AV518" s="34">
        <v>2.1505376344085999E-2</v>
      </c>
      <c r="AW518" s="10"/>
      <c r="AX518" s="8"/>
    </row>
    <row r="519" spans="1:50">
      <c r="A519" s="7"/>
      <c r="B519" s="10"/>
      <c r="C519" s="45" t="s">
        <v>396</v>
      </c>
      <c r="D519" s="23" t="s">
        <v>19</v>
      </c>
      <c r="E519" s="46" t="s">
        <v>565</v>
      </c>
      <c r="F519" s="46" t="s">
        <v>565</v>
      </c>
      <c r="G519" s="46" t="s">
        <v>565</v>
      </c>
      <c r="H519" s="46" t="s">
        <v>565</v>
      </c>
      <c r="I519" s="25">
        <v>0.9</v>
      </c>
      <c r="J519" s="26">
        <v>1</v>
      </c>
      <c r="K519" s="26">
        <v>0.95454545454545503</v>
      </c>
      <c r="L519" s="27">
        <v>0.94444444444444398</v>
      </c>
      <c r="M519" s="26">
        <v>0.98319327731092399</v>
      </c>
      <c r="N519" s="28">
        <v>0.9</v>
      </c>
      <c r="O519" s="26">
        <v>0.94822888283378703</v>
      </c>
      <c r="P519" s="26">
        <v>0.97532314923619301</v>
      </c>
      <c r="Q519" s="26">
        <v>0.99413489736070404</v>
      </c>
      <c r="R519" s="26">
        <v>0.962538487854944</v>
      </c>
      <c r="S519" s="28">
        <v>0.9</v>
      </c>
      <c r="T519" s="26">
        <v>0.95095367847411405</v>
      </c>
      <c r="U519" s="26">
        <v>0.93654524089306701</v>
      </c>
      <c r="V519" s="26">
        <v>0.97067448680351898</v>
      </c>
      <c r="W519" s="26">
        <v>0.94218268901813196</v>
      </c>
      <c r="X519" s="28">
        <v>0.92</v>
      </c>
      <c r="Y519" s="28">
        <v>0.93237150586113604</v>
      </c>
      <c r="Z519" s="28">
        <v>0.92436974789916004</v>
      </c>
      <c r="AA519" s="28">
        <v>0.96991150442477903</v>
      </c>
      <c r="AB519" s="28">
        <v>0.95368171021377701</v>
      </c>
      <c r="AC519" s="28">
        <v>0.92</v>
      </c>
      <c r="AD519" s="26">
        <v>0.98</v>
      </c>
      <c r="AE519" s="26">
        <v>0.96825396825396803</v>
      </c>
      <c r="AF519" s="26">
        <v>1</v>
      </c>
      <c r="AG519" s="26">
        <v>0.97472924187725596</v>
      </c>
      <c r="AH519" s="28">
        <v>0.92</v>
      </c>
      <c r="AI519" s="26">
        <v>0.95477159656264099</v>
      </c>
      <c r="AJ519" s="26">
        <v>0.95617529880478103</v>
      </c>
      <c r="AK519" s="26">
        <v>0.97493224932249301</v>
      </c>
      <c r="AL519" s="26">
        <v>0.96674867074041704</v>
      </c>
      <c r="AM519" s="25">
        <v>0.99</v>
      </c>
      <c r="AN519" s="30">
        <v>1</v>
      </c>
      <c r="AO519" s="30">
        <v>1</v>
      </c>
      <c r="AP519" s="30">
        <v>1</v>
      </c>
      <c r="AQ519" s="30">
        <v>1</v>
      </c>
      <c r="AR519" s="50">
        <v>0.05</v>
      </c>
      <c r="AS519" s="34">
        <v>0</v>
      </c>
      <c r="AT519" s="34">
        <v>0.2</v>
      </c>
      <c r="AU519" s="34">
        <v>0</v>
      </c>
      <c r="AV519" s="34">
        <v>0.05</v>
      </c>
      <c r="AW519" s="10"/>
      <c r="AX519" s="8"/>
    </row>
    <row r="520" spans="1:50">
      <c r="A520" s="7"/>
      <c r="B520" s="10"/>
      <c r="C520" s="45" t="s">
        <v>396</v>
      </c>
      <c r="D520" s="23" t="s">
        <v>19</v>
      </c>
      <c r="E520" s="46" t="s">
        <v>566</v>
      </c>
      <c r="F520" s="46" t="s">
        <v>566</v>
      </c>
      <c r="G520" s="46" t="s">
        <v>566</v>
      </c>
      <c r="H520" s="46" t="s">
        <v>566</v>
      </c>
      <c r="I520" s="25">
        <v>0.9</v>
      </c>
      <c r="J520" s="26">
        <v>0.93650793650793696</v>
      </c>
      <c r="K520" s="26">
        <v>0.88888888888888895</v>
      </c>
      <c r="L520" s="27">
        <v>0.90769230769230802</v>
      </c>
      <c r="M520" s="26">
        <v>0.90765171503957798</v>
      </c>
      <c r="N520" s="28">
        <v>0.9</v>
      </c>
      <c r="O520" s="26">
        <v>0.81696173615077095</v>
      </c>
      <c r="P520" s="26">
        <v>0.78618074573414798</v>
      </c>
      <c r="Q520" s="26">
        <v>0.936990363232024</v>
      </c>
      <c r="R520" s="26">
        <v>0.83142935228204395</v>
      </c>
      <c r="S520" s="28">
        <v>0.9</v>
      </c>
      <c r="T520" s="26">
        <v>0.75328383780696695</v>
      </c>
      <c r="U520" s="26">
        <v>0.78259953654939995</v>
      </c>
      <c r="V520" s="26">
        <v>0.84655300222386998</v>
      </c>
      <c r="W520" s="26">
        <v>0.78977862804044796</v>
      </c>
      <c r="X520" s="28">
        <v>0.92</v>
      </c>
      <c r="Y520" s="28">
        <v>0.84575835475578398</v>
      </c>
      <c r="Z520" s="28">
        <v>0.88493919550982203</v>
      </c>
      <c r="AA520" s="28">
        <v>0.87191571943443302</v>
      </c>
      <c r="AB520" s="28">
        <v>0.84593676758980196</v>
      </c>
      <c r="AC520" s="28">
        <v>0.92</v>
      </c>
      <c r="AD520" s="26">
        <v>0.99809342230695897</v>
      </c>
      <c r="AE520" s="26">
        <v>0.99244332493702803</v>
      </c>
      <c r="AF520" s="26">
        <v>0.98740157480315005</v>
      </c>
      <c r="AG520" s="26">
        <v>0.99510124101894204</v>
      </c>
      <c r="AH520" s="28">
        <v>0.92</v>
      </c>
      <c r="AI520" s="26">
        <v>0.87282329431915495</v>
      </c>
      <c r="AJ520" s="26">
        <v>0.921824825600709</v>
      </c>
      <c r="AK520" s="26">
        <v>0.89474743409136603</v>
      </c>
      <c r="AL520" s="26">
        <v>0.88706841635877198</v>
      </c>
      <c r="AM520" s="25">
        <v>0.99</v>
      </c>
      <c r="AN520" s="30">
        <v>1</v>
      </c>
      <c r="AO520" s="30">
        <v>1</v>
      </c>
      <c r="AP520" s="30">
        <v>1</v>
      </c>
      <c r="AQ520" s="30">
        <v>1</v>
      </c>
      <c r="AR520" s="50">
        <v>0.05</v>
      </c>
      <c r="AS520" s="34">
        <v>6.25E-2</v>
      </c>
      <c r="AT520" s="34">
        <v>0.05</v>
      </c>
      <c r="AU520" s="34">
        <v>0</v>
      </c>
      <c r="AV520" s="34">
        <v>4.31034482758621E-2</v>
      </c>
      <c r="AW520" s="10"/>
      <c r="AX520" s="8"/>
    </row>
    <row r="521" spans="1:50">
      <c r="A521" s="7"/>
      <c r="B521" s="10"/>
      <c r="C521" s="45" t="s">
        <v>396</v>
      </c>
      <c r="D521" s="23" t="s">
        <v>19</v>
      </c>
      <c r="E521" s="46" t="s">
        <v>567</v>
      </c>
      <c r="F521" s="46" t="s">
        <v>567</v>
      </c>
      <c r="G521" s="46" t="s">
        <v>567</v>
      </c>
      <c r="H521" s="46" t="s">
        <v>567</v>
      </c>
      <c r="I521" s="25">
        <v>0.9</v>
      </c>
      <c r="J521" s="26">
        <v>0.98750000000000004</v>
      </c>
      <c r="K521" s="26">
        <v>0.962025316455696</v>
      </c>
      <c r="L521" s="27">
        <v>0.98484848484848497</v>
      </c>
      <c r="M521" s="26">
        <v>0.97757847533632303</v>
      </c>
      <c r="N521" s="28">
        <v>0.9</v>
      </c>
      <c r="O521" s="26">
        <v>0.97715659753531703</v>
      </c>
      <c r="P521" s="26">
        <v>0.94246575342465799</v>
      </c>
      <c r="Q521" s="26">
        <v>0.95367070563079104</v>
      </c>
      <c r="R521" s="26">
        <v>0.95966902296016199</v>
      </c>
      <c r="S521" s="28">
        <v>0.9</v>
      </c>
      <c r="T521" s="26">
        <v>0.90922753231139197</v>
      </c>
      <c r="U521" s="26">
        <v>0.86807165437302403</v>
      </c>
      <c r="V521" s="26">
        <v>0.91161796151104801</v>
      </c>
      <c r="W521" s="26">
        <v>0.89478875554824899</v>
      </c>
      <c r="X521" s="28">
        <v>0.92</v>
      </c>
      <c r="Y521" s="28">
        <v>0.90815602836879405</v>
      </c>
      <c r="Z521" s="28">
        <v>0.91876264816420905</v>
      </c>
      <c r="AA521" s="28">
        <v>0.91742830129215303</v>
      </c>
      <c r="AB521" s="28">
        <v>0.91909929777726196</v>
      </c>
      <c r="AC521" s="28">
        <v>0.92</v>
      </c>
      <c r="AD521" s="26">
        <v>0.99898477157360399</v>
      </c>
      <c r="AE521" s="26">
        <v>0.99404170804369396</v>
      </c>
      <c r="AF521" s="26">
        <v>0.99721642310368797</v>
      </c>
      <c r="AG521" s="26">
        <v>0.99624362758250595</v>
      </c>
      <c r="AH521" s="28">
        <v>0.92</v>
      </c>
      <c r="AI521" s="26">
        <v>0.93954168698195994</v>
      </c>
      <c r="AJ521" s="26">
        <v>0.94897089270490798</v>
      </c>
      <c r="AK521" s="26">
        <v>0.93587786259542005</v>
      </c>
      <c r="AL521" s="26">
        <v>0.94672857745884298</v>
      </c>
      <c r="AM521" s="25">
        <v>0.99</v>
      </c>
      <c r="AN521" s="30">
        <v>1</v>
      </c>
      <c r="AO521" s="30">
        <v>1</v>
      </c>
      <c r="AP521" s="30">
        <v>1</v>
      </c>
      <c r="AQ521" s="30">
        <v>1</v>
      </c>
      <c r="AR521" s="50">
        <v>0.05</v>
      </c>
      <c r="AS521" s="34">
        <v>9.5238095238095205E-2</v>
      </c>
      <c r="AT521" s="34">
        <v>0.105263157894737</v>
      </c>
      <c r="AU521" s="34">
        <v>-0.15384615384615399</v>
      </c>
      <c r="AV521" s="34">
        <v>2.3809523809523801E-2</v>
      </c>
      <c r="AW521" s="10"/>
      <c r="AX521" s="8"/>
    </row>
    <row r="522" spans="1:50">
      <c r="A522" s="7"/>
      <c r="B522" s="10"/>
      <c r="C522" s="45" t="s">
        <v>396</v>
      </c>
      <c r="D522" s="23" t="s">
        <v>19</v>
      </c>
      <c r="E522" s="46" t="s">
        <v>568</v>
      </c>
      <c r="F522" s="46" t="s">
        <v>568</v>
      </c>
      <c r="G522" s="46" t="s">
        <v>568</v>
      </c>
      <c r="H522" s="46" t="s">
        <v>568</v>
      </c>
      <c r="I522" s="25">
        <v>0.9</v>
      </c>
      <c r="J522" s="26">
        <v>1</v>
      </c>
      <c r="K522" s="26">
        <v>1</v>
      </c>
      <c r="L522" s="27">
        <v>1</v>
      </c>
      <c r="M522" s="26">
        <v>0.99413489736070404</v>
      </c>
      <c r="N522" s="28">
        <v>0.9</v>
      </c>
      <c r="O522" s="26">
        <v>0.95226209048361898</v>
      </c>
      <c r="P522" s="26">
        <v>0.96576777979600403</v>
      </c>
      <c r="Q522" s="26">
        <v>0.93732970027247997</v>
      </c>
      <c r="R522" s="26">
        <v>0.96025188143142404</v>
      </c>
      <c r="S522" s="28">
        <v>0.9</v>
      </c>
      <c r="T522" s="26">
        <v>0.91591263650545995</v>
      </c>
      <c r="U522" s="26">
        <v>0.89436914908481202</v>
      </c>
      <c r="V522" s="26">
        <v>0.89782016348773797</v>
      </c>
      <c r="W522" s="26">
        <v>0.91128858854246697</v>
      </c>
      <c r="X522" s="28">
        <v>0.92</v>
      </c>
      <c r="Y522" s="28">
        <v>0</v>
      </c>
      <c r="Z522" s="28">
        <v>0</v>
      </c>
      <c r="AA522" s="28">
        <v>0</v>
      </c>
      <c r="AB522" s="28">
        <v>0</v>
      </c>
      <c r="AC522" s="28">
        <v>0.92</v>
      </c>
      <c r="AD522" s="26">
        <v>0.98933901918976497</v>
      </c>
      <c r="AE522" s="26">
        <v>0.98202247191011205</v>
      </c>
      <c r="AF522" s="26">
        <v>0.99047619047619095</v>
      </c>
      <c r="AG522" s="26">
        <v>0.98796837401168802</v>
      </c>
      <c r="AH522" s="28">
        <v>0.92</v>
      </c>
      <c r="AI522" s="26">
        <v>0.96552799875214501</v>
      </c>
      <c r="AJ522" s="26">
        <v>0.98323319826743005</v>
      </c>
      <c r="AK522" s="26">
        <v>0.96934604904632105</v>
      </c>
      <c r="AL522" s="26">
        <v>0.97379899250522195</v>
      </c>
      <c r="AM522" s="25">
        <v>0.99</v>
      </c>
      <c r="AN522" s="30">
        <v>1</v>
      </c>
      <c r="AO522" s="30">
        <v>1</v>
      </c>
      <c r="AP522" s="30">
        <v>1</v>
      </c>
      <c r="AQ522" s="30">
        <v>1</v>
      </c>
      <c r="AR522" s="50">
        <v>0.05</v>
      </c>
      <c r="AS522" s="34">
        <v>0</v>
      </c>
      <c r="AT522" s="34">
        <v>6.6666666666666693E-2</v>
      </c>
      <c r="AU522" s="34">
        <v>0.15384615384615399</v>
      </c>
      <c r="AV522" s="34">
        <v>5.46875E-2</v>
      </c>
      <c r="AW522" s="10"/>
      <c r="AX522" s="8"/>
    </row>
    <row r="523" spans="1:50">
      <c r="A523" s="7"/>
      <c r="B523" s="10"/>
      <c r="C523" s="45" t="s">
        <v>396</v>
      </c>
      <c r="D523" s="23" t="s">
        <v>19</v>
      </c>
      <c r="E523" s="46" t="s">
        <v>569</v>
      </c>
      <c r="F523" s="46" t="s">
        <v>569</v>
      </c>
      <c r="G523" s="46" t="s">
        <v>569</v>
      </c>
      <c r="H523" s="46" t="s">
        <v>569</v>
      </c>
      <c r="I523" s="25">
        <v>0.9</v>
      </c>
      <c r="J523" s="26">
        <v>0.97222222222222199</v>
      </c>
      <c r="K523" s="26">
        <v>0.98648648648648696</v>
      </c>
      <c r="L523" s="27">
        <v>0.95384615384615401</v>
      </c>
      <c r="M523" s="26">
        <v>0.95897435897435901</v>
      </c>
      <c r="N523" s="28">
        <v>0.9</v>
      </c>
      <c r="O523" s="26">
        <v>0.95304417031436495</v>
      </c>
      <c r="P523" s="26">
        <v>0.847121111846459</v>
      </c>
      <c r="Q523" s="26">
        <v>0.95258620689655205</v>
      </c>
      <c r="R523" s="26">
        <v>0.924908379860787</v>
      </c>
      <c r="S523" s="28">
        <v>0.9</v>
      </c>
      <c r="T523" s="26">
        <v>0.93513728611221603</v>
      </c>
      <c r="U523" s="26">
        <v>0.92598720494153997</v>
      </c>
      <c r="V523" s="26">
        <v>0.93345905172413801</v>
      </c>
      <c r="W523" s="26">
        <v>0.92643333251346605</v>
      </c>
      <c r="X523" s="28">
        <v>0.92</v>
      </c>
      <c r="Y523" s="28">
        <v>0</v>
      </c>
      <c r="Z523" s="28">
        <v>0</v>
      </c>
      <c r="AA523" s="28">
        <v>0</v>
      </c>
      <c r="AB523" s="28">
        <v>0</v>
      </c>
      <c r="AC523" s="28">
        <v>0.92</v>
      </c>
      <c r="AD523" s="26">
        <v>0.99238820171265496</v>
      </c>
      <c r="AE523" s="26">
        <v>0.99007220216606495</v>
      </c>
      <c r="AF523" s="26">
        <v>0.997654417513683</v>
      </c>
      <c r="AG523" s="26">
        <v>0.99492680098565001</v>
      </c>
      <c r="AH523" s="28">
        <v>0.92</v>
      </c>
      <c r="AI523" s="26">
        <v>0.97572622363708705</v>
      </c>
      <c r="AJ523" s="26">
        <v>0.98621222148687404</v>
      </c>
      <c r="AK523" s="26">
        <v>0.98706896551724099</v>
      </c>
      <c r="AL523" s="26">
        <v>0.979413139188824</v>
      </c>
      <c r="AM523" s="25">
        <v>0.99</v>
      </c>
      <c r="AN523" s="30">
        <v>1</v>
      </c>
      <c r="AO523" s="30">
        <v>1</v>
      </c>
      <c r="AP523" s="30">
        <v>1</v>
      </c>
      <c r="AQ523" s="30">
        <v>1</v>
      </c>
      <c r="AR523" s="50">
        <v>0.05</v>
      </c>
      <c r="AS523" s="34">
        <v>0.157894736842105</v>
      </c>
      <c r="AT523" s="34">
        <v>4.5454545454545497E-2</v>
      </c>
      <c r="AU523" s="34">
        <v>0.2</v>
      </c>
      <c r="AV523" s="34">
        <v>9.34579439252336E-2</v>
      </c>
      <c r="AW523" s="10"/>
      <c r="AX523" s="8"/>
    </row>
    <row r="524" spans="1:50">
      <c r="A524" s="7"/>
      <c r="B524" s="10"/>
      <c r="C524" s="45" t="s">
        <v>396</v>
      </c>
      <c r="D524" s="23" t="s">
        <v>19</v>
      </c>
      <c r="E524" s="46" t="s">
        <v>570</v>
      </c>
      <c r="F524" s="46" t="s">
        <v>570</v>
      </c>
      <c r="G524" s="46" t="s">
        <v>570</v>
      </c>
      <c r="H524" s="46" t="s">
        <v>570</v>
      </c>
      <c r="I524" s="25">
        <v>0.9</v>
      </c>
      <c r="J524" s="26">
        <v>1</v>
      </c>
      <c r="K524" s="26">
        <v>1</v>
      </c>
      <c r="L524" s="27">
        <v>1</v>
      </c>
      <c r="M524" s="26">
        <v>0.99038461538461497</v>
      </c>
      <c r="N524" s="28">
        <v>0.9</v>
      </c>
      <c r="O524" s="26">
        <v>0.97384937238493696</v>
      </c>
      <c r="P524" s="26">
        <v>0.988584474885845</v>
      </c>
      <c r="Q524" s="26">
        <v>0.91262135922330101</v>
      </c>
      <c r="R524" s="26">
        <v>0.97188339880091001</v>
      </c>
      <c r="S524" s="28">
        <v>0.9</v>
      </c>
      <c r="T524" s="26">
        <v>0.92573221757322199</v>
      </c>
      <c r="U524" s="26">
        <v>0.88812785388127902</v>
      </c>
      <c r="V524" s="26">
        <v>0.90291262135922301</v>
      </c>
      <c r="W524" s="26">
        <v>0.89911101922679304</v>
      </c>
      <c r="X524" s="28">
        <v>0.92</v>
      </c>
      <c r="Y524" s="28">
        <v>0.936739659367397</v>
      </c>
      <c r="Z524" s="28">
        <v>0.95939086294416198</v>
      </c>
      <c r="AA524" s="28">
        <v>0.959361393323657</v>
      </c>
      <c r="AB524" s="28">
        <v>0.950830140485313</v>
      </c>
      <c r="AC524" s="28">
        <v>0.92</v>
      </c>
      <c r="AD524" s="26">
        <v>0.98863636363636398</v>
      </c>
      <c r="AE524" s="26">
        <v>0.97297297297297303</v>
      </c>
      <c r="AF524" s="26">
        <v>0.98484848484848497</v>
      </c>
      <c r="AG524" s="26">
        <v>0.98224852071005897</v>
      </c>
      <c r="AH524" s="28">
        <v>0.92</v>
      </c>
      <c r="AI524" s="26">
        <v>0.96177627880831895</v>
      </c>
      <c r="AJ524" s="26">
        <v>0.977410947002606</v>
      </c>
      <c r="AK524" s="26">
        <v>0.96407185628742498</v>
      </c>
      <c r="AL524" s="26">
        <v>0.96794468887492102</v>
      </c>
      <c r="AM524" s="25">
        <v>0.99</v>
      </c>
      <c r="AN524" s="30">
        <v>1</v>
      </c>
      <c r="AO524" s="30">
        <v>1</v>
      </c>
      <c r="AP524" s="30">
        <v>1</v>
      </c>
      <c r="AQ524" s="30">
        <v>1</v>
      </c>
      <c r="AR524" s="50">
        <v>0.05</v>
      </c>
      <c r="AS524" s="34">
        <v>0</v>
      </c>
      <c r="AT524" s="34">
        <v>0.125</v>
      </c>
      <c r="AU524" s="34">
        <v>0</v>
      </c>
      <c r="AV524" s="34">
        <v>7.8431372549019607E-2</v>
      </c>
      <c r="AW524" s="10"/>
      <c r="AX524" s="8"/>
    </row>
    <row r="525" spans="1:50">
      <c r="A525" s="7"/>
      <c r="B525" s="10"/>
      <c r="C525" s="45" t="s">
        <v>396</v>
      </c>
      <c r="D525" s="23" t="s">
        <v>19</v>
      </c>
      <c r="E525" s="46" t="s">
        <v>571</v>
      </c>
      <c r="F525" s="46" t="s">
        <v>571</v>
      </c>
      <c r="G525" s="46" t="s">
        <v>571</v>
      </c>
      <c r="H525" s="46" t="s">
        <v>571</v>
      </c>
      <c r="I525" s="25">
        <v>0.9</v>
      </c>
      <c r="J525" s="26">
        <v>0.98484848484848497</v>
      </c>
      <c r="K525" s="26">
        <v>0.987341772151899</v>
      </c>
      <c r="L525" s="27">
        <v>0.96969696969696995</v>
      </c>
      <c r="M525" s="26">
        <v>0.98280098280098305</v>
      </c>
      <c r="N525" s="28">
        <v>0.9</v>
      </c>
      <c r="O525" s="26">
        <v>0.98739782016348798</v>
      </c>
      <c r="P525" s="26">
        <v>0.98887240356083095</v>
      </c>
      <c r="Q525" s="26">
        <v>0.98549222797927505</v>
      </c>
      <c r="R525" s="26">
        <v>0.971991904419926</v>
      </c>
      <c r="S525" s="28">
        <v>0.9</v>
      </c>
      <c r="T525" s="26">
        <v>0.91178474114441399</v>
      </c>
      <c r="U525" s="26">
        <v>0.91493570722057405</v>
      </c>
      <c r="V525" s="26">
        <v>0.92642487046632105</v>
      </c>
      <c r="W525" s="26">
        <v>0.90494222106156597</v>
      </c>
      <c r="X525" s="28">
        <v>0.92</v>
      </c>
      <c r="Y525" s="28">
        <v>0.91417793146809201</v>
      </c>
      <c r="Z525" s="28">
        <v>0.93970242756460498</v>
      </c>
      <c r="AA525" s="28">
        <v>0.92063937184520495</v>
      </c>
      <c r="AB525" s="28">
        <v>0.92698038814071404</v>
      </c>
      <c r="AC525" s="28">
        <v>0.92</v>
      </c>
      <c r="AD525" s="26">
        <v>0.99576271186440701</v>
      </c>
      <c r="AE525" s="26">
        <v>0.99004267425320103</v>
      </c>
      <c r="AF525" s="26">
        <v>0.97798742138364803</v>
      </c>
      <c r="AG525" s="26">
        <v>0.97977410034147605</v>
      </c>
      <c r="AH525" s="28">
        <v>0.92</v>
      </c>
      <c r="AI525" s="26">
        <v>0.93922561672929294</v>
      </c>
      <c r="AJ525" s="26">
        <v>0.96255394770246305</v>
      </c>
      <c r="AK525" s="26">
        <v>0.93396434074400203</v>
      </c>
      <c r="AL525" s="26">
        <v>0.94381700395574197</v>
      </c>
      <c r="AM525" s="25">
        <v>0.99</v>
      </c>
      <c r="AN525" s="30">
        <v>1</v>
      </c>
      <c r="AO525" s="30">
        <v>1</v>
      </c>
      <c r="AP525" s="30">
        <v>1</v>
      </c>
      <c r="AQ525" s="30">
        <v>1</v>
      </c>
      <c r="AR525" s="50">
        <v>0.05</v>
      </c>
      <c r="AS525" s="34">
        <v>5.5555555555555601E-2</v>
      </c>
      <c r="AT525" s="34">
        <v>0.217391304347826</v>
      </c>
      <c r="AU525" s="34">
        <v>0</v>
      </c>
      <c r="AV525" s="34">
        <v>0.10344827586206901</v>
      </c>
      <c r="AW525" s="10"/>
      <c r="AX525" s="8"/>
    </row>
    <row r="526" spans="1:50">
      <c r="A526" s="7"/>
      <c r="B526" s="10"/>
      <c r="C526" s="45" t="s">
        <v>396</v>
      </c>
      <c r="D526" s="23" t="s">
        <v>19</v>
      </c>
      <c r="E526" s="46" t="s">
        <v>572</v>
      </c>
      <c r="F526" s="46" t="s">
        <v>572</v>
      </c>
      <c r="G526" s="46" t="s">
        <v>572</v>
      </c>
      <c r="H526" s="46" t="s">
        <v>572</v>
      </c>
      <c r="I526" s="25">
        <v>0.9</v>
      </c>
      <c r="J526" s="26">
        <v>1</v>
      </c>
      <c r="K526" s="26">
        <v>1</v>
      </c>
      <c r="L526" s="27">
        <v>0.94117647058823495</v>
      </c>
      <c r="M526" s="26">
        <v>0.99099099099099097</v>
      </c>
      <c r="N526" s="28">
        <v>0.9</v>
      </c>
      <c r="O526" s="26">
        <v>0.98859512700881302</v>
      </c>
      <c r="P526" s="26">
        <v>0.99461312438785499</v>
      </c>
      <c r="Q526" s="26">
        <v>0.98323353293413196</v>
      </c>
      <c r="R526" s="26">
        <v>0.98973667841592405</v>
      </c>
      <c r="S526" s="28">
        <v>0.9</v>
      </c>
      <c r="T526" s="26">
        <v>0.979782270606532</v>
      </c>
      <c r="U526" s="26">
        <v>0.97404505386875595</v>
      </c>
      <c r="V526" s="26">
        <v>0.97365269461077797</v>
      </c>
      <c r="W526" s="26">
        <v>0.96661828737300404</v>
      </c>
      <c r="X526" s="28">
        <v>0.92</v>
      </c>
      <c r="Y526" s="28">
        <v>0</v>
      </c>
      <c r="Z526" s="28">
        <v>0</v>
      </c>
      <c r="AA526" s="28">
        <v>0</v>
      </c>
      <c r="AB526" s="28">
        <v>0</v>
      </c>
      <c r="AC526" s="28">
        <v>0.92</v>
      </c>
      <c r="AD526" s="26">
        <v>1</v>
      </c>
      <c r="AE526" s="26">
        <v>0.99514563106796095</v>
      </c>
      <c r="AF526" s="26">
        <v>1</v>
      </c>
      <c r="AG526" s="26">
        <v>0.99392097264437695</v>
      </c>
      <c r="AH526" s="28">
        <v>0.92</v>
      </c>
      <c r="AI526" s="26">
        <v>0.99481865284974103</v>
      </c>
      <c r="AJ526" s="26">
        <v>0.99755142017629805</v>
      </c>
      <c r="AK526" s="26">
        <v>0.99880239520958103</v>
      </c>
      <c r="AL526" s="26">
        <v>0.99616461075982199</v>
      </c>
      <c r="AM526" s="25">
        <v>0.99</v>
      </c>
      <c r="AN526" s="30">
        <v>1</v>
      </c>
      <c r="AO526" s="30">
        <v>1</v>
      </c>
      <c r="AP526" s="30">
        <v>1</v>
      </c>
      <c r="AQ526" s="30">
        <v>1</v>
      </c>
      <c r="AR526" s="50">
        <v>0.05</v>
      </c>
      <c r="AS526" s="34">
        <v>0</v>
      </c>
      <c r="AT526" s="34">
        <v>0</v>
      </c>
      <c r="AU526" s="34">
        <v>0</v>
      </c>
      <c r="AV526" s="34">
        <v>8.8235294117647106E-2</v>
      </c>
      <c r="AW526" s="10"/>
      <c r="AX526" s="8"/>
    </row>
    <row r="527" spans="1:50">
      <c r="A527" s="7"/>
      <c r="B527" s="10"/>
      <c r="C527" s="45" t="s">
        <v>396</v>
      </c>
      <c r="D527" s="23" t="s">
        <v>19</v>
      </c>
      <c r="E527" s="46" t="s">
        <v>573</v>
      </c>
      <c r="F527" s="46" t="s">
        <v>573</v>
      </c>
      <c r="G527" s="46" t="s">
        <v>573</v>
      </c>
      <c r="H527" s="46" t="s">
        <v>573</v>
      </c>
      <c r="I527" s="25">
        <v>0.9</v>
      </c>
      <c r="J527" s="26">
        <v>1</v>
      </c>
      <c r="K527" s="26">
        <v>0.98148148148148195</v>
      </c>
      <c r="L527" s="27">
        <v>0.95121951219512202</v>
      </c>
      <c r="M527" s="26">
        <v>0.978494623655914</v>
      </c>
      <c r="N527" s="28">
        <v>0.9</v>
      </c>
      <c r="O527" s="26">
        <v>0.96124031007751898</v>
      </c>
      <c r="P527" s="26">
        <v>0.96749024707412201</v>
      </c>
      <c r="Q527" s="26">
        <v>0.93270365997638705</v>
      </c>
      <c r="R527" s="26">
        <v>0.96054243219597502</v>
      </c>
      <c r="S527" s="28">
        <v>0.9</v>
      </c>
      <c r="T527" s="26">
        <v>0.91153670770633799</v>
      </c>
      <c r="U527" s="26">
        <v>0.93985695708712602</v>
      </c>
      <c r="V527" s="26">
        <v>0.89020070838252696</v>
      </c>
      <c r="W527" s="26">
        <v>0.92423447069116405</v>
      </c>
      <c r="X527" s="28">
        <v>0.92</v>
      </c>
      <c r="Y527" s="28">
        <v>0.95478852698104</v>
      </c>
      <c r="Z527" s="28">
        <v>0.96437880104257201</v>
      </c>
      <c r="AA527" s="28">
        <v>0.95925058548009401</v>
      </c>
      <c r="AB527" s="28">
        <v>0.95558059064939205</v>
      </c>
      <c r="AC527" s="28">
        <v>0.92</v>
      </c>
      <c r="AD527" s="26">
        <v>0.99619771863117901</v>
      </c>
      <c r="AE527" s="26">
        <v>0.98666666666666702</v>
      </c>
      <c r="AF527" s="26">
        <v>1</v>
      </c>
      <c r="AG527" s="26">
        <v>0.98836242726516998</v>
      </c>
      <c r="AH527" s="28">
        <v>0.92</v>
      </c>
      <c r="AI527" s="26">
        <v>0.96942615239887098</v>
      </c>
      <c r="AJ527" s="26">
        <v>0.97882221809400005</v>
      </c>
      <c r="AK527" s="26">
        <v>0.96759104577347099</v>
      </c>
      <c r="AL527" s="26">
        <v>0.97096477282235805</v>
      </c>
      <c r="AM527" s="25">
        <v>0.99</v>
      </c>
      <c r="AN527" s="30">
        <v>1</v>
      </c>
      <c r="AO527" s="30">
        <v>1</v>
      </c>
      <c r="AP527" s="30">
        <v>1</v>
      </c>
      <c r="AQ527" s="30">
        <v>1</v>
      </c>
      <c r="AR527" s="50">
        <v>0.05</v>
      </c>
      <c r="AS527" s="34">
        <v>0</v>
      </c>
      <c r="AT527" s="34">
        <v>0</v>
      </c>
      <c r="AU527" s="34">
        <v>0</v>
      </c>
      <c r="AV527" s="34">
        <v>0</v>
      </c>
      <c r="AW527" s="10"/>
      <c r="AX527" s="8"/>
    </row>
    <row r="528" spans="1:50">
      <c r="A528" s="7"/>
      <c r="B528" s="10"/>
      <c r="C528" s="45" t="s">
        <v>396</v>
      </c>
      <c r="D528" s="23" t="s">
        <v>19</v>
      </c>
      <c r="E528" s="46" t="s">
        <v>574</v>
      </c>
      <c r="F528" s="46" t="s">
        <v>574</v>
      </c>
      <c r="G528" s="46" t="s">
        <v>574</v>
      </c>
      <c r="H528" s="46" t="s">
        <v>574</v>
      </c>
      <c r="I528" s="25">
        <v>0.9</v>
      </c>
      <c r="J528" s="26">
        <v>0.89655172413793105</v>
      </c>
      <c r="K528" s="26">
        <v>0.86206896551724099</v>
      </c>
      <c r="L528" s="27">
        <v>0.91666666666666696</v>
      </c>
      <c r="M528" s="26">
        <v>0.89333333333333298</v>
      </c>
      <c r="N528" s="28">
        <v>0.9</v>
      </c>
      <c r="O528" s="26">
        <v>0.946989528795812</v>
      </c>
      <c r="P528" s="26">
        <v>0.94780701754385999</v>
      </c>
      <c r="Q528" s="26">
        <v>0.896142433234421</v>
      </c>
      <c r="R528" s="26">
        <v>0.90440236961319598</v>
      </c>
      <c r="S528" s="28">
        <v>0.9</v>
      </c>
      <c r="T528" s="26">
        <v>0.85209424083769603</v>
      </c>
      <c r="U528" s="26">
        <v>0.82894736842105299</v>
      </c>
      <c r="V528" s="26">
        <v>0.84718100890207704</v>
      </c>
      <c r="W528" s="26">
        <v>0.80311302125682404</v>
      </c>
      <c r="X528" s="28">
        <v>0.92</v>
      </c>
      <c r="Y528" s="28">
        <v>0.92638997650743904</v>
      </c>
      <c r="Z528" s="28">
        <v>0.90671885192433099</v>
      </c>
      <c r="AA528" s="28">
        <v>0.96546546546546497</v>
      </c>
      <c r="AB528" s="28">
        <v>0.914460556072901</v>
      </c>
      <c r="AC528" s="28">
        <v>0.92</v>
      </c>
      <c r="AD528" s="26">
        <v>0.95890410958904104</v>
      </c>
      <c r="AE528" s="26">
        <v>0.95833333333333304</v>
      </c>
      <c r="AF528" s="26">
        <v>0.97647058823529398</v>
      </c>
      <c r="AG528" s="26">
        <v>0.92447916666666696</v>
      </c>
      <c r="AH528" s="28">
        <v>0.92</v>
      </c>
      <c r="AI528" s="26">
        <v>0.94727467046669001</v>
      </c>
      <c r="AJ528" s="26">
        <v>0.94836173001310597</v>
      </c>
      <c r="AK528" s="26">
        <v>0.954319761668322</v>
      </c>
      <c r="AL528" s="26">
        <v>0.93630060666088899</v>
      </c>
      <c r="AM528" s="25">
        <v>0.99</v>
      </c>
      <c r="AN528" s="30">
        <v>1</v>
      </c>
      <c r="AO528" s="30">
        <v>1</v>
      </c>
      <c r="AP528" s="30">
        <v>1</v>
      </c>
      <c r="AQ528" s="30">
        <v>1</v>
      </c>
      <c r="AR528" s="50">
        <v>0.05</v>
      </c>
      <c r="AS528" s="34">
        <v>0.1</v>
      </c>
      <c r="AT528" s="34">
        <v>0</v>
      </c>
      <c r="AU528" s="34">
        <v>2</v>
      </c>
      <c r="AV528" s="34">
        <v>9.5238095238095205E-2</v>
      </c>
      <c r="AW528" s="10"/>
      <c r="AX528" s="8"/>
    </row>
    <row r="529" spans="1:50">
      <c r="A529" s="7"/>
      <c r="B529" s="10"/>
      <c r="C529" s="45" t="s">
        <v>396</v>
      </c>
      <c r="D529" s="23" t="s">
        <v>19</v>
      </c>
      <c r="E529" s="46" t="s">
        <v>575</v>
      </c>
      <c r="F529" s="46" t="s">
        <v>575</v>
      </c>
      <c r="G529" s="46" t="s">
        <v>575</v>
      </c>
      <c r="H529" s="46" t="s">
        <v>575</v>
      </c>
      <c r="I529" s="25">
        <v>0.9</v>
      </c>
      <c r="J529" s="26">
        <v>0.98</v>
      </c>
      <c r="K529" s="26">
        <v>0.9</v>
      </c>
      <c r="L529" s="27">
        <v>0.85106382978723405</v>
      </c>
      <c r="M529" s="26">
        <v>0.93772893772893795</v>
      </c>
      <c r="N529" s="28">
        <v>0.9</v>
      </c>
      <c r="O529" s="26">
        <v>0.97175141242937901</v>
      </c>
      <c r="P529" s="26">
        <v>0.97583390061266195</v>
      </c>
      <c r="Q529" s="26">
        <v>0.96389891696750896</v>
      </c>
      <c r="R529" s="26">
        <v>0.96779645938973402</v>
      </c>
      <c r="S529" s="28">
        <v>0.9</v>
      </c>
      <c r="T529" s="26">
        <v>0.88512241054613905</v>
      </c>
      <c r="U529" s="26">
        <v>0.86895847515316504</v>
      </c>
      <c r="V529" s="26">
        <v>0.88929001203369396</v>
      </c>
      <c r="W529" s="26">
        <v>0.87189751801441195</v>
      </c>
      <c r="X529" s="28">
        <v>0.92</v>
      </c>
      <c r="Y529" s="28">
        <v>0.95740740740740704</v>
      </c>
      <c r="Z529" s="28">
        <v>0.93783651492902598</v>
      </c>
      <c r="AA529" s="28">
        <v>0.96701388888888895</v>
      </c>
      <c r="AB529" s="28">
        <v>0.94081155293399799</v>
      </c>
      <c r="AC529" s="28">
        <v>0.92</v>
      </c>
      <c r="AD529" s="26">
        <v>0.98770491803278704</v>
      </c>
      <c r="AE529" s="26">
        <v>0.98710433763188699</v>
      </c>
      <c r="AF529" s="26">
        <v>0.98792535675082305</v>
      </c>
      <c r="AG529" s="26">
        <v>0.98285376428853</v>
      </c>
      <c r="AH529" s="28">
        <v>0.92</v>
      </c>
      <c r="AI529" s="26">
        <v>0.965821094793057</v>
      </c>
      <c r="AJ529" s="26">
        <v>0.966499498495486</v>
      </c>
      <c r="AK529" s="26">
        <v>0.97385875926648502</v>
      </c>
      <c r="AL529" s="26">
        <v>0.95866906815811903</v>
      </c>
      <c r="AM529" s="25">
        <v>0.99</v>
      </c>
      <c r="AN529" s="30">
        <v>1</v>
      </c>
      <c r="AO529" s="30">
        <v>1</v>
      </c>
      <c r="AP529" s="30">
        <v>1</v>
      </c>
      <c r="AQ529" s="30">
        <v>1</v>
      </c>
      <c r="AR529" s="50">
        <v>0.05</v>
      </c>
      <c r="AS529" s="34">
        <v>6.6666666666666693E-2</v>
      </c>
      <c r="AT529" s="34">
        <v>0</v>
      </c>
      <c r="AU529" s="34">
        <v>0</v>
      </c>
      <c r="AV529" s="34">
        <v>2.9411764705882401E-2</v>
      </c>
      <c r="AW529" s="10"/>
      <c r="AX529" s="8"/>
    </row>
    <row r="530" spans="1:50">
      <c r="A530" s="7"/>
      <c r="B530" s="10"/>
      <c r="C530" s="45" t="s">
        <v>396</v>
      </c>
      <c r="D530" s="23" t="s">
        <v>19</v>
      </c>
      <c r="E530" s="46" t="s">
        <v>576</v>
      </c>
      <c r="F530" s="46" t="s">
        <v>576</v>
      </c>
      <c r="G530" s="46" t="s">
        <v>576</v>
      </c>
      <c r="H530" s="46" t="s">
        <v>576</v>
      </c>
      <c r="I530" s="25">
        <v>0.9</v>
      </c>
      <c r="J530" s="26">
        <v>0.97101449275362295</v>
      </c>
      <c r="K530" s="26">
        <v>0.95588235294117696</v>
      </c>
      <c r="L530" s="27">
        <v>0.967741935483871</v>
      </c>
      <c r="M530" s="26">
        <v>0.97554347826086996</v>
      </c>
      <c r="N530" s="28">
        <v>0.9</v>
      </c>
      <c r="O530" s="26">
        <v>0.93694468329034097</v>
      </c>
      <c r="P530" s="26">
        <v>0.96337545512957801</v>
      </c>
      <c r="Q530" s="26">
        <v>0.91961651917404097</v>
      </c>
      <c r="R530" s="26">
        <v>0.94059297418753796</v>
      </c>
      <c r="S530" s="28">
        <v>0.9</v>
      </c>
      <c r="T530" s="26">
        <v>0.89911149326454598</v>
      </c>
      <c r="U530" s="26">
        <v>0.90533304776183299</v>
      </c>
      <c r="V530" s="26">
        <v>0.88569321533923295</v>
      </c>
      <c r="W530" s="26">
        <v>0.88803638954348696</v>
      </c>
      <c r="X530" s="28">
        <v>0.92</v>
      </c>
      <c r="Y530" s="28">
        <v>0.94804741980474205</v>
      </c>
      <c r="Z530" s="28">
        <v>0.95740905057675196</v>
      </c>
      <c r="AA530" s="28">
        <v>0.95751742449386001</v>
      </c>
      <c r="AB530" s="28">
        <v>0.940434938463377</v>
      </c>
      <c r="AC530" s="28">
        <v>0.92</v>
      </c>
      <c r="AD530" s="26">
        <v>0.99849170437405699</v>
      </c>
      <c r="AE530" s="26">
        <v>0.98318042813455697</v>
      </c>
      <c r="AF530" s="26">
        <v>0.982118294360385</v>
      </c>
      <c r="AG530" s="26">
        <v>0.98923076923076902</v>
      </c>
      <c r="AH530" s="28">
        <v>0.92</v>
      </c>
      <c r="AI530" s="26">
        <v>0.95959119496855305</v>
      </c>
      <c r="AJ530" s="26">
        <v>0.97155986090412305</v>
      </c>
      <c r="AK530" s="26">
        <v>0.96343692870201103</v>
      </c>
      <c r="AL530" s="26">
        <v>0.95836783644099299</v>
      </c>
      <c r="AM530" s="25">
        <v>0.99</v>
      </c>
      <c r="AN530" s="30">
        <v>1</v>
      </c>
      <c r="AO530" s="30">
        <v>1</v>
      </c>
      <c r="AP530" s="30">
        <v>1</v>
      </c>
      <c r="AQ530" s="30">
        <v>1</v>
      </c>
      <c r="AR530" s="50">
        <v>0.05</v>
      </c>
      <c r="AS530" s="34">
        <v>0</v>
      </c>
      <c r="AT530" s="34">
        <v>0</v>
      </c>
      <c r="AU530" s="34">
        <v>0.133333333333333</v>
      </c>
      <c r="AV530" s="34">
        <v>2.66666666666667E-2</v>
      </c>
      <c r="AW530" s="10"/>
      <c r="AX530" s="8"/>
    </row>
    <row r="531" spans="1:50">
      <c r="A531" s="7"/>
      <c r="B531" s="10"/>
      <c r="C531" s="45" t="s">
        <v>396</v>
      </c>
      <c r="D531" s="23" t="s">
        <v>19</v>
      </c>
      <c r="E531" s="46" t="s">
        <v>577</v>
      </c>
      <c r="F531" s="46" t="s">
        <v>577</v>
      </c>
      <c r="G531" s="46" t="s">
        <v>577</v>
      </c>
      <c r="H531" s="46" t="s">
        <v>577</v>
      </c>
      <c r="I531" s="25">
        <v>0.9</v>
      </c>
      <c r="J531" s="26">
        <v>0.95454545454545503</v>
      </c>
      <c r="K531" s="26">
        <v>0.97826086956521696</v>
      </c>
      <c r="L531" s="27">
        <v>0.939393939393939</v>
      </c>
      <c r="M531" s="26">
        <v>0.96666666666666701</v>
      </c>
      <c r="N531" s="28">
        <v>0.9</v>
      </c>
      <c r="O531" s="26">
        <v>0.91328047571853299</v>
      </c>
      <c r="P531" s="26">
        <v>0.95460704607046099</v>
      </c>
      <c r="Q531" s="26">
        <v>0.89431818181818201</v>
      </c>
      <c r="R531" s="26">
        <v>0.93038797104139603</v>
      </c>
      <c r="S531" s="28">
        <v>0.9</v>
      </c>
      <c r="T531" s="26">
        <v>0.87611496531219002</v>
      </c>
      <c r="U531" s="26">
        <v>0.87567750677506795</v>
      </c>
      <c r="V531" s="26">
        <v>0.84659090909090895</v>
      </c>
      <c r="W531" s="26">
        <v>0.87739001299424502</v>
      </c>
      <c r="X531" s="28">
        <v>0.92</v>
      </c>
      <c r="Y531" s="28">
        <v>0.93764705882352894</v>
      </c>
      <c r="Z531" s="28">
        <v>0.94967932905772101</v>
      </c>
      <c r="AA531" s="28">
        <v>0.94271785496648397</v>
      </c>
      <c r="AB531" s="28">
        <v>0.93751850755108102</v>
      </c>
      <c r="AC531" s="28">
        <v>0.92</v>
      </c>
      <c r="AD531" s="26">
        <v>1</v>
      </c>
      <c r="AE531" s="26">
        <v>0.95370370370370405</v>
      </c>
      <c r="AF531" s="26">
        <v>0.98863636363636398</v>
      </c>
      <c r="AG531" s="26">
        <v>0.98230088495575196</v>
      </c>
      <c r="AH531" s="28">
        <v>0.92</v>
      </c>
      <c r="AI531" s="26">
        <v>0.96023643202579301</v>
      </c>
      <c r="AJ531" s="26">
        <v>0.96969696969696995</v>
      </c>
      <c r="AK531" s="26">
        <v>0.95528294420261195</v>
      </c>
      <c r="AL531" s="26">
        <v>0.95941170852831603</v>
      </c>
      <c r="AM531" s="25">
        <v>0.99</v>
      </c>
      <c r="AN531" s="30">
        <v>1</v>
      </c>
      <c r="AO531" s="30">
        <v>1</v>
      </c>
      <c r="AP531" s="30">
        <v>1</v>
      </c>
      <c r="AQ531" s="30">
        <v>1</v>
      </c>
      <c r="AR531" s="50">
        <v>0.05</v>
      </c>
      <c r="AS531" s="34">
        <v>0</v>
      </c>
      <c r="AT531" s="34">
        <v>0.125</v>
      </c>
      <c r="AU531" s="34">
        <v>0</v>
      </c>
      <c r="AV531" s="34">
        <v>4.47761194029851E-2</v>
      </c>
      <c r="AW531" s="10"/>
      <c r="AX531" s="8"/>
    </row>
    <row r="532" spans="1:50">
      <c r="A532" s="7"/>
      <c r="B532" s="10"/>
      <c r="C532" s="45" t="s">
        <v>396</v>
      </c>
      <c r="D532" s="23" t="s">
        <v>19</v>
      </c>
      <c r="E532" s="46" t="s">
        <v>578</v>
      </c>
      <c r="F532" s="46" t="s">
        <v>578</v>
      </c>
      <c r="G532" s="46" t="s">
        <v>578</v>
      </c>
      <c r="H532" s="46" t="s">
        <v>578</v>
      </c>
      <c r="I532" s="25">
        <v>0.9</v>
      </c>
      <c r="J532" s="26">
        <v>0.952380952380952</v>
      </c>
      <c r="K532" s="26">
        <v>0.96969696969696995</v>
      </c>
      <c r="L532" s="27">
        <v>0.92592592592592604</v>
      </c>
      <c r="M532" s="26">
        <v>0.93948126801152698</v>
      </c>
      <c r="N532" s="28">
        <v>0.9</v>
      </c>
      <c r="O532" s="26">
        <v>0.98747480564353596</v>
      </c>
      <c r="P532" s="26">
        <v>0.99035087719298198</v>
      </c>
      <c r="Q532" s="26">
        <v>0.97821715817694399</v>
      </c>
      <c r="R532" s="26">
        <v>0.98544980876891497</v>
      </c>
      <c r="S532" s="28">
        <v>0.9</v>
      </c>
      <c r="T532" s="26">
        <v>0.939245608983588</v>
      </c>
      <c r="U532" s="26">
        <v>0.93558897243107797</v>
      </c>
      <c r="V532" s="26">
        <v>0.94604557640750697</v>
      </c>
      <c r="W532" s="26">
        <v>0.93758660828113705</v>
      </c>
      <c r="X532" s="28">
        <v>0.92</v>
      </c>
      <c r="Y532" s="28">
        <v>0</v>
      </c>
      <c r="Z532" s="28">
        <v>0</v>
      </c>
      <c r="AA532" s="28">
        <v>1</v>
      </c>
      <c r="AB532" s="28">
        <v>0.25</v>
      </c>
      <c r="AC532" s="28">
        <v>0.92</v>
      </c>
      <c r="AD532" s="26">
        <v>0.98327759197324405</v>
      </c>
      <c r="AE532" s="26">
        <v>0.93243243243243201</v>
      </c>
      <c r="AF532" s="26">
        <v>0.98095238095238102</v>
      </c>
      <c r="AG532" s="26">
        <v>0.97603195739014603</v>
      </c>
      <c r="AH532" s="28">
        <v>0.92</v>
      </c>
      <c r="AI532" s="26">
        <v>0.98776450266301996</v>
      </c>
      <c r="AJ532" s="26">
        <v>0.98834586466165397</v>
      </c>
      <c r="AK532" s="26">
        <v>0.99195979899497499</v>
      </c>
      <c r="AL532" s="26">
        <v>0.98478634373441198</v>
      </c>
      <c r="AM532" s="25">
        <v>0.99</v>
      </c>
      <c r="AN532" s="30">
        <v>1</v>
      </c>
      <c r="AO532" s="30">
        <v>1</v>
      </c>
      <c r="AP532" s="30">
        <v>1</v>
      </c>
      <c r="AQ532" s="30">
        <v>1</v>
      </c>
      <c r="AR532" s="50">
        <v>0.05</v>
      </c>
      <c r="AS532" s="34">
        <v>0</v>
      </c>
      <c r="AT532" s="34">
        <v>0</v>
      </c>
      <c r="AU532" s="34">
        <v>0</v>
      </c>
      <c r="AV532" s="34">
        <v>0</v>
      </c>
      <c r="AW532" s="10"/>
      <c r="AX532" s="8"/>
    </row>
    <row r="533" spans="1:50">
      <c r="A533" s="7"/>
      <c r="B533" s="10"/>
      <c r="C533" s="45" t="s">
        <v>396</v>
      </c>
      <c r="D533" s="23" t="s">
        <v>19</v>
      </c>
      <c r="E533" s="46" t="s">
        <v>579</v>
      </c>
      <c r="F533" s="46" t="s">
        <v>579</v>
      </c>
      <c r="G533" s="46" t="s">
        <v>579</v>
      </c>
      <c r="H533" s="46" t="s">
        <v>579</v>
      </c>
      <c r="I533" s="25">
        <v>0.9</v>
      </c>
      <c r="J533" s="26">
        <v>0.96</v>
      </c>
      <c r="K533" s="26">
        <v>0.94871794871794901</v>
      </c>
      <c r="L533" s="27">
        <v>0.95652173913043503</v>
      </c>
      <c r="M533" s="26">
        <v>0.972350230414747</v>
      </c>
      <c r="N533" s="28">
        <v>0.9</v>
      </c>
      <c r="O533" s="26">
        <v>0.96186856302108903</v>
      </c>
      <c r="P533" s="26">
        <v>0.980322401334074</v>
      </c>
      <c r="Q533" s="26">
        <v>0.97240033454139996</v>
      </c>
      <c r="R533" s="26">
        <v>0.97783281132396105</v>
      </c>
      <c r="S533" s="28">
        <v>0.9</v>
      </c>
      <c r="T533" s="26">
        <v>0.91785188818048102</v>
      </c>
      <c r="U533" s="26">
        <v>0.900389105058366</v>
      </c>
      <c r="V533" s="26">
        <v>0.924728185112908</v>
      </c>
      <c r="W533" s="26">
        <v>0.91181683540923097</v>
      </c>
      <c r="X533" s="28">
        <v>0.92</v>
      </c>
      <c r="Y533" s="28">
        <v>0</v>
      </c>
      <c r="Z533" s="28">
        <v>0</v>
      </c>
      <c r="AA533" s="28">
        <v>0</v>
      </c>
      <c r="AB533" s="28">
        <v>0.25</v>
      </c>
      <c r="AC533" s="28">
        <v>0.92</v>
      </c>
      <c r="AD533" s="26">
        <v>0.99019607843137303</v>
      </c>
      <c r="AE533" s="26">
        <v>0.99178082191780803</v>
      </c>
      <c r="AF533" s="26">
        <v>0.99444444444444402</v>
      </c>
      <c r="AG533" s="26">
        <v>0.98939114391143901</v>
      </c>
      <c r="AH533" s="28">
        <v>0.92</v>
      </c>
      <c r="AI533" s="26">
        <v>0.980144625566859</v>
      </c>
      <c r="AJ533" s="26">
        <v>0.97754557581147195</v>
      </c>
      <c r="AK533" s="26">
        <v>0.97881237803178101</v>
      </c>
      <c r="AL533" s="26">
        <v>0.97625810210472697</v>
      </c>
      <c r="AM533" s="25">
        <v>0.99</v>
      </c>
      <c r="AN533" s="30">
        <v>1</v>
      </c>
      <c r="AO533" s="30">
        <v>1</v>
      </c>
      <c r="AP533" s="30">
        <v>1</v>
      </c>
      <c r="AQ533" s="30">
        <v>1</v>
      </c>
      <c r="AR533" s="50">
        <v>0.05</v>
      </c>
      <c r="AS533" s="34">
        <v>0</v>
      </c>
      <c r="AT533" s="34">
        <v>0</v>
      </c>
      <c r="AU533" s="34">
        <v>0.11111111111111099</v>
      </c>
      <c r="AV533" s="34">
        <v>3.37837837837838E-2</v>
      </c>
      <c r="AW533" s="10"/>
      <c r="AX533" s="8"/>
    </row>
    <row r="534" spans="1:50">
      <c r="A534" s="7"/>
      <c r="B534" s="10"/>
      <c r="C534" s="45" t="s">
        <v>396</v>
      </c>
      <c r="D534" s="23" t="s">
        <v>19</v>
      </c>
      <c r="E534" s="46" t="s">
        <v>580</v>
      </c>
      <c r="F534" s="46" t="s">
        <v>580</v>
      </c>
      <c r="G534" s="46" t="s">
        <v>580</v>
      </c>
      <c r="H534" s="46" t="s">
        <v>580</v>
      </c>
      <c r="I534" s="25">
        <v>0.9</v>
      </c>
      <c r="J534" s="26">
        <v>0.97674418604651203</v>
      </c>
      <c r="K534" s="26">
        <v>1</v>
      </c>
      <c r="L534" s="27">
        <v>0.95121951219512202</v>
      </c>
      <c r="M534" s="26">
        <v>0.97967479674796698</v>
      </c>
      <c r="N534" s="28">
        <v>0.9</v>
      </c>
      <c r="O534" s="26">
        <v>0.951080550098232</v>
      </c>
      <c r="P534" s="26">
        <v>0.94194851085310405</v>
      </c>
      <c r="Q534" s="26">
        <v>0.945806451612903</v>
      </c>
      <c r="R534" s="26">
        <v>0.95328961909673604</v>
      </c>
      <c r="S534" s="28">
        <v>0.9</v>
      </c>
      <c r="T534" s="26">
        <v>0.92848722986247501</v>
      </c>
      <c r="U534" s="26">
        <v>0.93454484267205096</v>
      </c>
      <c r="V534" s="26">
        <v>0.93591397849462399</v>
      </c>
      <c r="W534" s="26">
        <v>0.92952921240698405</v>
      </c>
      <c r="X534" s="28">
        <v>0.92</v>
      </c>
      <c r="Y534" s="28">
        <v>0</v>
      </c>
      <c r="Z534" s="28">
        <v>0</v>
      </c>
      <c r="AA534" s="28">
        <v>0</v>
      </c>
      <c r="AB534" s="28">
        <v>0</v>
      </c>
      <c r="AC534" s="28">
        <v>0.92</v>
      </c>
      <c r="AD534" s="26">
        <v>0.98837209302325602</v>
      </c>
      <c r="AE534" s="26">
        <v>0.92248062015503896</v>
      </c>
      <c r="AF534" s="26">
        <v>1</v>
      </c>
      <c r="AG534" s="26">
        <v>0.93959731543624203</v>
      </c>
      <c r="AH534" s="28">
        <v>0.92</v>
      </c>
      <c r="AI534" s="26">
        <v>0.98311076197957603</v>
      </c>
      <c r="AJ534" s="26">
        <v>0.99007235402995097</v>
      </c>
      <c r="AK534" s="26">
        <v>0.99311827956989296</v>
      </c>
      <c r="AL534" s="26">
        <v>0.98412406070428804</v>
      </c>
      <c r="AM534" s="25">
        <v>0.99</v>
      </c>
      <c r="AN534" s="30">
        <v>1</v>
      </c>
      <c r="AO534" s="30">
        <v>1</v>
      </c>
      <c r="AP534" s="30">
        <v>1</v>
      </c>
      <c r="AQ534" s="30">
        <v>1</v>
      </c>
      <c r="AR534" s="50">
        <v>0.05</v>
      </c>
      <c r="AS534" s="34">
        <v>0.1</v>
      </c>
      <c r="AT534" s="34">
        <v>8.3333333333333301E-2</v>
      </c>
      <c r="AU534" s="34">
        <v>0</v>
      </c>
      <c r="AV534" s="34">
        <v>4.5454545454545497E-2</v>
      </c>
      <c r="AW534" s="10"/>
      <c r="AX534" s="8"/>
    </row>
    <row r="535" spans="1:50">
      <c r="A535" s="7"/>
      <c r="B535" s="10"/>
      <c r="C535" s="45" t="s">
        <v>396</v>
      </c>
      <c r="D535" s="23" t="s">
        <v>19</v>
      </c>
      <c r="E535" s="46" t="s">
        <v>581</v>
      </c>
      <c r="F535" s="46" t="s">
        <v>581</v>
      </c>
      <c r="G535" s="46" t="s">
        <v>581</v>
      </c>
      <c r="H535" s="46" t="s">
        <v>581</v>
      </c>
      <c r="I535" s="25">
        <v>0.9</v>
      </c>
      <c r="J535" s="26">
        <v>0.95522388059701502</v>
      </c>
      <c r="K535" s="26">
        <v>0.94520547945205502</v>
      </c>
      <c r="L535" s="27">
        <v>0.92424242424242398</v>
      </c>
      <c r="M535" s="26">
        <v>0.93467336683417102</v>
      </c>
      <c r="N535" s="28">
        <v>0.9</v>
      </c>
      <c r="O535" s="26">
        <v>0</v>
      </c>
      <c r="P535" s="26">
        <v>0.66666666666666696</v>
      </c>
      <c r="Q535" s="26">
        <v>0</v>
      </c>
      <c r="R535" s="26">
        <v>0.33333333333333298</v>
      </c>
      <c r="S535" s="28">
        <v>0.9</v>
      </c>
      <c r="T535" s="26">
        <v>0</v>
      </c>
      <c r="U535" s="26">
        <v>0.33333333333333298</v>
      </c>
      <c r="V535" s="26">
        <v>0</v>
      </c>
      <c r="W535" s="26">
        <v>0.16666666666666699</v>
      </c>
      <c r="X535" s="28">
        <v>0.92</v>
      </c>
      <c r="Y535" s="28">
        <v>0</v>
      </c>
      <c r="Z535" s="28">
        <v>0</v>
      </c>
      <c r="AA535" s="28">
        <v>1</v>
      </c>
      <c r="AB535" s="28">
        <v>1</v>
      </c>
      <c r="AC535" s="28">
        <v>0.92</v>
      </c>
      <c r="AD535" s="26">
        <v>0.99585348997926704</v>
      </c>
      <c r="AE535" s="26">
        <v>0.99813432835820903</v>
      </c>
      <c r="AF535" s="26">
        <v>0.98413666870042704</v>
      </c>
      <c r="AG535" s="26">
        <v>0.99131039277024702</v>
      </c>
      <c r="AH535" s="28">
        <v>0.92</v>
      </c>
      <c r="AI535" s="26">
        <v>0.97186881538026604</v>
      </c>
      <c r="AJ535" s="26">
        <v>0.98277511961722497</v>
      </c>
      <c r="AK535" s="26">
        <v>0.98081157596728497</v>
      </c>
      <c r="AL535" s="26">
        <v>0.97377229080932803</v>
      </c>
      <c r="AM535" s="25">
        <v>0.99</v>
      </c>
      <c r="AN535" s="30">
        <v>1</v>
      </c>
      <c r="AO535" s="30">
        <v>1</v>
      </c>
      <c r="AP535" s="30">
        <v>1</v>
      </c>
      <c r="AQ535" s="30">
        <v>1</v>
      </c>
      <c r="AR535" s="50">
        <v>0.05</v>
      </c>
      <c r="AS535" s="34">
        <v>0</v>
      </c>
      <c r="AT535" s="34">
        <v>8.6956521739130405E-2</v>
      </c>
      <c r="AU535" s="34">
        <v>0.4</v>
      </c>
      <c r="AV535" s="34">
        <v>9.0909090909090898E-2</v>
      </c>
      <c r="AW535" s="10"/>
      <c r="AX535" s="8"/>
    </row>
    <row r="536" spans="1:50">
      <c r="A536" s="7"/>
      <c r="B536" s="10"/>
      <c r="C536" s="45" t="s">
        <v>396</v>
      </c>
      <c r="D536" s="23" t="s">
        <v>19</v>
      </c>
      <c r="E536" s="46" t="s">
        <v>582</v>
      </c>
      <c r="F536" s="46" t="s">
        <v>582</v>
      </c>
      <c r="G536" s="46" t="s">
        <v>582</v>
      </c>
      <c r="H536" s="46" t="s">
        <v>582</v>
      </c>
      <c r="I536" s="25">
        <v>0.9</v>
      </c>
      <c r="J536" s="26">
        <v>0.96969696969696995</v>
      </c>
      <c r="K536" s="26">
        <v>0.83333333333333304</v>
      </c>
      <c r="L536" s="27">
        <v>0.86206896551724099</v>
      </c>
      <c r="M536" s="26">
        <v>0.88947368421052597</v>
      </c>
      <c r="N536" s="28">
        <v>0.9</v>
      </c>
      <c r="O536" s="26">
        <v>0.966728855721393</v>
      </c>
      <c r="P536" s="26">
        <v>0.97265221878225006</v>
      </c>
      <c r="Q536" s="26">
        <v>0.94389689158453405</v>
      </c>
      <c r="R536" s="26">
        <v>0.95518274415817805</v>
      </c>
      <c r="S536" s="28">
        <v>0.9</v>
      </c>
      <c r="T536" s="26">
        <v>0.93656716417910402</v>
      </c>
      <c r="U536" s="26">
        <v>0.93369453044375605</v>
      </c>
      <c r="V536" s="26">
        <v>0.93479909021986396</v>
      </c>
      <c r="W536" s="26">
        <v>0.93427201917315805</v>
      </c>
      <c r="X536" s="28">
        <v>0.92</v>
      </c>
      <c r="Y536" s="28">
        <v>0</v>
      </c>
      <c r="Z536" s="28">
        <v>0</v>
      </c>
      <c r="AA536" s="28">
        <v>0</v>
      </c>
      <c r="AB536" s="28">
        <v>0</v>
      </c>
      <c r="AC536" s="28">
        <v>0.92</v>
      </c>
      <c r="AD536" s="26">
        <v>0.931034482758621</v>
      </c>
      <c r="AE536" s="26">
        <v>0.88888888888888895</v>
      </c>
      <c r="AF536" s="26">
        <v>0.939393939393939</v>
      </c>
      <c r="AG536" s="26">
        <v>0.94059405940594099</v>
      </c>
      <c r="AH536" s="28">
        <v>0.92</v>
      </c>
      <c r="AI536" s="26">
        <v>0.967741935483871</v>
      </c>
      <c r="AJ536" s="26">
        <v>0.98381294964028798</v>
      </c>
      <c r="AK536" s="26">
        <v>0.97658610271903301</v>
      </c>
      <c r="AL536" s="26">
        <v>0.97729980934223104</v>
      </c>
      <c r="AM536" s="25">
        <v>0.99</v>
      </c>
      <c r="AN536" s="30">
        <v>1</v>
      </c>
      <c r="AO536" s="30">
        <v>1</v>
      </c>
      <c r="AP536" s="30">
        <v>1</v>
      </c>
      <c r="AQ536" s="30">
        <v>1</v>
      </c>
      <c r="AR536" s="50">
        <v>0.05</v>
      </c>
      <c r="AS536" s="34">
        <v>0</v>
      </c>
      <c r="AT536" s="34">
        <v>0</v>
      </c>
      <c r="AU536" s="34">
        <v>0</v>
      </c>
      <c r="AV536" s="34">
        <v>9.375E-2</v>
      </c>
      <c r="AW536" s="10"/>
      <c r="AX536" s="8"/>
    </row>
    <row r="537" spans="1:50">
      <c r="A537" s="7"/>
      <c r="B537" s="10"/>
      <c r="C537" s="45" t="s">
        <v>396</v>
      </c>
      <c r="D537" s="23" t="s">
        <v>19</v>
      </c>
      <c r="E537" s="46" t="s">
        <v>583</v>
      </c>
      <c r="F537" s="46" t="s">
        <v>583</v>
      </c>
      <c r="G537" s="46" t="s">
        <v>583</v>
      </c>
      <c r="H537" s="46" t="s">
        <v>583</v>
      </c>
      <c r="I537" s="25">
        <v>0.9</v>
      </c>
      <c r="J537" s="26">
        <v>0.91666666666666696</v>
      </c>
      <c r="K537" s="26">
        <v>1</v>
      </c>
      <c r="L537" s="27">
        <v>1</v>
      </c>
      <c r="M537" s="26">
        <v>0.94581280788177302</v>
      </c>
      <c r="N537" s="28">
        <v>0.9</v>
      </c>
      <c r="O537" s="26">
        <v>0.92869652239179401</v>
      </c>
      <c r="P537" s="26">
        <v>0.93637274549098204</v>
      </c>
      <c r="Q537" s="26">
        <v>0.88195232690124903</v>
      </c>
      <c r="R537" s="26">
        <v>0.85423343326785905</v>
      </c>
      <c r="S537" s="28">
        <v>0.9</v>
      </c>
      <c r="T537" s="26">
        <v>0.90417813360020005</v>
      </c>
      <c r="U537" s="26">
        <v>0.92660320641282601</v>
      </c>
      <c r="V537" s="26">
        <v>0.92167990919409803</v>
      </c>
      <c r="W537" s="26">
        <v>0.92494572521451501</v>
      </c>
      <c r="X537" s="28">
        <v>0.92</v>
      </c>
      <c r="Y537" s="28">
        <v>0</v>
      </c>
      <c r="Z537" s="28">
        <v>0</v>
      </c>
      <c r="AA537" s="28">
        <v>0</v>
      </c>
      <c r="AB537" s="28">
        <v>0</v>
      </c>
      <c r="AC537" s="28">
        <v>0.92</v>
      </c>
      <c r="AD537" s="26">
        <v>0.98969072164948502</v>
      </c>
      <c r="AE537" s="26">
        <v>0.96417910447761201</v>
      </c>
      <c r="AF537" s="26">
        <v>0.99781181619255999</v>
      </c>
      <c r="AG537" s="26">
        <v>0.89279731993299805</v>
      </c>
      <c r="AH537" s="28">
        <v>0.92</v>
      </c>
      <c r="AI537" s="26">
        <v>0.95423855963991</v>
      </c>
      <c r="AJ537" s="26">
        <v>0.966975231423568</v>
      </c>
      <c r="AK537" s="26">
        <v>0.96539988655700504</v>
      </c>
      <c r="AL537" s="26">
        <v>0.96786194068409603</v>
      </c>
      <c r="AM537" s="25">
        <v>0.99</v>
      </c>
      <c r="AN537" s="30">
        <v>1</v>
      </c>
      <c r="AO537" s="30">
        <v>1</v>
      </c>
      <c r="AP537" s="30">
        <v>1</v>
      </c>
      <c r="AQ537" s="30">
        <v>1</v>
      </c>
      <c r="AR537" s="50">
        <v>0.05</v>
      </c>
      <c r="AS537" s="34">
        <v>0</v>
      </c>
      <c r="AT537" s="34">
        <v>0</v>
      </c>
      <c r="AU537" s="34">
        <v>0.2</v>
      </c>
      <c r="AV537" s="34">
        <v>6.6666666666666693E-2</v>
      </c>
      <c r="AW537" s="10"/>
      <c r="AX537" s="8"/>
    </row>
    <row r="538" spans="1:50">
      <c r="A538" s="7"/>
      <c r="B538" s="10"/>
      <c r="C538" s="45" t="s">
        <v>396</v>
      </c>
      <c r="D538" s="23" t="s">
        <v>19</v>
      </c>
      <c r="E538" s="46" t="s">
        <v>584</v>
      </c>
      <c r="F538" s="46" t="s">
        <v>584</v>
      </c>
      <c r="G538" s="46" t="s">
        <v>584</v>
      </c>
      <c r="H538" s="46" t="s">
        <v>584</v>
      </c>
      <c r="I538" s="25">
        <v>0.9</v>
      </c>
      <c r="J538" s="26">
        <v>0.97014925373134298</v>
      </c>
      <c r="K538" s="26">
        <v>0.95714285714285696</v>
      </c>
      <c r="L538" s="27">
        <v>0.94827586206896597</v>
      </c>
      <c r="M538" s="26">
        <v>0.97127937336814596</v>
      </c>
      <c r="N538" s="28">
        <v>0.9</v>
      </c>
      <c r="O538" s="26">
        <v>0.33333333333333298</v>
      </c>
      <c r="P538" s="26">
        <v>0</v>
      </c>
      <c r="Q538" s="26">
        <v>0</v>
      </c>
      <c r="R538" s="26">
        <v>0.27272727272727298</v>
      </c>
      <c r="S538" s="28">
        <v>0.9</v>
      </c>
      <c r="T538" s="26">
        <v>0</v>
      </c>
      <c r="U538" s="26">
        <v>0</v>
      </c>
      <c r="V538" s="26">
        <v>0</v>
      </c>
      <c r="W538" s="26">
        <v>0</v>
      </c>
      <c r="X538" s="28">
        <v>0.92</v>
      </c>
      <c r="Y538" s="28">
        <v>0</v>
      </c>
      <c r="Z538" s="28">
        <v>0</v>
      </c>
      <c r="AA538" s="28">
        <v>0</v>
      </c>
      <c r="AB538" s="28">
        <v>0.33333333333333298</v>
      </c>
      <c r="AC538" s="28">
        <v>0.92</v>
      </c>
      <c r="AD538" s="26">
        <v>0.99180327868852503</v>
      </c>
      <c r="AE538" s="26">
        <v>0.99402092675635301</v>
      </c>
      <c r="AF538" s="26">
        <v>0.99723502304147504</v>
      </c>
      <c r="AG538" s="26">
        <v>0.99284436493738804</v>
      </c>
      <c r="AH538" s="28">
        <v>0.92</v>
      </c>
      <c r="AI538" s="26">
        <v>0.96634546239033503</v>
      </c>
      <c r="AJ538" s="26">
        <v>0.97963364666184605</v>
      </c>
      <c r="AK538" s="26">
        <v>0.92934249263984303</v>
      </c>
      <c r="AL538" s="26">
        <v>0.96138812887375102</v>
      </c>
      <c r="AM538" s="25">
        <v>0.99</v>
      </c>
      <c r="AN538" s="30">
        <v>1</v>
      </c>
      <c r="AO538" s="30">
        <v>1</v>
      </c>
      <c r="AP538" s="30">
        <v>1</v>
      </c>
      <c r="AQ538" s="30">
        <v>1</v>
      </c>
      <c r="AR538" s="50">
        <v>0.05</v>
      </c>
      <c r="AS538" s="34">
        <v>0.16666666666666699</v>
      </c>
      <c r="AT538" s="34">
        <v>0</v>
      </c>
      <c r="AU538" s="34">
        <v>0</v>
      </c>
      <c r="AV538" s="34">
        <v>5.93220338983051E-2</v>
      </c>
      <c r="AW538" s="10"/>
      <c r="AX538" s="8"/>
    </row>
    <row r="539" spans="1:50">
      <c r="A539" s="7"/>
      <c r="B539" s="10"/>
      <c r="C539" s="45" t="s">
        <v>396</v>
      </c>
      <c r="D539" s="23" t="s">
        <v>19</v>
      </c>
      <c r="E539" s="46" t="s">
        <v>585</v>
      </c>
      <c r="F539" s="46" t="s">
        <v>585</v>
      </c>
      <c r="G539" s="46" t="s">
        <v>585</v>
      </c>
      <c r="H539" s="46" t="s">
        <v>585</v>
      </c>
      <c r="I539" s="25">
        <v>0.9</v>
      </c>
      <c r="J539" s="26">
        <v>0.96969696969696995</v>
      </c>
      <c r="K539" s="26">
        <v>1</v>
      </c>
      <c r="L539" s="27">
        <v>0.78571428571428603</v>
      </c>
      <c r="M539" s="26">
        <v>0.95187165775401095</v>
      </c>
      <c r="N539" s="28">
        <v>0.9</v>
      </c>
      <c r="O539" s="26">
        <v>0</v>
      </c>
      <c r="P539" s="26">
        <v>0</v>
      </c>
      <c r="Q539" s="26">
        <v>0</v>
      </c>
      <c r="R539" s="26">
        <v>0</v>
      </c>
      <c r="S539" s="28">
        <v>0.9</v>
      </c>
      <c r="T539" s="26">
        <v>1</v>
      </c>
      <c r="U539" s="26">
        <v>0</v>
      </c>
      <c r="V539" s="26">
        <v>1</v>
      </c>
      <c r="W539" s="26">
        <v>0.5</v>
      </c>
      <c r="X539" s="28">
        <v>0.92</v>
      </c>
      <c r="Y539" s="28">
        <v>0</v>
      </c>
      <c r="Z539" s="28">
        <v>0</v>
      </c>
      <c r="AA539" s="28">
        <v>0</v>
      </c>
      <c r="AB539" s="28">
        <v>0</v>
      </c>
      <c r="AC539" s="28">
        <v>0.92</v>
      </c>
      <c r="AD539" s="26">
        <v>1</v>
      </c>
      <c r="AE539" s="26">
        <v>0.99375000000000002</v>
      </c>
      <c r="AF539" s="26">
        <v>0.99656946826758197</v>
      </c>
      <c r="AG539" s="26">
        <v>0.99240265906932601</v>
      </c>
      <c r="AH539" s="28">
        <v>0.92</v>
      </c>
      <c r="AI539" s="26">
        <v>0.97134440278521705</v>
      </c>
      <c r="AJ539" s="26">
        <v>0.97694394213381597</v>
      </c>
      <c r="AK539" s="26">
        <v>0.977404777275662</v>
      </c>
      <c r="AL539" s="26">
        <v>0.97897011542718604</v>
      </c>
      <c r="AM539" s="25">
        <v>0.99</v>
      </c>
      <c r="AN539" s="30">
        <v>1</v>
      </c>
      <c r="AO539" s="30">
        <v>1</v>
      </c>
      <c r="AP539" s="30">
        <v>1</v>
      </c>
      <c r="AQ539" s="30">
        <v>1</v>
      </c>
      <c r="AR539" s="50">
        <v>0.05</v>
      </c>
      <c r="AS539" s="34">
        <v>0</v>
      </c>
      <c r="AT539" s="34">
        <v>0</v>
      </c>
      <c r="AU539" s="34">
        <v>0.16666666666666699</v>
      </c>
      <c r="AV539" s="34">
        <v>4.5454545454545497E-2</v>
      </c>
      <c r="AW539" s="10"/>
      <c r="AX539" s="8"/>
    </row>
    <row r="540" spans="1:50">
      <c r="A540" s="7"/>
      <c r="B540" s="10"/>
      <c r="C540" s="45" t="s">
        <v>396</v>
      </c>
      <c r="D540" s="23" t="s">
        <v>19</v>
      </c>
      <c r="E540" s="46" t="s">
        <v>586</v>
      </c>
      <c r="F540" s="46" t="s">
        <v>586</v>
      </c>
      <c r="G540" s="46" t="s">
        <v>586</v>
      </c>
      <c r="H540" s="46" t="s">
        <v>586</v>
      </c>
      <c r="I540" s="25">
        <v>0.9</v>
      </c>
      <c r="J540" s="26">
        <v>0.93333333333333302</v>
      </c>
      <c r="K540" s="26">
        <v>0.949367088607595</v>
      </c>
      <c r="L540" s="27">
        <v>0.85</v>
      </c>
      <c r="M540" s="26">
        <v>0.90291262135922301</v>
      </c>
      <c r="N540" s="28">
        <v>0.9</v>
      </c>
      <c r="O540" s="26">
        <v>0</v>
      </c>
      <c r="P540" s="26">
        <v>0</v>
      </c>
      <c r="Q540" s="26">
        <v>0</v>
      </c>
      <c r="R540" s="26">
        <v>0.18181818181818199</v>
      </c>
      <c r="S540" s="28">
        <v>0.9</v>
      </c>
      <c r="T540" s="26">
        <v>0</v>
      </c>
      <c r="U540" s="26">
        <v>0</v>
      </c>
      <c r="V540" s="26">
        <v>0</v>
      </c>
      <c r="W540" s="26">
        <v>9.0909090909090898E-2</v>
      </c>
      <c r="X540" s="28">
        <v>0.92</v>
      </c>
      <c r="Y540" s="28">
        <v>0</v>
      </c>
      <c r="Z540" s="28">
        <v>0</v>
      </c>
      <c r="AA540" s="28">
        <v>0</v>
      </c>
      <c r="AB540" s="28">
        <v>0</v>
      </c>
      <c r="AC540" s="28">
        <v>0.92</v>
      </c>
      <c r="AD540" s="26">
        <v>0.97701149425287404</v>
      </c>
      <c r="AE540" s="26">
        <v>0.952380952380952</v>
      </c>
      <c r="AF540" s="26">
        <v>0.99086757990867602</v>
      </c>
      <c r="AG540" s="26">
        <v>0.97005208333333304</v>
      </c>
      <c r="AH540" s="28">
        <v>0.92</v>
      </c>
      <c r="AI540" s="26">
        <v>0.97058057797448605</v>
      </c>
      <c r="AJ540" s="26">
        <v>0.97643822509269196</v>
      </c>
      <c r="AK540" s="26">
        <v>0.97417074497009204</v>
      </c>
      <c r="AL540" s="26">
        <v>0.97811871867287503</v>
      </c>
      <c r="AM540" s="25">
        <v>0.99</v>
      </c>
      <c r="AN540" s="30">
        <v>1</v>
      </c>
      <c r="AO540" s="30">
        <v>1</v>
      </c>
      <c r="AP540" s="30">
        <v>1</v>
      </c>
      <c r="AQ540" s="30">
        <v>1</v>
      </c>
      <c r="AR540" s="50">
        <v>0.05</v>
      </c>
      <c r="AS540" s="34">
        <v>0</v>
      </c>
      <c r="AT540" s="34">
        <v>-5.2631578947368397E-2</v>
      </c>
      <c r="AU540" s="34">
        <v>0</v>
      </c>
      <c r="AV540" s="34">
        <v>1.02040816326531E-2</v>
      </c>
      <c r="AW540" s="10"/>
      <c r="AX540" s="8"/>
    </row>
    <row r="541" spans="1:50">
      <c r="A541" s="7"/>
      <c r="B541" s="10"/>
      <c r="C541" s="45" t="s">
        <v>396</v>
      </c>
      <c r="D541" s="23" t="s">
        <v>19</v>
      </c>
      <c r="E541" s="46" t="s">
        <v>587</v>
      </c>
      <c r="F541" s="46" t="s">
        <v>587</v>
      </c>
      <c r="G541" s="46" t="s">
        <v>587</v>
      </c>
      <c r="H541" s="46" t="s">
        <v>587</v>
      </c>
      <c r="I541" s="25">
        <v>0.9</v>
      </c>
      <c r="J541" s="26">
        <v>0.97499999999999998</v>
      </c>
      <c r="K541" s="26">
        <v>0.952380952380952</v>
      </c>
      <c r="L541" s="27">
        <v>0.93548387096774199</v>
      </c>
      <c r="M541" s="26">
        <v>0.972350230414747</v>
      </c>
      <c r="N541" s="28">
        <v>0.9</v>
      </c>
      <c r="O541" s="26">
        <v>0</v>
      </c>
      <c r="P541" s="26">
        <v>0</v>
      </c>
      <c r="Q541" s="26">
        <v>0</v>
      </c>
      <c r="R541" s="26">
        <v>0</v>
      </c>
      <c r="S541" s="28">
        <v>0.9</v>
      </c>
      <c r="T541" s="26">
        <v>0</v>
      </c>
      <c r="U541" s="26">
        <v>0.5</v>
      </c>
      <c r="V541" s="26">
        <v>0.5</v>
      </c>
      <c r="W541" s="26">
        <v>0.4</v>
      </c>
      <c r="X541" s="28">
        <v>0.92</v>
      </c>
      <c r="Y541" s="28">
        <v>0</v>
      </c>
      <c r="Z541" s="28">
        <v>0</v>
      </c>
      <c r="AA541" s="28">
        <v>0</v>
      </c>
      <c r="AB541" s="28">
        <v>0</v>
      </c>
      <c r="AC541" s="28">
        <v>0.92</v>
      </c>
      <c r="AD541" s="26">
        <v>0.99409780775716705</v>
      </c>
      <c r="AE541" s="26">
        <v>0.99683830171635002</v>
      </c>
      <c r="AF541" s="26">
        <v>0.99769053117782902</v>
      </c>
      <c r="AG541" s="26">
        <v>0.99730205278592399</v>
      </c>
      <c r="AH541" s="28">
        <v>0.92</v>
      </c>
      <c r="AI541" s="26">
        <v>0.98484162895927596</v>
      </c>
      <c r="AJ541" s="26">
        <v>0.98649635036496397</v>
      </c>
      <c r="AK541" s="26">
        <v>0.98255179934569203</v>
      </c>
      <c r="AL541" s="26">
        <v>0.98441524987119999</v>
      </c>
      <c r="AM541" s="25">
        <v>0.99</v>
      </c>
      <c r="AN541" s="30">
        <v>1</v>
      </c>
      <c r="AO541" s="30">
        <v>1</v>
      </c>
      <c r="AP541" s="30">
        <v>1</v>
      </c>
      <c r="AQ541" s="30">
        <v>1</v>
      </c>
      <c r="AR541" s="50">
        <v>0.05</v>
      </c>
      <c r="AS541" s="34">
        <v>0</v>
      </c>
      <c r="AT541" s="34">
        <v>0.22222222222222199</v>
      </c>
      <c r="AU541" s="34">
        <v>0</v>
      </c>
      <c r="AV541" s="34">
        <v>6.3492063492063502E-2</v>
      </c>
      <c r="AW541" s="10"/>
      <c r="AX541" s="8"/>
    </row>
    <row r="542" spans="1:50">
      <c r="A542" s="7"/>
      <c r="B542" s="10"/>
      <c r="C542" s="45" t="s">
        <v>396</v>
      </c>
      <c r="D542" s="23" t="s">
        <v>19</v>
      </c>
      <c r="E542" s="46" t="s">
        <v>588</v>
      </c>
      <c r="F542" s="46" t="s">
        <v>588</v>
      </c>
      <c r="G542" s="46" t="s">
        <v>588</v>
      </c>
      <c r="H542" s="46" t="s">
        <v>588</v>
      </c>
      <c r="I542" s="25">
        <v>0.9</v>
      </c>
      <c r="J542" s="26">
        <v>0.92105263157894701</v>
      </c>
      <c r="K542" s="26">
        <v>1</v>
      </c>
      <c r="L542" s="27">
        <v>0.93333333333333302</v>
      </c>
      <c r="M542" s="26">
        <v>0.93364928909952605</v>
      </c>
      <c r="N542" s="28">
        <v>0.9</v>
      </c>
      <c r="O542" s="26">
        <v>0</v>
      </c>
      <c r="P542" s="26">
        <v>0</v>
      </c>
      <c r="Q542" s="26">
        <v>0</v>
      </c>
      <c r="R542" s="26">
        <v>0</v>
      </c>
      <c r="S542" s="28">
        <v>0.9</v>
      </c>
      <c r="T542" s="26">
        <v>0</v>
      </c>
      <c r="U542" s="26">
        <v>0</v>
      </c>
      <c r="V542" s="26">
        <v>0</v>
      </c>
      <c r="W542" s="26">
        <v>0</v>
      </c>
      <c r="X542" s="28">
        <v>0.92</v>
      </c>
      <c r="Y542" s="28">
        <v>0</v>
      </c>
      <c r="Z542" s="28">
        <v>0</v>
      </c>
      <c r="AA542" s="28">
        <v>0</v>
      </c>
      <c r="AB542" s="28">
        <v>0</v>
      </c>
      <c r="AC542" s="28">
        <v>0.92</v>
      </c>
      <c r="AD542" s="26">
        <v>0.99729729729729699</v>
      </c>
      <c r="AE542" s="26">
        <v>0.99259259259259303</v>
      </c>
      <c r="AF542" s="26">
        <v>0.99821322215604502</v>
      </c>
      <c r="AG542" s="26">
        <v>0.99620877037785904</v>
      </c>
      <c r="AH542" s="28">
        <v>0.92</v>
      </c>
      <c r="AI542" s="26">
        <v>0.970850840336134</v>
      </c>
      <c r="AJ542" s="26">
        <v>0.97249632584505596</v>
      </c>
      <c r="AK542" s="26">
        <v>0.94491250810110206</v>
      </c>
      <c r="AL542" s="26">
        <v>0.97023233301064904</v>
      </c>
      <c r="AM542" s="25">
        <v>0.99</v>
      </c>
      <c r="AN542" s="30">
        <v>1</v>
      </c>
      <c r="AO542" s="30">
        <v>1</v>
      </c>
      <c r="AP542" s="30">
        <v>1</v>
      </c>
      <c r="AQ542" s="30">
        <v>1</v>
      </c>
      <c r="AR542" s="50">
        <v>0.05</v>
      </c>
      <c r="AS542" s="34">
        <v>8.3333333333333301E-2</v>
      </c>
      <c r="AT542" s="34">
        <v>0</v>
      </c>
      <c r="AU542" s="34">
        <v>0</v>
      </c>
      <c r="AV542" s="34">
        <v>4.4117647058823498E-2</v>
      </c>
      <c r="AW542" s="10"/>
      <c r="AX542" s="8"/>
    </row>
    <row r="543" spans="1:50">
      <c r="A543" s="7"/>
      <c r="B543" s="10"/>
      <c r="C543" s="45" t="s">
        <v>396</v>
      </c>
      <c r="D543" s="23" t="s">
        <v>19</v>
      </c>
      <c r="E543" s="46" t="s">
        <v>589</v>
      </c>
      <c r="F543" s="46" t="s">
        <v>589</v>
      </c>
      <c r="G543" s="46" t="s">
        <v>589</v>
      </c>
      <c r="H543" s="46" t="s">
        <v>589</v>
      </c>
      <c r="I543" s="25">
        <v>0.9</v>
      </c>
      <c r="J543" s="26">
        <v>0.90196078431372595</v>
      </c>
      <c r="K543" s="26">
        <v>0.94339622641509402</v>
      </c>
      <c r="L543" s="27">
        <v>0.90909090909090895</v>
      </c>
      <c r="M543" s="26">
        <v>0.91475409836065602</v>
      </c>
      <c r="N543" s="28">
        <v>0.9</v>
      </c>
      <c r="O543" s="26">
        <v>0</v>
      </c>
      <c r="P543" s="26">
        <v>0</v>
      </c>
      <c r="Q543" s="26">
        <v>0</v>
      </c>
      <c r="R543" s="26">
        <v>0.5</v>
      </c>
      <c r="S543" s="28">
        <v>0.9</v>
      </c>
      <c r="T543" s="26">
        <v>0</v>
      </c>
      <c r="U543" s="26">
        <v>0</v>
      </c>
      <c r="V543" s="26">
        <v>0</v>
      </c>
      <c r="W543" s="26">
        <v>0.5</v>
      </c>
      <c r="X543" s="28">
        <v>0.92</v>
      </c>
      <c r="Y543" s="28">
        <v>0</v>
      </c>
      <c r="Z543" s="28">
        <v>0</v>
      </c>
      <c r="AA543" s="28">
        <v>0</v>
      </c>
      <c r="AB543" s="28">
        <v>0</v>
      </c>
      <c r="AC543" s="28">
        <v>0.92</v>
      </c>
      <c r="AD543" s="26">
        <v>0.98550724637681197</v>
      </c>
      <c r="AE543" s="26">
        <v>0.95495495495495497</v>
      </c>
      <c r="AF543" s="26">
        <v>0.99242424242424199</v>
      </c>
      <c r="AG543" s="26">
        <v>0.97746144721233696</v>
      </c>
      <c r="AH543" s="28">
        <v>0.92</v>
      </c>
      <c r="AI543" s="26">
        <v>0.962593984962406</v>
      </c>
      <c r="AJ543" s="26">
        <v>0.965661901802362</v>
      </c>
      <c r="AK543" s="26">
        <v>0.92633663366336605</v>
      </c>
      <c r="AL543" s="26">
        <v>0.96348028005488495</v>
      </c>
      <c r="AM543" s="25">
        <v>0.99</v>
      </c>
      <c r="AN543" s="30">
        <v>1</v>
      </c>
      <c r="AO543" s="30">
        <v>1</v>
      </c>
      <c r="AP543" s="30">
        <v>1</v>
      </c>
      <c r="AQ543" s="30">
        <v>1</v>
      </c>
      <c r="AR543" s="50">
        <v>0.05</v>
      </c>
      <c r="AS543" s="34">
        <v>0.5</v>
      </c>
      <c r="AT543" s="34">
        <v>0</v>
      </c>
      <c r="AU543" s="34">
        <v>0</v>
      </c>
      <c r="AV543" s="34">
        <v>5.4545454545454501E-2</v>
      </c>
      <c r="AW543" s="10"/>
      <c r="AX543" s="8"/>
    </row>
    <row r="544" spans="1:50">
      <c r="A544" s="7"/>
      <c r="B544" s="10"/>
      <c r="C544" s="45" t="s">
        <v>396</v>
      </c>
      <c r="D544" s="23" t="s">
        <v>19</v>
      </c>
      <c r="E544" s="46" t="s">
        <v>590</v>
      </c>
      <c r="F544" s="46" t="s">
        <v>590</v>
      </c>
      <c r="G544" s="46" t="s">
        <v>590</v>
      </c>
      <c r="H544" s="46" t="s">
        <v>590</v>
      </c>
      <c r="I544" s="25">
        <v>0.9</v>
      </c>
      <c r="J544" s="26">
        <v>0.86206896551724099</v>
      </c>
      <c r="K544" s="26">
        <v>0.93548387096774199</v>
      </c>
      <c r="L544" s="27">
        <v>0.89655172413793105</v>
      </c>
      <c r="M544" s="26">
        <v>0.93567251461988299</v>
      </c>
      <c r="N544" s="28">
        <v>0.9</v>
      </c>
      <c r="O544" s="26">
        <v>0</v>
      </c>
      <c r="P544" s="26">
        <v>0</v>
      </c>
      <c r="Q544" s="26">
        <v>0</v>
      </c>
      <c r="R544" s="26">
        <v>0</v>
      </c>
      <c r="S544" s="28">
        <v>0.9</v>
      </c>
      <c r="T544" s="26">
        <v>0</v>
      </c>
      <c r="U544" s="26">
        <v>0</v>
      </c>
      <c r="V544" s="26">
        <v>0</v>
      </c>
      <c r="W544" s="26">
        <v>0</v>
      </c>
      <c r="X544" s="28">
        <v>0.92</v>
      </c>
      <c r="Y544" s="28">
        <v>0</v>
      </c>
      <c r="Z544" s="28">
        <v>0</v>
      </c>
      <c r="AA544" s="28">
        <v>0</v>
      </c>
      <c r="AB544" s="28">
        <v>0</v>
      </c>
      <c r="AC544" s="28">
        <v>0.92</v>
      </c>
      <c r="AD544" s="26">
        <v>0.99470899470899499</v>
      </c>
      <c r="AE544" s="26">
        <v>0.98165137614678899</v>
      </c>
      <c r="AF544" s="26">
        <v>0.99497487437185905</v>
      </c>
      <c r="AG544" s="26">
        <v>0.99383802816901401</v>
      </c>
      <c r="AH544" s="28">
        <v>0.92</v>
      </c>
      <c r="AI544" s="26">
        <v>0.96624731512733997</v>
      </c>
      <c r="AJ544" s="26">
        <v>0.98561917443408797</v>
      </c>
      <c r="AK544" s="26">
        <v>0.98871877518130502</v>
      </c>
      <c r="AL544" s="26">
        <v>0.98100647367778204</v>
      </c>
      <c r="AM544" s="25">
        <v>0.99</v>
      </c>
      <c r="AN544" s="30">
        <v>1</v>
      </c>
      <c r="AO544" s="30">
        <v>1</v>
      </c>
      <c r="AP544" s="30">
        <v>1</v>
      </c>
      <c r="AQ544" s="30">
        <v>1</v>
      </c>
      <c r="AR544" s="50">
        <v>0.05</v>
      </c>
      <c r="AS544" s="34">
        <v>0</v>
      </c>
      <c r="AT544" s="34">
        <v>0</v>
      </c>
      <c r="AU544" s="34">
        <v>0</v>
      </c>
      <c r="AV544" s="34">
        <v>0</v>
      </c>
      <c r="AW544" s="10"/>
      <c r="AX544" s="8"/>
    </row>
    <row r="545" spans="1:50">
      <c r="A545" s="7"/>
      <c r="B545" s="10"/>
      <c r="C545" s="45" t="s">
        <v>396</v>
      </c>
      <c r="D545" s="23" t="s">
        <v>19</v>
      </c>
      <c r="E545" s="46" t="s">
        <v>591</v>
      </c>
      <c r="F545" s="46" t="s">
        <v>591</v>
      </c>
      <c r="G545" s="46" t="s">
        <v>591</v>
      </c>
      <c r="H545" s="46" t="s">
        <v>591</v>
      </c>
      <c r="I545" s="25">
        <v>0.9</v>
      </c>
      <c r="J545" s="26">
        <v>0.91228070175438603</v>
      </c>
      <c r="K545" s="26">
        <v>0.828125</v>
      </c>
      <c r="L545" s="27">
        <v>0.80392156862745101</v>
      </c>
      <c r="M545" s="26">
        <v>0.87724550898203602</v>
      </c>
      <c r="N545" s="28">
        <v>0.9</v>
      </c>
      <c r="O545" s="26">
        <v>0.57142857142857095</v>
      </c>
      <c r="P545" s="26">
        <v>0.4</v>
      </c>
      <c r="Q545" s="26">
        <v>0</v>
      </c>
      <c r="R545" s="26">
        <v>0.5625</v>
      </c>
      <c r="S545" s="28">
        <v>0.9</v>
      </c>
      <c r="T545" s="26">
        <v>0.14285714285714299</v>
      </c>
      <c r="U545" s="26">
        <v>0</v>
      </c>
      <c r="V545" s="26">
        <v>1</v>
      </c>
      <c r="W545" s="26">
        <v>0.3125</v>
      </c>
      <c r="X545" s="28">
        <v>0.92</v>
      </c>
      <c r="Y545" s="28">
        <v>0</v>
      </c>
      <c r="Z545" s="28">
        <v>0</v>
      </c>
      <c r="AA545" s="28">
        <v>0</v>
      </c>
      <c r="AB545" s="28">
        <v>0</v>
      </c>
      <c r="AC545" s="28">
        <v>0.92</v>
      </c>
      <c r="AD545" s="26">
        <v>0.95438346400570195</v>
      </c>
      <c r="AE545" s="26">
        <v>0.99142244460328799</v>
      </c>
      <c r="AF545" s="26">
        <v>0.99748427672955997</v>
      </c>
      <c r="AG545" s="26">
        <v>0.98664825046040505</v>
      </c>
      <c r="AH545" s="28">
        <v>0.92</v>
      </c>
      <c r="AI545" s="26">
        <v>0.90680614047004504</v>
      </c>
      <c r="AJ545" s="26">
        <v>0.91296051665932798</v>
      </c>
      <c r="AK545" s="26">
        <v>0.92702980472764596</v>
      </c>
      <c r="AL545" s="26">
        <v>0.92949928146749705</v>
      </c>
      <c r="AM545" s="25">
        <v>0.99</v>
      </c>
      <c r="AN545" s="30">
        <v>1</v>
      </c>
      <c r="AO545" s="30">
        <v>1</v>
      </c>
      <c r="AP545" s="30">
        <v>1</v>
      </c>
      <c r="AQ545" s="30">
        <v>1</v>
      </c>
      <c r="AR545" s="50">
        <v>0.05</v>
      </c>
      <c r="AS545" s="34">
        <v>3.7037037037037E-2</v>
      </c>
      <c r="AT545" s="34">
        <v>2.9411764705882401E-2</v>
      </c>
      <c r="AU545" s="34">
        <v>6.6666666666666693E-2</v>
      </c>
      <c r="AV545" s="34">
        <v>4.8611111111111098E-2</v>
      </c>
      <c r="AW545" s="10"/>
      <c r="AX545" s="8"/>
    </row>
    <row r="546" spans="1:50">
      <c r="A546" s="7"/>
      <c r="B546" s="10"/>
      <c r="C546" s="45" t="s">
        <v>396</v>
      </c>
      <c r="D546" s="23" t="s">
        <v>19</v>
      </c>
      <c r="E546" s="46" t="s">
        <v>592</v>
      </c>
      <c r="F546" s="46" t="s">
        <v>592</v>
      </c>
      <c r="G546" s="46" t="s">
        <v>592</v>
      </c>
      <c r="H546" s="46" t="s">
        <v>592</v>
      </c>
      <c r="I546" s="25">
        <v>0.9</v>
      </c>
      <c r="J546" s="26">
        <v>0.96</v>
      </c>
      <c r="K546" s="26">
        <v>0.92</v>
      </c>
      <c r="L546" s="27">
        <v>0.90476190476190499</v>
      </c>
      <c r="M546" s="26">
        <v>0.9375</v>
      </c>
      <c r="N546" s="28">
        <v>0.9</v>
      </c>
      <c r="O546" s="26">
        <v>0</v>
      </c>
      <c r="P546" s="26">
        <v>0</v>
      </c>
      <c r="Q546" s="26">
        <v>0</v>
      </c>
      <c r="R546" s="26">
        <v>0</v>
      </c>
      <c r="S546" s="28">
        <v>0.9</v>
      </c>
      <c r="T546" s="26">
        <v>0</v>
      </c>
      <c r="U546" s="26">
        <v>0</v>
      </c>
      <c r="V546" s="26">
        <v>0</v>
      </c>
      <c r="W546" s="26">
        <v>0</v>
      </c>
      <c r="X546" s="28">
        <v>0.92</v>
      </c>
      <c r="Y546" s="28">
        <v>0</v>
      </c>
      <c r="Z546" s="28">
        <v>0</v>
      </c>
      <c r="AA546" s="28">
        <v>0</v>
      </c>
      <c r="AB546" s="28">
        <v>0</v>
      </c>
      <c r="AC546" s="28">
        <v>0.92</v>
      </c>
      <c r="AD546" s="26">
        <v>0.92268041237113396</v>
      </c>
      <c r="AE546" s="26">
        <v>0.97972972972973005</v>
      </c>
      <c r="AF546" s="26">
        <v>0.967741935483871</v>
      </c>
      <c r="AG546" s="26">
        <v>0.96024844720496905</v>
      </c>
      <c r="AH546" s="28">
        <v>0.92</v>
      </c>
      <c r="AI546" s="26">
        <v>0.95899431307991601</v>
      </c>
      <c r="AJ546" s="26">
        <v>0.97470618293306099</v>
      </c>
      <c r="AK546" s="26">
        <v>0.95318805488296998</v>
      </c>
      <c r="AL546" s="26">
        <v>0.96838414452962496</v>
      </c>
      <c r="AM546" s="25">
        <v>0.99</v>
      </c>
      <c r="AN546" s="30">
        <v>1</v>
      </c>
      <c r="AO546" s="30">
        <v>1</v>
      </c>
      <c r="AP546" s="30">
        <v>1</v>
      </c>
      <c r="AQ546" s="30">
        <v>1</v>
      </c>
      <c r="AR546" s="50">
        <v>0.05</v>
      </c>
      <c r="AS546" s="34">
        <v>0.2</v>
      </c>
      <c r="AT546" s="34">
        <v>0</v>
      </c>
      <c r="AU546" s="34">
        <v>0</v>
      </c>
      <c r="AV546" s="34">
        <v>7.4074074074074098E-2</v>
      </c>
      <c r="AW546" s="10"/>
      <c r="AX546" s="8"/>
    </row>
    <row r="547" spans="1:50">
      <c r="A547" s="7"/>
      <c r="B547" s="10"/>
      <c r="C547" s="45" t="s">
        <v>396</v>
      </c>
      <c r="D547" s="23" t="s">
        <v>19</v>
      </c>
      <c r="E547" s="46" t="s">
        <v>593</v>
      </c>
      <c r="F547" s="46" t="s">
        <v>593</v>
      </c>
      <c r="G547" s="46" t="s">
        <v>593</v>
      </c>
      <c r="H547" s="46" t="s">
        <v>593</v>
      </c>
      <c r="I547" s="25">
        <v>0.9</v>
      </c>
      <c r="J547" s="26">
        <v>0.90909090909090895</v>
      </c>
      <c r="K547" s="26">
        <v>0.93023255813953498</v>
      </c>
      <c r="L547" s="27">
        <v>0.83870967741935498</v>
      </c>
      <c r="M547" s="26">
        <v>0.89878542510121495</v>
      </c>
      <c r="N547" s="28">
        <v>0.9</v>
      </c>
      <c r="O547" s="26">
        <v>0.77272727272727304</v>
      </c>
      <c r="P547" s="26">
        <v>0.5</v>
      </c>
      <c r="Q547" s="26">
        <v>0.33333333333333298</v>
      </c>
      <c r="R547" s="26">
        <v>0.66666666666666696</v>
      </c>
      <c r="S547" s="28">
        <v>0.9</v>
      </c>
      <c r="T547" s="26">
        <v>9.0909090909090898E-2</v>
      </c>
      <c r="U547" s="26">
        <v>0</v>
      </c>
      <c r="V547" s="26">
        <v>0.33333333333333298</v>
      </c>
      <c r="W547" s="26">
        <v>0.1</v>
      </c>
      <c r="X547" s="28">
        <v>0.92</v>
      </c>
      <c r="Y547" s="28">
        <v>0</v>
      </c>
      <c r="Z547" s="28">
        <v>0</v>
      </c>
      <c r="AA547" s="28">
        <v>0</v>
      </c>
      <c r="AB547" s="28">
        <v>0</v>
      </c>
      <c r="AC547" s="28">
        <v>0.92</v>
      </c>
      <c r="AD547" s="26">
        <v>0.99264705882352899</v>
      </c>
      <c r="AE547" s="26">
        <v>0.98113207547169801</v>
      </c>
      <c r="AF547" s="26">
        <v>0.99644128113879005</v>
      </c>
      <c r="AG547" s="26">
        <v>0.98956884561891501</v>
      </c>
      <c r="AH547" s="28">
        <v>0.92</v>
      </c>
      <c r="AI547" s="26">
        <v>0.93610421836228297</v>
      </c>
      <c r="AJ547" s="26">
        <v>0.96472760849492201</v>
      </c>
      <c r="AK547" s="26">
        <v>0.96436626071267495</v>
      </c>
      <c r="AL547" s="26">
        <v>0.96335877862595398</v>
      </c>
      <c r="AM547" s="25">
        <v>0.99</v>
      </c>
      <c r="AN547" s="30">
        <v>1</v>
      </c>
      <c r="AO547" s="30">
        <v>1</v>
      </c>
      <c r="AP547" s="30">
        <v>1</v>
      </c>
      <c r="AQ547" s="30">
        <v>1</v>
      </c>
      <c r="AR547" s="50">
        <v>0.05</v>
      </c>
      <c r="AS547" s="34">
        <v>0</v>
      </c>
      <c r="AT547" s="34">
        <v>0</v>
      </c>
      <c r="AU547" s="34">
        <v>0.125</v>
      </c>
      <c r="AV547" s="34">
        <v>4.4117647058823498E-2</v>
      </c>
      <c r="AW547" s="10"/>
      <c r="AX547" s="8"/>
    </row>
    <row r="548" spans="1:50">
      <c r="A548" s="7"/>
      <c r="B548" s="10"/>
      <c r="C548" s="45" t="s">
        <v>396</v>
      </c>
      <c r="D548" s="23" t="s">
        <v>19</v>
      </c>
      <c r="E548" s="46" t="s">
        <v>594</v>
      </c>
      <c r="F548" s="46" t="s">
        <v>594</v>
      </c>
      <c r="G548" s="46" t="s">
        <v>594</v>
      </c>
      <c r="H548" s="46" t="s">
        <v>594</v>
      </c>
      <c r="I548" s="25">
        <v>0.9</v>
      </c>
      <c r="J548" s="26">
        <v>0.91525423728813604</v>
      </c>
      <c r="K548" s="26">
        <v>0.875</v>
      </c>
      <c r="L548" s="27">
        <v>0.85714285714285698</v>
      </c>
      <c r="M548" s="26">
        <v>0.88787878787878804</v>
      </c>
      <c r="N548" s="28">
        <v>0.9</v>
      </c>
      <c r="O548" s="26">
        <v>1</v>
      </c>
      <c r="P548" s="26">
        <v>0</v>
      </c>
      <c r="Q548" s="26">
        <v>0</v>
      </c>
      <c r="R548" s="26">
        <v>0.33333333333333298</v>
      </c>
      <c r="S548" s="28">
        <v>0.9</v>
      </c>
      <c r="T548" s="26">
        <v>1</v>
      </c>
      <c r="U548" s="26">
        <v>0</v>
      </c>
      <c r="V548" s="26">
        <v>0</v>
      </c>
      <c r="W548" s="26">
        <v>0.33333333333333298</v>
      </c>
      <c r="X548" s="28">
        <v>0.92</v>
      </c>
      <c r="Y548" s="28">
        <v>0</v>
      </c>
      <c r="Z548" s="28">
        <v>0</v>
      </c>
      <c r="AA548" s="28">
        <v>0</v>
      </c>
      <c r="AB548" s="28">
        <v>0.25</v>
      </c>
      <c r="AC548" s="28">
        <v>0.92</v>
      </c>
      <c r="AD548" s="26">
        <v>0.99494949494949503</v>
      </c>
      <c r="AE548" s="26">
        <v>0.98083067092651799</v>
      </c>
      <c r="AF548" s="26">
        <v>1</v>
      </c>
      <c r="AG548" s="26">
        <v>0.98829039812646402</v>
      </c>
      <c r="AH548" s="28">
        <v>0.92</v>
      </c>
      <c r="AI548" s="26">
        <v>0.98315516682863602</v>
      </c>
      <c r="AJ548" s="26">
        <v>0.97689328168825995</v>
      </c>
      <c r="AK548" s="26">
        <v>0.97594374537379702</v>
      </c>
      <c r="AL548" s="26">
        <v>0.96583450898607603</v>
      </c>
      <c r="AM548" s="25">
        <v>0.99</v>
      </c>
      <c r="AN548" s="30">
        <v>1</v>
      </c>
      <c r="AO548" s="30">
        <v>1</v>
      </c>
      <c r="AP548" s="30">
        <v>1</v>
      </c>
      <c r="AQ548" s="30">
        <v>1</v>
      </c>
      <c r="AR548" s="50">
        <v>0.05</v>
      </c>
      <c r="AS548" s="34">
        <v>0</v>
      </c>
      <c r="AT548" s="34">
        <v>0</v>
      </c>
      <c r="AU548" s="34">
        <v>0</v>
      </c>
      <c r="AV548" s="34">
        <v>4.0540540540540501E-2</v>
      </c>
      <c r="AW548" s="10"/>
      <c r="AX548" s="8"/>
    </row>
    <row r="549" spans="1:50">
      <c r="A549" s="7"/>
      <c r="B549" s="10"/>
      <c r="C549" s="45" t="s">
        <v>396</v>
      </c>
      <c r="D549" s="23" t="s">
        <v>19</v>
      </c>
      <c r="E549" s="46" t="s">
        <v>595</v>
      </c>
      <c r="F549" s="46" t="s">
        <v>595</v>
      </c>
      <c r="G549" s="46" t="s">
        <v>595</v>
      </c>
      <c r="H549" s="46" t="s">
        <v>595</v>
      </c>
      <c r="I549" s="25">
        <v>0.9</v>
      </c>
      <c r="J549" s="26">
        <v>0.98305084745762705</v>
      </c>
      <c r="K549" s="26">
        <v>0.98333333333333295</v>
      </c>
      <c r="L549" s="27">
        <v>0.96363636363636396</v>
      </c>
      <c r="M549" s="26">
        <v>0.94444444444444398</v>
      </c>
      <c r="N549" s="28">
        <v>0.9</v>
      </c>
      <c r="O549" s="26">
        <v>0.97889460493338598</v>
      </c>
      <c r="P549" s="26">
        <v>0.98142302088392397</v>
      </c>
      <c r="Q549" s="26">
        <v>0.97362037598544604</v>
      </c>
      <c r="R549" s="26">
        <v>0.97870819099070505</v>
      </c>
      <c r="S549" s="28">
        <v>0.9</v>
      </c>
      <c r="T549" s="26">
        <v>0.92520775623268703</v>
      </c>
      <c r="U549" s="26">
        <v>0.88440990772219497</v>
      </c>
      <c r="V549" s="26">
        <v>0.94026682838083697</v>
      </c>
      <c r="W549" s="26">
        <v>0.92412806864224994</v>
      </c>
      <c r="X549" s="28">
        <v>0.92</v>
      </c>
      <c r="Y549" s="28">
        <v>0</v>
      </c>
      <c r="Z549" s="28">
        <v>0</v>
      </c>
      <c r="AA549" s="28">
        <v>0</v>
      </c>
      <c r="AB549" s="28">
        <v>0</v>
      </c>
      <c r="AC549" s="28">
        <v>0.92</v>
      </c>
      <c r="AD549" s="26">
        <v>0.99641577060931896</v>
      </c>
      <c r="AE549" s="26">
        <v>0.99807938540332897</v>
      </c>
      <c r="AF549" s="26">
        <v>0.97484407484407498</v>
      </c>
      <c r="AG549" s="26">
        <v>0.99259091252740606</v>
      </c>
      <c r="AH549" s="28">
        <v>0.92</v>
      </c>
      <c r="AI549" s="26">
        <v>0.96966499604325995</v>
      </c>
      <c r="AJ549" s="26">
        <v>0.97864855028509001</v>
      </c>
      <c r="AK549" s="26">
        <v>0.96517262265293802</v>
      </c>
      <c r="AL549" s="26">
        <v>0.97096039813638302</v>
      </c>
      <c r="AM549" s="25">
        <v>0.99</v>
      </c>
      <c r="AN549" s="30">
        <v>1</v>
      </c>
      <c r="AO549" s="30">
        <v>1</v>
      </c>
      <c r="AP549" s="30">
        <v>1</v>
      </c>
      <c r="AQ549" s="30">
        <v>1</v>
      </c>
      <c r="AR549" s="50">
        <v>0.05</v>
      </c>
      <c r="AS549" s="34">
        <v>0</v>
      </c>
      <c r="AT549" s="34">
        <v>0</v>
      </c>
      <c r="AU549" s="34">
        <v>0</v>
      </c>
      <c r="AV549" s="34">
        <v>5.4878048780487798E-2</v>
      </c>
      <c r="AW549" s="10"/>
      <c r="AX549" s="8"/>
    </row>
    <row r="550" spans="1:50">
      <c r="A550" s="7"/>
      <c r="B550" s="10"/>
      <c r="C550" s="45" t="s">
        <v>396</v>
      </c>
      <c r="D550" s="23" t="s">
        <v>19</v>
      </c>
      <c r="E550" s="46" t="s">
        <v>596</v>
      </c>
      <c r="F550" s="46" t="s">
        <v>596</v>
      </c>
      <c r="G550" s="46" t="s">
        <v>596</v>
      </c>
      <c r="H550" s="46" t="s">
        <v>596</v>
      </c>
      <c r="I550" s="25">
        <v>0.9</v>
      </c>
      <c r="J550" s="26">
        <v>0.98484848484848497</v>
      </c>
      <c r="K550" s="26">
        <v>0.98630136986301398</v>
      </c>
      <c r="L550" s="27">
        <v>0.98</v>
      </c>
      <c r="M550" s="26">
        <v>0.97429305912596398</v>
      </c>
      <c r="N550" s="28">
        <v>0.9</v>
      </c>
      <c r="O550" s="26">
        <v>0.85714285714285698</v>
      </c>
      <c r="P550" s="26">
        <v>1</v>
      </c>
      <c r="Q550" s="26">
        <v>1</v>
      </c>
      <c r="R550" s="26">
        <v>0.94565217391304301</v>
      </c>
      <c r="S550" s="28">
        <v>0.9</v>
      </c>
      <c r="T550" s="26">
        <v>0.85714285714285698</v>
      </c>
      <c r="U550" s="26">
        <v>1</v>
      </c>
      <c r="V550" s="26">
        <v>1</v>
      </c>
      <c r="W550" s="26">
        <v>0.95652173913043503</v>
      </c>
      <c r="X550" s="28">
        <v>0.92</v>
      </c>
      <c r="Y550" s="28">
        <v>0.66666666666666696</v>
      </c>
      <c r="Z550" s="28">
        <v>1</v>
      </c>
      <c r="AA550" s="28">
        <v>0</v>
      </c>
      <c r="AB550" s="28">
        <v>0.81818181818181801</v>
      </c>
      <c r="AC550" s="28">
        <v>0.92</v>
      </c>
      <c r="AD550" s="26">
        <v>0.98792535675082305</v>
      </c>
      <c r="AE550" s="26">
        <v>0.99490662139218999</v>
      </c>
      <c r="AF550" s="26">
        <v>0.99610136452241704</v>
      </c>
      <c r="AG550" s="26">
        <v>0.99015256588072098</v>
      </c>
      <c r="AH550" s="28">
        <v>0.92</v>
      </c>
      <c r="AI550" s="26">
        <v>0.96312862669245602</v>
      </c>
      <c r="AJ550" s="26">
        <v>0.97577672459189002</v>
      </c>
      <c r="AK550" s="26">
        <v>0.94299091159460202</v>
      </c>
      <c r="AL550" s="26">
        <v>0.96345165810369005</v>
      </c>
      <c r="AM550" s="25">
        <v>0.99</v>
      </c>
      <c r="AN550" s="30">
        <v>1</v>
      </c>
      <c r="AO550" s="30">
        <v>1</v>
      </c>
      <c r="AP550" s="30">
        <v>1</v>
      </c>
      <c r="AQ550" s="30">
        <v>1</v>
      </c>
      <c r="AR550" s="50">
        <v>0.05</v>
      </c>
      <c r="AS550" s="34">
        <v>7.9681274900398405E-3</v>
      </c>
      <c r="AT550" s="34">
        <v>0.21052631578947401</v>
      </c>
      <c r="AU550" s="34">
        <v>1.12994350282486E-2</v>
      </c>
      <c r="AV550" s="34">
        <v>6.5637065637065603E-2</v>
      </c>
      <c r="AW550" s="10"/>
      <c r="AX550" s="8"/>
    </row>
    <row r="551" spans="1:50">
      <c r="A551" s="7"/>
      <c r="B551" s="10"/>
      <c r="C551" s="45" t="s">
        <v>396</v>
      </c>
      <c r="D551" s="23" t="s">
        <v>19</v>
      </c>
      <c r="E551" s="46" t="s">
        <v>597</v>
      </c>
      <c r="F551" s="46" t="s">
        <v>597</v>
      </c>
      <c r="G551" s="46" t="s">
        <v>597</v>
      </c>
      <c r="H551" s="46" t="s">
        <v>597</v>
      </c>
      <c r="I551" s="25">
        <v>0.9</v>
      </c>
      <c r="J551" s="26">
        <v>1</v>
      </c>
      <c r="K551" s="26">
        <v>1</v>
      </c>
      <c r="L551" s="27">
        <v>0.97297297297297303</v>
      </c>
      <c r="M551" s="26">
        <v>0.96234309623431002</v>
      </c>
      <c r="N551" s="28">
        <v>0.9</v>
      </c>
      <c r="O551" s="26">
        <v>0.66666666666666696</v>
      </c>
      <c r="P551" s="26">
        <v>1</v>
      </c>
      <c r="Q551" s="26">
        <v>0</v>
      </c>
      <c r="R551" s="26">
        <v>0.625</v>
      </c>
      <c r="S551" s="28">
        <v>0.9</v>
      </c>
      <c r="T551" s="26">
        <v>0.66666666666666696</v>
      </c>
      <c r="U551" s="26">
        <v>1</v>
      </c>
      <c r="V551" s="26">
        <v>0</v>
      </c>
      <c r="W551" s="26">
        <v>0.6875</v>
      </c>
      <c r="X551" s="28">
        <v>0.92</v>
      </c>
      <c r="Y551" s="28">
        <v>0</v>
      </c>
      <c r="Z551" s="28">
        <v>0</v>
      </c>
      <c r="AA551" s="28">
        <v>0</v>
      </c>
      <c r="AB551" s="28">
        <v>0</v>
      </c>
      <c r="AC551" s="28">
        <v>0.92</v>
      </c>
      <c r="AD551" s="26">
        <v>0.996041171813143</v>
      </c>
      <c r="AE551" s="26">
        <v>0.99151743638077305</v>
      </c>
      <c r="AF551" s="26">
        <v>0.99832073887489503</v>
      </c>
      <c r="AG551" s="26">
        <v>0.98984937786509497</v>
      </c>
      <c r="AH551" s="28">
        <v>0.92</v>
      </c>
      <c r="AI551" s="26">
        <v>0.97525309336332999</v>
      </c>
      <c r="AJ551" s="26">
        <v>0.97692488815634604</v>
      </c>
      <c r="AK551" s="26">
        <v>0.97265382224984498</v>
      </c>
      <c r="AL551" s="26">
        <v>0.97246672391584399</v>
      </c>
      <c r="AM551" s="25">
        <v>0.99</v>
      </c>
      <c r="AN551" s="30">
        <v>1</v>
      </c>
      <c r="AO551" s="30">
        <v>1</v>
      </c>
      <c r="AP551" s="30">
        <v>1</v>
      </c>
      <c r="AQ551" s="30">
        <v>1</v>
      </c>
      <c r="AR551" s="50">
        <v>0.05</v>
      </c>
      <c r="AS551" s="34">
        <v>7.69230769230769E-2</v>
      </c>
      <c r="AT551" s="34">
        <v>9.0909090909090898E-2</v>
      </c>
      <c r="AU551" s="34">
        <v>0.14285714285714299</v>
      </c>
      <c r="AV551" s="34">
        <v>7.3529411764705899E-2</v>
      </c>
      <c r="AW551" s="10"/>
      <c r="AX551" s="8"/>
    </row>
    <row r="552" spans="1:50">
      <c r="A552" s="7"/>
      <c r="B552" s="10"/>
      <c r="C552" s="45" t="s">
        <v>396</v>
      </c>
      <c r="D552" s="23" t="s">
        <v>19</v>
      </c>
      <c r="E552" s="46" t="s">
        <v>598</v>
      </c>
      <c r="F552" s="46" t="s">
        <v>598</v>
      </c>
      <c r="G552" s="46" t="s">
        <v>598</v>
      </c>
      <c r="H552" s="46" t="s">
        <v>598</v>
      </c>
      <c r="I552" s="25">
        <v>0.9</v>
      </c>
      <c r="J552" s="26">
        <v>0.92727272727272703</v>
      </c>
      <c r="K552" s="26">
        <v>0.907407407407407</v>
      </c>
      <c r="L552" s="27">
        <v>0.88888888888888895</v>
      </c>
      <c r="M552" s="26">
        <v>0.91830065359477098</v>
      </c>
      <c r="N552" s="28">
        <v>0.9</v>
      </c>
      <c r="O552" s="26">
        <v>0</v>
      </c>
      <c r="P552" s="26">
        <v>1</v>
      </c>
      <c r="Q552" s="26">
        <v>0</v>
      </c>
      <c r="R552" s="26">
        <v>1</v>
      </c>
      <c r="S552" s="28">
        <v>0.9</v>
      </c>
      <c r="T552" s="26">
        <v>0</v>
      </c>
      <c r="U552" s="26">
        <v>0</v>
      </c>
      <c r="V552" s="26">
        <v>0</v>
      </c>
      <c r="W552" s="26">
        <v>0</v>
      </c>
      <c r="X552" s="28">
        <v>0.92</v>
      </c>
      <c r="Y552" s="28">
        <v>0</v>
      </c>
      <c r="Z552" s="28">
        <v>0</v>
      </c>
      <c r="AA552" s="28">
        <v>0</v>
      </c>
      <c r="AB552" s="28">
        <v>0</v>
      </c>
      <c r="AC552" s="28">
        <v>0.92</v>
      </c>
      <c r="AD552" s="26">
        <v>0.99666666666666703</v>
      </c>
      <c r="AE552" s="26">
        <v>0.98682634730538898</v>
      </c>
      <c r="AF552" s="26">
        <v>0.99722222222222201</v>
      </c>
      <c r="AG552" s="26">
        <v>0.99420362903225801</v>
      </c>
      <c r="AH552" s="28">
        <v>0.92</v>
      </c>
      <c r="AI552" s="26">
        <v>0.95704824976348202</v>
      </c>
      <c r="AJ552" s="26">
        <v>0.97178530890222103</v>
      </c>
      <c r="AK552" s="26">
        <v>0.95074309978768601</v>
      </c>
      <c r="AL552" s="26">
        <v>0.96696461824953495</v>
      </c>
      <c r="AM552" s="25">
        <v>0.99</v>
      </c>
      <c r="AN552" s="30">
        <v>1</v>
      </c>
      <c r="AO552" s="30">
        <v>1</v>
      </c>
      <c r="AP552" s="30">
        <v>1</v>
      </c>
      <c r="AQ552" s="30">
        <v>1</v>
      </c>
      <c r="AR552" s="50">
        <v>0.05</v>
      </c>
      <c r="AS552" s="34">
        <v>0.33333333333333298</v>
      </c>
      <c r="AT552" s="34">
        <v>0</v>
      </c>
      <c r="AU552" s="34">
        <v>0</v>
      </c>
      <c r="AV552" s="34">
        <v>6.0606060606060601E-2</v>
      </c>
      <c r="AW552" s="10"/>
      <c r="AX552" s="8"/>
    </row>
    <row r="553" spans="1:50">
      <c r="A553" s="7"/>
      <c r="B553" s="10"/>
      <c r="C553" s="45" t="s">
        <v>396</v>
      </c>
      <c r="D553" s="23" t="s">
        <v>19</v>
      </c>
      <c r="E553" s="46" t="s">
        <v>599</v>
      </c>
      <c r="F553" s="46" t="s">
        <v>599</v>
      </c>
      <c r="G553" s="46" t="s">
        <v>599</v>
      </c>
      <c r="H553" s="46" t="s">
        <v>599</v>
      </c>
      <c r="I553" s="25">
        <v>0.9</v>
      </c>
      <c r="J553" s="26">
        <v>0.89705882352941202</v>
      </c>
      <c r="K553" s="26">
        <v>0.90909090909090895</v>
      </c>
      <c r="L553" s="27">
        <v>0.92592592592592604</v>
      </c>
      <c r="M553" s="26">
        <v>0.91111111111111098</v>
      </c>
      <c r="N553" s="28">
        <v>0.9</v>
      </c>
      <c r="O553" s="26">
        <v>0</v>
      </c>
      <c r="P553" s="26">
        <v>0</v>
      </c>
      <c r="Q553" s="26">
        <v>0</v>
      </c>
      <c r="R553" s="26">
        <v>0</v>
      </c>
      <c r="S553" s="28">
        <v>0.9</v>
      </c>
      <c r="T553" s="26">
        <v>0</v>
      </c>
      <c r="U553" s="26">
        <v>0.33333333333333298</v>
      </c>
      <c r="V553" s="26">
        <v>0</v>
      </c>
      <c r="W553" s="26">
        <v>0.33333333333333298</v>
      </c>
      <c r="X553" s="28">
        <v>0.92</v>
      </c>
      <c r="Y553" s="28">
        <v>0</v>
      </c>
      <c r="Z553" s="28">
        <v>0</v>
      </c>
      <c r="AA553" s="28">
        <v>0</v>
      </c>
      <c r="AB553" s="28">
        <v>0</v>
      </c>
      <c r="AC553" s="28">
        <v>0.92</v>
      </c>
      <c r="AD553" s="26">
        <v>0.99117647058823499</v>
      </c>
      <c r="AE553" s="26">
        <v>0.99632352941176505</v>
      </c>
      <c r="AF553" s="26">
        <v>0.993670886075949</v>
      </c>
      <c r="AG553" s="26">
        <v>0.99103350637093002</v>
      </c>
      <c r="AH553" s="28">
        <v>0.92</v>
      </c>
      <c r="AI553" s="26">
        <v>0.97204393096562502</v>
      </c>
      <c r="AJ553" s="26">
        <v>0.97450845907635997</v>
      </c>
      <c r="AK553" s="26">
        <v>0.94353741496598598</v>
      </c>
      <c r="AL553" s="26">
        <v>0.96625618412561798</v>
      </c>
      <c r="AM553" s="25">
        <v>0.99</v>
      </c>
      <c r="AN553" s="30">
        <v>1</v>
      </c>
      <c r="AO553" s="30">
        <v>1</v>
      </c>
      <c r="AP553" s="30">
        <v>1</v>
      </c>
      <c r="AQ553" s="30">
        <v>1</v>
      </c>
      <c r="AR553" s="50">
        <v>0.05</v>
      </c>
      <c r="AS553" s="34">
        <v>0</v>
      </c>
      <c r="AT553" s="34">
        <v>5.2631578947368397E-2</v>
      </c>
      <c r="AU553" s="34">
        <v>5.2631578947368397E-2</v>
      </c>
      <c r="AV553" s="34">
        <v>4.9586776859504099E-2</v>
      </c>
      <c r="AW553" s="10"/>
      <c r="AX553" s="8"/>
    </row>
    <row r="554" spans="1:50">
      <c r="A554" s="7"/>
      <c r="B554" s="10"/>
      <c r="C554" s="45" t="s">
        <v>396</v>
      </c>
      <c r="D554" s="23" t="s">
        <v>19</v>
      </c>
      <c r="E554" s="46" t="s">
        <v>600</v>
      </c>
      <c r="F554" s="46" t="s">
        <v>600</v>
      </c>
      <c r="G554" s="46" t="s">
        <v>600</v>
      </c>
      <c r="H554" s="46" t="s">
        <v>600</v>
      </c>
      <c r="I554" s="25">
        <v>0.9</v>
      </c>
      <c r="J554" s="26">
        <v>0.96153846153846201</v>
      </c>
      <c r="K554" s="26">
        <v>0.94339622641509402</v>
      </c>
      <c r="L554" s="27">
        <v>0.95652173913043503</v>
      </c>
      <c r="M554" s="26">
        <v>0.96797153024910998</v>
      </c>
      <c r="N554" s="28">
        <v>0.9</v>
      </c>
      <c r="O554" s="26">
        <v>0.97700701480904095</v>
      </c>
      <c r="P554" s="26">
        <v>0.97776092999747299</v>
      </c>
      <c r="Q554" s="26">
        <v>0.96383186705767399</v>
      </c>
      <c r="R554" s="26">
        <v>0.96917497733454205</v>
      </c>
      <c r="S554" s="28">
        <v>0.9</v>
      </c>
      <c r="T554" s="26">
        <v>0.938815276695246</v>
      </c>
      <c r="U554" s="26">
        <v>0.95046752590346195</v>
      </c>
      <c r="V554" s="26">
        <v>0.92668621700879805</v>
      </c>
      <c r="W554" s="26">
        <v>0.94051189064788299</v>
      </c>
      <c r="X554" s="28">
        <v>0.92</v>
      </c>
      <c r="Y554" s="28">
        <v>0.94873699851411597</v>
      </c>
      <c r="Z554" s="28">
        <v>0.96622313203684795</v>
      </c>
      <c r="AA554" s="28">
        <v>0.95457650273224004</v>
      </c>
      <c r="AB554" s="28">
        <v>0.93239578734943596</v>
      </c>
      <c r="AC554" s="28">
        <v>0.92</v>
      </c>
      <c r="AD554" s="26">
        <v>0.98387096774193505</v>
      </c>
      <c r="AE554" s="26">
        <v>0.971830985915493</v>
      </c>
      <c r="AF554" s="26">
        <v>0.98507462686567204</v>
      </c>
      <c r="AG554" s="26">
        <v>0.97950089126559703</v>
      </c>
      <c r="AH554" s="28">
        <v>0.92</v>
      </c>
      <c r="AI554" s="26">
        <v>0.96730659570423905</v>
      </c>
      <c r="AJ554" s="26">
        <v>0.98127993034392702</v>
      </c>
      <c r="AK554" s="26">
        <v>0.96286941146754201</v>
      </c>
      <c r="AL554" s="26">
        <v>0.95642679900744398</v>
      </c>
      <c r="AM554" s="25">
        <v>0.99</v>
      </c>
      <c r="AN554" s="30">
        <v>1</v>
      </c>
      <c r="AO554" s="30">
        <v>1</v>
      </c>
      <c r="AP554" s="30">
        <v>1</v>
      </c>
      <c r="AQ554" s="30">
        <v>1</v>
      </c>
      <c r="AR554" s="50">
        <v>0.05</v>
      </c>
      <c r="AS554" s="34">
        <v>0</v>
      </c>
      <c r="AT554" s="34">
        <v>0</v>
      </c>
      <c r="AU554" s="34">
        <v>0</v>
      </c>
      <c r="AV554" s="34">
        <v>2.6315789473684199E-2</v>
      </c>
      <c r="AW554" s="10"/>
      <c r="AX554" s="8"/>
    </row>
    <row r="555" spans="1:50">
      <c r="A555" s="7"/>
      <c r="B555" s="10"/>
      <c r="C555" s="45" t="s">
        <v>396</v>
      </c>
      <c r="D555" s="23" t="s">
        <v>19</v>
      </c>
      <c r="E555" s="46" t="s">
        <v>601</v>
      </c>
      <c r="F555" s="46" t="s">
        <v>601</v>
      </c>
      <c r="G555" s="46" t="s">
        <v>601</v>
      </c>
      <c r="H555" s="46" t="s">
        <v>601</v>
      </c>
      <c r="I555" s="25">
        <v>0.9</v>
      </c>
      <c r="J555" s="26">
        <v>0.98529411764705899</v>
      </c>
      <c r="K555" s="26">
        <v>1</v>
      </c>
      <c r="L555" s="27">
        <v>0.92424242424242398</v>
      </c>
      <c r="M555" s="26">
        <v>0.98223350253807096</v>
      </c>
      <c r="N555" s="28">
        <v>0.9</v>
      </c>
      <c r="O555" s="26">
        <v>0.97845659163987098</v>
      </c>
      <c r="P555" s="26">
        <v>0.98113207547169801</v>
      </c>
      <c r="Q555" s="26">
        <v>0.98235294117647098</v>
      </c>
      <c r="R555" s="26">
        <v>0.98125607177552998</v>
      </c>
      <c r="S555" s="28">
        <v>0.9</v>
      </c>
      <c r="T555" s="26">
        <v>0.92668810289389103</v>
      </c>
      <c r="U555" s="26">
        <v>0.937392795883362</v>
      </c>
      <c r="V555" s="26">
        <v>0.93333333333333302</v>
      </c>
      <c r="W555" s="26">
        <v>0.93919652551574395</v>
      </c>
      <c r="X555" s="28">
        <v>0.92</v>
      </c>
      <c r="Y555" s="28">
        <v>0.95212305025996502</v>
      </c>
      <c r="Z555" s="28">
        <v>0.96518745218056601</v>
      </c>
      <c r="AA555" s="28">
        <v>0.97192387412851</v>
      </c>
      <c r="AB555" s="28">
        <v>0.96287875964369596</v>
      </c>
      <c r="AC555" s="28">
        <v>0.92</v>
      </c>
      <c r="AD555" s="26">
        <v>1</v>
      </c>
      <c r="AE555" s="26">
        <v>0.99839999999999995</v>
      </c>
      <c r="AF555" s="26">
        <v>1</v>
      </c>
      <c r="AG555" s="26">
        <v>0.99979377191173402</v>
      </c>
      <c r="AH555" s="28">
        <v>0.92</v>
      </c>
      <c r="AI555" s="26">
        <v>0.96210553543714405</v>
      </c>
      <c r="AJ555" s="26">
        <v>0.97606302393697597</v>
      </c>
      <c r="AK555" s="26">
        <v>0.97619395355630201</v>
      </c>
      <c r="AL555" s="26">
        <v>0.97204514225215699</v>
      </c>
      <c r="AM555" s="25">
        <v>0.99</v>
      </c>
      <c r="AN555" s="30">
        <v>1</v>
      </c>
      <c r="AO555" s="30">
        <v>1</v>
      </c>
      <c r="AP555" s="30">
        <v>1</v>
      </c>
      <c r="AQ555" s="30">
        <v>1</v>
      </c>
      <c r="AR555" s="50">
        <v>0.05</v>
      </c>
      <c r="AS555" s="34">
        <v>-3.7037037037037E-2</v>
      </c>
      <c r="AT555" s="34">
        <v>4.3478260869565202E-2</v>
      </c>
      <c r="AU555" s="34">
        <v>9.0909090909090898E-2</v>
      </c>
      <c r="AV555" s="34">
        <v>2.8735632183908E-2</v>
      </c>
      <c r="AW555" s="10"/>
      <c r="AX555" s="8"/>
    </row>
    <row r="556" spans="1:50">
      <c r="A556" s="7"/>
      <c r="B556" s="10"/>
      <c r="C556" s="45" t="s">
        <v>396</v>
      </c>
      <c r="D556" s="23" t="s">
        <v>19</v>
      </c>
      <c r="E556" s="46" t="s">
        <v>602</v>
      </c>
      <c r="F556" s="46" t="s">
        <v>602</v>
      </c>
      <c r="G556" s="46" t="s">
        <v>602</v>
      </c>
      <c r="H556" s="46" t="s">
        <v>602</v>
      </c>
      <c r="I556" s="25">
        <v>0.9</v>
      </c>
      <c r="J556" s="26">
        <v>0.91071428571428603</v>
      </c>
      <c r="K556" s="26">
        <v>0.929824561403509</v>
      </c>
      <c r="L556" s="27">
        <v>0.875</v>
      </c>
      <c r="M556" s="26">
        <v>0.86411149825783995</v>
      </c>
      <c r="N556" s="28">
        <v>0.9</v>
      </c>
      <c r="O556" s="26">
        <v>0.95623120614767798</v>
      </c>
      <c r="P556" s="26">
        <v>0.95563686256574398</v>
      </c>
      <c r="Q556" s="26">
        <v>0.96475409836065595</v>
      </c>
      <c r="R556" s="26">
        <v>0.95277516462841005</v>
      </c>
      <c r="S556" s="28">
        <v>0.9</v>
      </c>
      <c r="T556" s="26">
        <v>0.91847644503842296</v>
      </c>
      <c r="U556" s="26">
        <v>0.90166933455293896</v>
      </c>
      <c r="V556" s="26">
        <v>0.91311475409836096</v>
      </c>
      <c r="W556" s="26">
        <v>0.89112574474757</v>
      </c>
      <c r="X556" s="28">
        <v>0.92</v>
      </c>
      <c r="Y556" s="28">
        <v>0.9287109375</v>
      </c>
      <c r="Z556" s="28">
        <v>0.94411936805149199</v>
      </c>
      <c r="AA556" s="28">
        <v>0.91820496499045201</v>
      </c>
      <c r="AB556" s="28">
        <v>0.90263041556144996</v>
      </c>
      <c r="AC556" s="28">
        <v>0.92</v>
      </c>
      <c r="AD556" s="26">
        <v>0.98901098901098905</v>
      </c>
      <c r="AE556" s="26">
        <v>0.96590909090909105</v>
      </c>
      <c r="AF556" s="26">
        <v>0.93577981651376196</v>
      </c>
      <c r="AG556" s="26">
        <v>0.92340425531914905</v>
      </c>
      <c r="AH556" s="28">
        <v>0.92</v>
      </c>
      <c r="AI556" s="26">
        <v>0.95583388266315095</v>
      </c>
      <c r="AJ556" s="26">
        <v>0.96858974358974403</v>
      </c>
      <c r="AK556" s="26">
        <v>0.93408102540627103</v>
      </c>
      <c r="AL556" s="26">
        <v>0.93743950725912895</v>
      </c>
      <c r="AM556" s="25">
        <v>0.99</v>
      </c>
      <c r="AN556" s="30">
        <v>1</v>
      </c>
      <c r="AO556" s="30">
        <v>1</v>
      </c>
      <c r="AP556" s="30">
        <v>1</v>
      </c>
      <c r="AQ556" s="30">
        <v>1</v>
      </c>
      <c r="AR556" s="50">
        <v>0.05</v>
      </c>
      <c r="AS556" s="34">
        <v>0.133333333333333</v>
      </c>
      <c r="AT556" s="34">
        <v>0</v>
      </c>
      <c r="AU556" s="34">
        <v>0.1</v>
      </c>
      <c r="AV556" s="34">
        <v>8.2474226804123696E-2</v>
      </c>
      <c r="AW556" s="10"/>
      <c r="AX556" s="8"/>
    </row>
    <row r="557" spans="1:50">
      <c r="A557" s="7"/>
      <c r="B557" s="10"/>
      <c r="C557" s="45" t="s">
        <v>396</v>
      </c>
      <c r="D557" s="23" t="s">
        <v>19</v>
      </c>
      <c r="E557" s="46" t="s">
        <v>603</v>
      </c>
      <c r="F557" s="46" t="s">
        <v>603</v>
      </c>
      <c r="G557" s="46" t="s">
        <v>603</v>
      </c>
      <c r="H557" s="46" t="s">
        <v>603</v>
      </c>
      <c r="I557" s="25">
        <v>0.9</v>
      </c>
      <c r="J557" s="26">
        <v>0.911392405063291</v>
      </c>
      <c r="K557" s="26">
        <v>0.96250000000000002</v>
      </c>
      <c r="L557" s="27">
        <v>0.95890410958904104</v>
      </c>
      <c r="M557" s="26">
        <v>0.93925233644859796</v>
      </c>
      <c r="N557" s="28">
        <v>0.9</v>
      </c>
      <c r="O557" s="26">
        <v>0.98148148148148195</v>
      </c>
      <c r="P557" s="26">
        <v>0.98253741981468301</v>
      </c>
      <c r="Q557" s="26">
        <v>0.98514851485148502</v>
      </c>
      <c r="R557" s="26">
        <v>0.97997018818706905</v>
      </c>
      <c r="S557" s="28">
        <v>0.9</v>
      </c>
      <c r="T557" s="26">
        <v>0.93886352105530202</v>
      </c>
      <c r="U557" s="26">
        <v>0.95331432644333602</v>
      </c>
      <c r="V557" s="26">
        <v>0.95489548954895498</v>
      </c>
      <c r="W557" s="26">
        <v>0.94377678405068</v>
      </c>
      <c r="X557" s="28">
        <v>0.92</v>
      </c>
      <c r="Y557" s="28">
        <v>0.9395</v>
      </c>
      <c r="Z557" s="28">
        <v>0.95970307529162202</v>
      </c>
      <c r="AA557" s="28">
        <v>0.957345264727815</v>
      </c>
      <c r="AB557" s="28">
        <v>0.947440476190476</v>
      </c>
      <c r="AC557" s="28">
        <v>0.92</v>
      </c>
      <c r="AD557" s="26">
        <v>0.99003322259136195</v>
      </c>
      <c r="AE557" s="26">
        <v>0.99140401146131796</v>
      </c>
      <c r="AF557" s="26">
        <v>0.97913043478260897</v>
      </c>
      <c r="AG557" s="26">
        <v>0.987855368479161</v>
      </c>
      <c r="AH557" s="28">
        <v>0.92</v>
      </c>
      <c r="AI557" s="26">
        <v>0.95253896430367002</v>
      </c>
      <c r="AJ557" s="26">
        <v>0.97285807717462403</v>
      </c>
      <c r="AK557" s="26">
        <v>0.96462457537776702</v>
      </c>
      <c r="AL557" s="26">
        <v>0.96120783460282899</v>
      </c>
      <c r="AM557" s="25">
        <v>0.99</v>
      </c>
      <c r="AN557" s="30">
        <v>1</v>
      </c>
      <c r="AO557" s="30">
        <v>1</v>
      </c>
      <c r="AP557" s="30">
        <v>1</v>
      </c>
      <c r="AQ557" s="30">
        <v>1</v>
      </c>
      <c r="AR557" s="50">
        <v>0.05</v>
      </c>
      <c r="AS557" s="34">
        <v>6.8965517241379296E-2</v>
      </c>
      <c r="AT557" s="34">
        <v>0</v>
      </c>
      <c r="AU557" s="34">
        <v>3.3333333333333298E-2</v>
      </c>
      <c r="AV557" s="34">
        <v>3.5433070866141697E-2</v>
      </c>
      <c r="AW557" s="10"/>
      <c r="AX557" s="8"/>
    </row>
    <row r="558" spans="1:50">
      <c r="A558" s="7"/>
      <c r="B558" s="10"/>
      <c r="C558" s="45" t="s">
        <v>396</v>
      </c>
      <c r="D558" s="23" t="s">
        <v>19</v>
      </c>
      <c r="E558" s="46" t="s">
        <v>604</v>
      </c>
      <c r="F558" s="46" t="s">
        <v>604</v>
      </c>
      <c r="G558" s="46" t="s">
        <v>604</v>
      </c>
      <c r="H558" s="46" t="s">
        <v>604</v>
      </c>
      <c r="I558" s="25">
        <v>0.9</v>
      </c>
      <c r="J558" s="26">
        <v>0.87878787878787901</v>
      </c>
      <c r="K558" s="26">
        <v>0.85714285714285698</v>
      </c>
      <c r="L558" s="27">
        <v>0.86440677966101698</v>
      </c>
      <c r="M558" s="26">
        <v>0.86455331412103698</v>
      </c>
      <c r="N558" s="28">
        <v>0.9</v>
      </c>
      <c r="O558" s="26">
        <v>0.94028935752819998</v>
      </c>
      <c r="P558" s="26">
        <v>0.87008722421754703</v>
      </c>
      <c r="Q558" s="26">
        <v>0.91472471190781002</v>
      </c>
      <c r="R558" s="26">
        <v>0.93970306737009202</v>
      </c>
      <c r="S558" s="28">
        <v>0.9</v>
      </c>
      <c r="T558" s="26">
        <v>0.84833251593918602</v>
      </c>
      <c r="U558" s="26">
        <v>0.82288353001539205</v>
      </c>
      <c r="V558" s="26">
        <v>0.88758002560819504</v>
      </c>
      <c r="W558" s="26">
        <v>0.87221625659461199</v>
      </c>
      <c r="X558" s="28">
        <v>0.92</v>
      </c>
      <c r="Y558" s="28">
        <v>0</v>
      </c>
      <c r="Z558" s="28">
        <v>0</v>
      </c>
      <c r="AA558" s="28">
        <v>1</v>
      </c>
      <c r="AB558" s="28">
        <v>0.5</v>
      </c>
      <c r="AC558" s="28">
        <v>0.92</v>
      </c>
      <c r="AD558" s="26">
        <v>0.99574468085106405</v>
      </c>
      <c r="AE558" s="26">
        <v>0.99415204678362601</v>
      </c>
      <c r="AF558" s="26">
        <v>0.99925373134328399</v>
      </c>
      <c r="AG558" s="26">
        <v>0.99654626564973403</v>
      </c>
      <c r="AH558" s="28">
        <v>0.92</v>
      </c>
      <c r="AI558" s="26">
        <v>0.96640921907564103</v>
      </c>
      <c r="AJ558" s="26">
        <v>0.95240049240869895</v>
      </c>
      <c r="AK558" s="26">
        <v>0.98054773483491198</v>
      </c>
      <c r="AL558" s="26">
        <v>0.96809503804322505</v>
      </c>
      <c r="AM558" s="25">
        <v>0.99</v>
      </c>
      <c r="AN558" s="30">
        <v>1</v>
      </c>
      <c r="AO558" s="30">
        <v>1</v>
      </c>
      <c r="AP558" s="30">
        <v>1</v>
      </c>
      <c r="AQ558" s="30">
        <v>1</v>
      </c>
      <c r="AR558" s="50">
        <v>0.05</v>
      </c>
      <c r="AS558" s="34">
        <v>5.1282051282051301E-2</v>
      </c>
      <c r="AT558" s="34">
        <v>6.6666666666666693E-2</v>
      </c>
      <c r="AU558" s="34">
        <v>0</v>
      </c>
      <c r="AV558" s="34">
        <v>4.3062200956937802E-2</v>
      </c>
      <c r="AW558" s="10"/>
      <c r="AX558" s="8"/>
    </row>
    <row r="559" spans="1:50">
      <c r="A559" s="7"/>
      <c r="B559" s="10"/>
      <c r="C559" s="45" t="s">
        <v>396</v>
      </c>
      <c r="D559" s="23" t="s">
        <v>19</v>
      </c>
      <c r="E559" s="46" t="s">
        <v>605</v>
      </c>
      <c r="F559" s="46" t="s">
        <v>605</v>
      </c>
      <c r="G559" s="46" t="s">
        <v>605</v>
      </c>
      <c r="H559" s="46" t="s">
        <v>605</v>
      </c>
      <c r="I559" s="25">
        <v>0.9</v>
      </c>
      <c r="J559" s="26">
        <v>0.97872340425531901</v>
      </c>
      <c r="K559" s="26">
        <v>1</v>
      </c>
      <c r="L559" s="27">
        <v>0.90909090909090895</v>
      </c>
      <c r="M559" s="26">
        <v>0.97026022304832704</v>
      </c>
      <c r="N559" s="28">
        <v>0.9</v>
      </c>
      <c r="O559" s="26">
        <v>0.92485089463220704</v>
      </c>
      <c r="P559" s="26">
        <v>0.96224256292906196</v>
      </c>
      <c r="Q559" s="26">
        <v>0.92531120331950201</v>
      </c>
      <c r="R559" s="26">
        <v>0.93938463899332503</v>
      </c>
      <c r="S559" s="28">
        <v>0.9</v>
      </c>
      <c r="T559" s="26">
        <v>0.90099403578528803</v>
      </c>
      <c r="U559" s="26">
        <v>0.93850114416476005</v>
      </c>
      <c r="V559" s="26">
        <v>0.9149377593361</v>
      </c>
      <c r="W559" s="26">
        <v>0.91705670221744795</v>
      </c>
      <c r="X559" s="28">
        <v>0.92</v>
      </c>
      <c r="Y559" s="28">
        <v>0.93978658536585402</v>
      </c>
      <c r="Z559" s="28">
        <v>0.94352768610194304</v>
      </c>
      <c r="AA559" s="28">
        <v>0.93795620437956195</v>
      </c>
      <c r="AB559" s="28">
        <v>0.92355766068021805</v>
      </c>
      <c r="AC559" s="28">
        <v>0.92</v>
      </c>
      <c r="AD559" s="26">
        <v>0.99670402109426504</v>
      </c>
      <c r="AE559" s="26">
        <v>0.99505998588567401</v>
      </c>
      <c r="AF559" s="26">
        <v>0.99806825499034102</v>
      </c>
      <c r="AG559" s="26">
        <v>0.99626537785588798</v>
      </c>
      <c r="AH559" s="28">
        <v>0.92</v>
      </c>
      <c r="AI559" s="26">
        <v>0.95137132853530404</v>
      </c>
      <c r="AJ559" s="26">
        <v>0.96549510511956305</v>
      </c>
      <c r="AK559" s="26">
        <v>0.94688595308708501</v>
      </c>
      <c r="AL559" s="26">
        <v>0.94715806599936303</v>
      </c>
      <c r="AM559" s="25">
        <v>0.99</v>
      </c>
      <c r="AN559" s="30">
        <v>1</v>
      </c>
      <c r="AO559" s="30">
        <v>1</v>
      </c>
      <c r="AP559" s="30">
        <v>1</v>
      </c>
      <c r="AQ559" s="30">
        <v>1</v>
      </c>
      <c r="AR559" s="50">
        <v>0.05</v>
      </c>
      <c r="AS559" s="34">
        <v>0</v>
      </c>
      <c r="AT559" s="34">
        <v>6.25E-2</v>
      </c>
      <c r="AU559" s="34">
        <v>0</v>
      </c>
      <c r="AV559" s="34">
        <v>5.7142857142857099E-2</v>
      </c>
      <c r="AW559" s="10"/>
      <c r="AX559" s="8"/>
    </row>
    <row r="560" spans="1:50">
      <c r="A560" s="7"/>
      <c r="B560" s="10"/>
      <c r="C560" s="45" t="s">
        <v>396</v>
      </c>
      <c r="D560" s="23" t="s">
        <v>19</v>
      </c>
      <c r="E560" s="46" t="s">
        <v>606</v>
      </c>
      <c r="F560" s="46" t="s">
        <v>606</v>
      </c>
      <c r="G560" s="46" t="s">
        <v>606</v>
      </c>
      <c r="H560" s="46" t="s">
        <v>606</v>
      </c>
      <c r="I560" s="25">
        <v>0.9</v>
      </c>
      <c r="J560" s="26">
        <v>0.97674418604651203</v>
      </c>
      <c r="K560" s="26">
        <v>0.97777777777777797</v>
      </c>
      <c r="L560" s="27">
        <v>0.97435897435897401</v>
      </c>
      <c r="M560" s="26">
        <v>0.96943231441047995</v>
      </c>
      <c r="N560" s="28">
        <v>0.9</v>
      </c>
      <c r="O560" s="26">
        <v>0.93757030371203598</v>
      </c>
      <c r="P560" s="26">
        <v>0.919619047619048</v>
      </c>
      <c r="Q560" s="26">
        <v>0.94275700934579398</v>
      </c>
      <c r="R560" s="26">
        <v>0.92123658560598598</v>
      </c>
      <c r="S560" s="28">
        <v>0.9</v>
      </c>
      <c r="T560" s="26">
        <v>0.92969628796400405</v>
      </c>
      <c r="U560" s="26">
        <v>0.93180952380952398</v>
      </c>
      <c r="V560" s="26">
        <v>0.91588785046729004</v>
      </c>
      <c r="W560" s="26">
        <v>0.90883134783892905</v>
      </c>
      <c r="X560" s="28">
        <v>0.92</v>
      </c>
      <c r="Y560" s="28">
        <v>0.93078055964653905</v>
      </c>
      <c r="Z560" s="28">
        <v>0.95065113091158304</v>
      </c>
      <c r="AA560" s="28">
        <v>0.91538219565901202</v>
      </c>
      <c r="AB560" s="28">
        <v>0.91667192329527503</v>
      </c>
      <c r="AC560" s="28">
        <v>0.92</v>
      </c>
      <c r="AD560" s="26">
        <v>0.96643109540635996</v>
      </c>
      <c r="AE560" s="26">
        <v>0.97520661157024802</v>
      </c>
      <c r="AF560" s="26">
        <v>0.98835516739446905</v>
      </c>
      <c r="AG560" s="26">
        <v>0.98624554253693297</v>
      </c>
      <c r="AH560" s="28">
        <v>0.92</v>
      </c>
      <c r="AI560" s="26">
        <v>0.94837561192701403</v>
      </c>
      <c r="AJ560" s="26">
        <v>0.966450216450216</v>
      </c>
      <c r="AK560" s="26">
        <v>0.93064156551895005</v>
      </c>
      <c r="AL560" s="26">
        <v>0.93875903429186502</v>
      </c>
      <c r="AM560" s="25">
        <v>0.99</v>
      </c>
      <c r="AN560" s="30">
        <v>1</v>
      </c>
      <c r="AO560" s="30">
        <v>1</v>
      </c>
      <c r="AP560" s="30">
        <v>1</v>
      </c>
      <c r="AQ560" s="30">
        <v>1</v>
      </c>
      <c r="AR560" s="50">
        <v>0.05</v>
      </c>
      <c r="AS560" s="34">
        <v>7.1428571428571397E-2</v>
      </c>
      <c r="AT560" s="34">
        <v>0</v>
      </c>
      <c r="AU560" s="34">
        <v>0</v>
      </c>
      <c r="AV560" s="34">
        <v>1.2345679012345699E-2</v>
      </c>
      <c r="AW560" s="10"/>
      <c r="AX560" s="8"/>
    </row>
    <row r="561" spans="1:50">
      <c r="A561" s="7"/>
      <c r="B561" s="10"/>
      <c r="C561" s="45" t="s">
        <v>396</v>
      </c>
      <c r="D561" s="23" t="s">
        <v>19</v>
      </c>
      <c r="E561" s="46" t="s">
        <v>607</v>
      </c>
      <c r="F561" s="46" t="s">
        <v>607</v>
      </c>
      <c r="G561" s="46" t="s">
        <v>607</v>
      </c>
      <c r="H561" s="46" t="s">
        <v>607</v>
      </c>
      <c r="I561" s="25">
        <v>0.9</v>
      </c>
      <c r="J561" s="26">
        <v>0.95</v>
      </c>
      <c r="K561" s="26">
        <v>0.97499999999999998</v>
      </c>
      <c r="L561" s="27">
        <v>0.94594594594594605</v>
      </c>
      <c r="M561" s="26">
        <v>0.934579439252336</v>
      </c>
      <c r="N561" s="28">
        <v>0.9</v>
      </c>
      <c r="O561" s="26">
        <v>0.92189160467587705</v>
      </c>
      <c r="P561" s="26">
        <v>0.95273818454613701</v>
      </c>
      <c r="Q561" s="26">
        <v>0.96219035202086001</v>
      </c>
      <c r="R561" s="26">
        <v>0.93444951801116205</v>
      </c>
      <c r="S561" s="28">
        <v>0.9</v>
      </c>
      <c r="T561" s="26">
        <v>0.93517534537725799</v>
      </c>
      <c r="U561" s="26">
        <v>0.94823705926481605</v>
      </c>
      <c r="V561" s="26">
        <v>0.95045632333767904</v>
      </c>
      <c r="W561" s="26">
        <v>0.93181126331811304</v>
      </c>
      <c r="X561" s="28">
        <v>0.92</v>
      </c>
      <c r="Y561" s="28">
        <v>0.94736842105263197</v>
      </c>
      <c r="Z561" s="28">
        <v>0.94437420986093601</v>
      </c>
      <c r="AA561" s="28">
        <v>0.92617132039753902</v>
      </c>
      <c r="AB561" s="28">
        <v>0.92061258278145697</v>
      </c>
      <c r="AC561" s="28">
        <v>0.92</v>
      </c>
      <c r="AD561" s="26">
        <v>0.99170124481327804</v>
      </c>
      <c r="AE561" s="26">
        <v>0.97761194029850795</v>
      </c>
      <c r="AF561" s="26">
        <v>0.996428571428571</v>
      </c>
      <c r="AG561" s="26">
        <v>0.98902517753389296</v>
      </c>
      <c r="AH561" s="28">
        <v>0.92</v>
      </c>
      <c r="AI561" s="26">
        <v>0.96266192532385098</v>
      </c>
      <c r="AJ561" s="26">
        <v>0.96647490577266404</v>
      </c>
      <c r="AK561" s="26">
        <v>0.93856299895869499</v>
      </c>
      <c r="AL561" s="26">
        <v>0.94222971433778302</v>
      </c>
      <c r="AM561" s="25">
        <v>0.99</v>
      </c>
      <c r="AN561" s="30">
        <v>1</v>
      </c>
      <c r="AO561" s="30">
        <v>1</v>
      </c>
      <c r="AP561" s="30">
        <v>1</v>
      </c>
      <c r="AQ561" s="30">
        <v>1</v>
      </c>
      <c r="AR561" s="50">
        <v>0.05</v>
      </c>
      <c r="AS561" s="34">
        <v>0</v>
      </c>
      <c r="AT561" s="34">
        <v>0</v>
      </c>
      <c r="AU561" s="34">
        <v>0</v>
      </c>
      <c r="AV561" s="34">
        <v>0</v>
      </c>
      <c r="AW561" s="10"/>
      <c r="AX561" s="8"/>
    </row>
    <row r="562" spans="1:50">
      <c r="A562" s="7"/>
      <c r="B562" s="10"/>
      <c r="C562" s="45" t="s">
        <v>396</v>
      </c>
      <c r="D562" s="23" t="s">
        <v>19</v>
      </c>
      <c r="E562" s="46" t="s">
        <v>608</v>
      </c>
      <c r="F562" s="46" t="s">
        <v>608</v>
      </c>
      <c r="G562" s="46" t="s">
        <v>608</v>
      </c>
      <c r="H562" s="46" t="s">
        <v>608</v>
      </c>
      <c r="I562" s="25">
        <v>0.9</v>
      </c>
      <c r="J562" s="26">
        <v>1</v>
      </c>
      <c r="K562" s="26">
        <v>1</v>
      </c>
      <c r="L562" s="27">
        <v>1</v>
      </c>
      <c r="M562" s="26">
        <v>0.98333333333333295</v>
      </c>
      <c r="N562" s="28">
        <v>0.9</v>
      </c>
      <c r="O562" s="26">
        <v>0.93805309734513298</v>
      </c>
      <c r="P562" s="26">
        <v>0.94071385359951598</v>
      </c>
      <c r="Q562" s="26">
        <v>0.95696721311475397</v>
      </c>
      <c r="R562" s="26">
        <v>0.92574670448856999</v>
      </c>
      <c r="S562" s="28">
        <v>0.9</v>
      </c>
      <c r="T562" s="26">
        <v>0.92920353982300896</v>
      </c>
      <c r="U562" s="26">
        <v>0.931034482758621</v>
      </c>
      <c r="V562" s="26">
        <v>0.94672131147541005</v>
      </c>
      <c r="W562" s="26">
        <v>0.91890538962122503</v>
      </c>
      <c r="X562" s="28">
        <v>0.92</v>
      </c>
      <c r="Y562" s="28">
        <v>0.92438070404172101</v>
      </c>
      <c r="Z562" s="28">
        <v>0.97084548104956303</v>
      </c>
      <c r="AA562" s="28">
        <v>0.96736596736596703</v>
      </c>
      <c r="AB562" s="28">
        <v>0.94851220327649599</v>
      </c>
      <c r="AC562" s="28">
        <v>0.92</v>
      </c>
      <c r="AD562" s="26">
        <v>0.99606299212598404</v>
      </c>
      <c r="AE562" s="26">
        <v>0.98340248962655596</v>
      </c>
      <c r="AF562" s="26">
        <v>0.94140625</v>
      </c>
      <c r="AG562" s="26">
        <v>0.97924123120973505</v>
      </c>
      <c r="AH562" s="28">
        <v>0.92</v>
      </c>
      <c r="AI562" s="26">
        <v>0.94511956095648797</v>
      </c>
      <c r="AJ562" s="26">
        <v>0.98041543026706202</v>
      </c>
      <c r="AK562" s="26">
        <v>0.97233560090702997</v>
      </c>
      <c r="AL562" s="26">
        <v>0.96074242221925499</v>
      </c>
      <c r="AM562" s="25">
        <v>0.99</v>
      </c>
      <c r="AN562" s="30">
        <v>1</v>
      </c>
      <c r="AO562" s="30">
        <v>1</v>
      </c>
      <c r="AP562" s="30">
        <v>1</v>
      </c>
      <c r="AQ562" s="30">
        <v>1</v>
      </c>
      <c r="AR562" s="50">
        <v>0.05</v>
      </c>
      <c r="AS562" s="34">
        <v>-0.16666666666666699</v>
      </c>
      <c r="AT562" s="34">
        <v>0</v>
      </c>
      <c r="AU562" s="34">
        <v>0</v>
      </c>
      <c r="AV562" s="34">
        <v>9.0909090909090898E-2</v>
      </c>
      <c r="AW562" s="10"/>
      <c r="AX562" s="8"/>
    </row>
    <row r="563" spans="1:50">
      <c r="A563" s="7"/>
      <c r="B563" s="10"/>
      <c r="C563" s="45" t="s">
        <v>396</v>
      </c>
      <c r="D563" s="23" t="s">
        <v>19</v>
      </c>
      <c r="E563" s="46" t="s">
        <v>609</v>
      </c>
      <c r="F563" s="46" t="s">
        <v>609</v>
      </c>
      <c r="G563" s="46" t="s">
        <v>609</v>
      </c>
      <c r="H563" s="46" t="s">
        <v>609</v>
      </c>
      <c r="I563" s="25">
        <v>0.9</v>
      </c>
      <c r="J563" s="26">
        <v>0.94791666666666696</v>
      </c>
      <c r="K563" s="26">
        <v>0.92553191489361697</v>
      </c>
      <c r="L563" s="27">
        <v>0.85333333333333306</v>
      </c>
      <c r="M563" s="26">
        <v>0.93415637860082301</v>
      </c>
      <c r="N563" s="28">
        <v>0.9</v>
      </c>
      <c r="O563" s="26">
        <v>0.97613925288480297</v>
      </c>
      <c r="P563" s="26">
        <v>0.97764722739647503</v>
      </c>
      <c r="Q563" s="26">
        <v>0.978656949505466</v>
      </c>
      <c r="R563" s="26">
        <v>0.97489150650960898</v>
      </c>
      <c r="S563" s="28">
        <v>0.9</v>
      </c>
      <c r="T563" s="26">
        <v>0.94073929200078199</v>
      </c>
      <c r="U563" s="26">
        <v>0.92606390600372501</v>
      </c>
      <c r="V563" s="26">
        <v>0.94534096824570502</v>
      </c>
      <c r="W563" s="26">
        <v>0.93455517668939903</v>
      </c>
      <c r="X563" s="28">
        <v>0.92</v>
      </c>
      <c r="Y563" s="28">
        <v>0.98220158638034405</v>
      </c>
      <c r="Z563" s="28">
        <v>0.97067901234567899</v>
      </c>
      <c r="AA563" s="28">
        <v>0.94879465071265201</v>
      </c>
      <c r="AB563" s="28">
        <v>0.96595053378423201</v>
      </c>
      <c r="AC563" s="28">
        <v>0.92</v>
      </c>
      <c r="AD563" s="26">
        <v>1</v>
      </c>
      <c r="AE563" s="26">
        <v>0.99938461538461498</v>
      </c>
      <c r="AF563" s="26">
        <v>1</v>
      </c>
      <c r="AG563" s="26">
        <v>0.99955443338779104</v>
      </c>
      <c r="AH563" s="28">
        <v>0.92</v>
      </c>
      <c r="AI563" s="26">
        <v>0.98872472783825804</v>
      </c>
      <c r="AJ563" s="26">
        <v>0.98377535101404101</v>
      </c>
      <c r="AK563" s="26">
        <v>0.95931224570153595</v>
      </c>
      <c r="AL563" s="26">
        <v>0.97829385409043002</v>
      </c>
      <c r="AM563" s="25">
        <v>0.99</v>
      </c>
      <c r="AN563" s="30">
        <v>1</v>
      </c>
      <c r="AO563" s="30">
        <v>1</v>
      </c>
      <c r="AP563" s="30">
        <v>1</v>
      </c>
      <c r="AQ563" s="30">
        <v>1</v>
      </c>
      <c r="AR563" s="50">
        <v>0.05</v>
      </c>
      <c r="AS563" s="34">
        <v>2.7777777777777801E-2</v>
      </c>
      <c r="AT563" s="34">
        <v>0.1</v>
      </c>
      <c r="AU563" s="34">
        <v>0</v>
      </c>
      <c r="AV563" s="34">
        <v>4.57142857142857E-2</v>
      </c>
      <c r="AW563" s="10"/>
      <c r="AX563" s="8"/>
    </row>
    <row r="564" spans="1:50">
      <c r="A564" s="7"/>
      <c r="B564" s="10"/>
      <c r="C564" s="45" t="s">
        <v>396</v>
      </c>
      <c r="D564" s="23" t="s">
        <v>19</v>
      </c>
      <c r="E564" s="46" t="s">
        <v>610</v>
      </c>
      <c r="F564" s="46" t="s">
        <v>610</v>
      </c>
      <c r="G564" s="46" t="s">
        <v>610</v>
      </c>
      <c r="H564" s="46" t="s">
        <v>610</v>
      </c>
      <c r="I564" s="25">
        <v>0.9</v>
      </c>
      <c r="J564" s="26">
        <v>0.98648648648648696</v>
      </c>
      <c r="K564" s="26">
        <v>0.98648648648648696</v>
      </c>
      <c r="L564" s="27">
        <v>0.93650793650793696</v>
      </c>
      <c r="M564" s="26">
        <v>0.95584415584415605</v>
      </c>
      <c r="N564" s="28">
        <v>0.9</v>
      </c>
      <c r="O564" s="26">
        <v>0.97229465449804398</v>
      </c>
      <c r="P564" s="26">
        <v>0.96149614961496199</v>
      </c>
      <c r="Q564" s="26">
        <v>0.95515695067264605</v>
      </c>
      <c r="R564" s="26">
        <v>0.96118777723016302</v>
      </c>
      <c r="S564" s="28">
        <v>0.9</v>
      </c>
      <c r="T564" s="26">
        <v>0.94915254237288105</v>
      </c>
      <c r="U564" s="26">
        <v>0.96589658965896596</v>
      </c>
      <c r="V564" s="26">
        <v>0.93273542600896897</v>
      </c>
      <c r="W564" s="26">
        <v>0.94818876293740795</v>
      </c>
      <c r="X564" s="28">
        <v>0.92</v>
      </c>
      <c r="Y564" s="28">
        <v>0.95935190449118801</v>
      </c>
      <c r="Z564" s="28">
        <v>0.96691358024691398</v>
      </c>
      <c r="AA564" s="28">
        <v>0.95917312661498699</v>
      </c>
      <c r="AB564" s="28">
        <v>0.96099741237355896</v>
      </c>
      <c r="AC564" s="28">
        <v>0.92</v>
      </c>
      <c r="AD564" s="26">
        <v>0.92887029288702905</v>
      </c>
      <c r="AE564" s="26">
        <v>0.91729323308270705</v>
      </c>
      <c r="AF564" s="26">
        <v>0.98874296435272002</v>
      </c>
      <c r="AG564" s="26">
        <v>0.96268057784911698</v>
      </c>
      <c r="AH564" s="28">
        <v>0.92</v>
      </c>
      <c r="AI564" s="26">
        <v>0.96917704221074996</v>
      </c>
      <c r="AJ564" s="26">
        <v>0.979644061882052</v>
      </c>
      <c r="AK564" s="26">
        <v>0.96470116325711996</v>
      </c>
      <c r="AL564" s="26">
        <v>0.97015681672711795</v>
      </c>
      <c r="AM564" s="25">
        <v>0.99</v>
      </c>
      <c r="AN564" s="30">
        <v>1</v>
      </c>
      <c r="AO564" s="30">
        <v>1</v>
      </c>
      <c r="AP564" s="30">
        <v>1</v>
      </c>
      <c r="AQ564" s="30">
        <v>1</v>
      </c>
      <c r="AR564" s="50">
        <v>0.05</v>
      </c>
      <c r="AS564" s="34">
        <v>0</v>
      </c>
      <c r="AT564" s="34">
        <v>0</v>
      </c>
      <c r="AU564" s="34">
        <v>0</v>
      </c>
      <c r="AV564" s="34">
        <v>7.0422535211267595E-2</v>
      </c>
      <c r="AW564" s="10"/>
      <c r="AX564" s="8"/>
    </row>
    <row r="565" spans="1:50">
      <c r="A565" s="7"/>
      <c r="B565" s="10"/>
      <c r="C565" s="45" t="s">
        <v>396</v>
      </c>
      <c r="D565" s="23" t="s">
        <v>19</v>
      </c>
      <c r="E565" s="46" t="s">
        <v>611</v>
      </c>
      <c r="F565" s="46" t="s">
        <v>611</v>
      </c>
      <c r="G565" s="46" t="s">
        <v>611</v>
      </c>
      <c r="H565" s="46" t="s">
        <v>611</v>
      </c>
      <c r="I565" s="25">
        <v>0.9</v>
      </c>
      <c r="J565" s="26">
        <v>0.96666666666666701</v>
      </c>
      <c r="K565" s="26">
        <v>1</v>
      </c>
      <c r="L565" s="27">
        <v>0.85185185185185197</v>
      </c>
      <c r="M565" s="26">
        <v>0.96341463414634099</v>
      </c>
      <c r="N565" s="28">
        <v>0.9</v>
      </c>
      <c r="O565" s="26">
        <v>0.97365119196988703</v>
      </c>
      <c r="P565" s="26">
        <v>0.97018181818181803</v>
      </c>
      <c r="Q565" s="26">
        <v>0.95888157894736803</v>
      </c>
      <c r="R565" s="26">
        <v>0.96680047737875696</v>
      </c>
      <c r="S565" s="28">
        <v>0.9</v>
      </c>
      <c r="T565" s="26">
        <v>0.95106649937264698</v>
      </c>
      <c r="U565" s="26">
        <v>0.93090909090909102</v>
      </c>
      <c r="V565" s="26">
        <v>0.94078947368421095</v>
      </c>
      <c r="W565" s="26">
        <v>0.93663881957252904</v>
      </c>
      <c r="X565" s="28">
        <v>0.92</v>
      </c>
      <c r="Y565" s="28">
        <v>0.89762340036563104</v>
      </c>
      <c r="Z565" s="28">
        <v>0.88140311804008897</v>
      </c>
      <c r="AA565" s="28">
        <v>0.88636363636363602</v>
      </c>
      <c r="AB565" s="28">
        <v>0.874066390041494</v>
      </c>
      <c r="AC565" s="28">
        <v>0.92</v>
      </c>
      <c r="AD565" s="26">
        <v>0.99289099526066305</v>
      </c>
      <c r="AE565" s="26">
        <v>0.97135416666666696</v>
      </c>
      <c r="AF565" s="26">
        <v>0.99763033175355498</v>
      </c>
      <c r="AG565" s="26">
        <v>0.99132947976878605</v>
      </c>
      <c r="AH565" s="28">
        <v>0.92</v>
      </c>
      <c r="AI565" s="26">
        <v>0.93730697961704801</v>
      </c>
      <c r="AJ565" s="26">
        <v>0.94660514172709298</v>
      </c>
      <c r="AK565" s="26">
        <v>0.91253904506916494</v>
      </c>
      <c r="AL565" s="26">
        <v>0.92725925141616805</v>
      </c>
      <c r="AM565" s="25">
        <v>0.99</v>
      </c>
      <c r="AN565" s="30">
        <v>1</v>
      </c>
      <c r="AO565" s="30">
        <v>1</v>
      </c>
      <c r="AP565" s="30">
        <v>1</v>
      </c>
      <c r="AQ565" s="30">
        <v>1</v>
      </c>
      <c r="AR565" s="50">
        <v>0.05</v>
      </c>
      <c r="AS565" s="34">
        <v>0.1</v>
      </c>
      <c r="AT565" s="34">
        <v>0</v>
      </c>
      <c r="AU565" s="34">
        <v>0.14285714285714299</v>
      </c>
      <c r="AV565" s="34">
        <v>0.1</v>
      </c>
      <c r="AW565" s="10"/>
      <c r="AX565" s="8"/>
    </row>
    <row r="566" spans="1:50">
      <c r="A566" s="7"/>
      <c r="B566" s="10"/>
      <c r="C566" s="45" t="s">
        <v>396</v>
      </c>
      <c r="D566" s="23" t="s">
        <v>19</v>
      </c>
      <c r="E566" s="46" t="s">
        <v>612</v>
      </c>
      <c r="F566" s="46" t="s">
        <v>612</v>
      </c>
      <c r="G566" s="46" t="s">
        <v>612</v>
      </c>
      <c r="H566" s="46" t="s">
        <v>612</v>
      </c>
      <c r="I566" s="25">
        <v>0.9</v>
      </c>
      <c r="J566" s="26">
        <v>1</v>
      </c>
      <c r="K566" s="26">
        <v>1</v>
      </c>
      <c r="L566" s="27">
        <v>0.97499999999999998</v>
      </c>
      <c r="M566" s="26">
        <v>0.95901639344262302</v>
      </c>
      <c r="N566" s="28">
        <v>0.9</v>
      </c>
      <c r="O566" s="26">
        <v>0.94542429284525797</v>
      </c>
      <c r="P566" s="26">
        <v>0.96625344352617104</v>
      </c>
      <c r="Q566" s="26">
        <v>0.94281045751633996</v>
      </c>
      <c r="R566" s="26">
        <v>0.95501972261101897</v>
      </c>
      <c r="S566" s="28">
        <v>0.9</v>
      </c>
      <c r="T566" s="26">
        <v>0.94575707154742095</v>
      </c>
      <c r="U566" s="26">
        <v>0.95844811753902703</v>
      </c>
      <c r="V566" s="26">
        <v>0.96241830065359502</v>
      </c>
      <c r="W566" s="26">
        <v>0.95266573355388695</v>
      </c>
      <c r="X566" s="28">
        <v>0.92</v>
      </c>
      <c r="Y566" s="28">
        <v>0.96480201131363896</v>
      </c>
      <c r="Z566" s="28">
        <v>0.97071367642877404</v>
      </c>
      <c r="AA566" s="28">
        <v>0.96159441373290699</v>
      </c>
      <c r="AB566" s="28">
        <v>0.95984856563932996</v>
      </c>
      <c r="AC566" s="28">
        <v>0.92</v>
      </c>
      <c r="AD566" s="26">
        <v>0.99051233396584404</v>
      </c>
      <c r="AE566" s="26">
        <v>0.99335302806499304</v>
      </c>
      <c r="AF566" s="26">
        <v>0.99285946121389201</v>
      </c>
      <c r="AG566" s="26">
        <v>0.99488727362326002</v>
      </c>
      <c r="AH566" s="28">
        <v>0.92</v>
      </c>
      <c r="AI566" s="26">
        <v>0.973981900452489</v>
      </c>
      <c r="AJ566" s="26">
        <v>0.98145796291592602</v>
      </c>
      <c r="AK566" s="26">
        <v>0.96788008565310502</v>
      </c>
      <c r="AL566" s="26">
        <v>0.97219483908379201</v>
      </c>
      <c r="AM566" s="25">
        <v>0.99</v>
      </c>
      <c r="AN566" s="30">
        <v>1</v>
      </c>
      <c r="AO566" s="30">
        <v>1</v>
      </c>
      <c r="AP566" s="30">
        <v>1</v>
      </c>
      <c r="AQ566" s="30">
        <v>1</v>
      </c>
      <c r="AR566" s="50">
        <v>0.05</v>
      </c>
      <c r="AS566" s="34">
        <v>0</v>
      </c>
      <c r="AT566" s="34">
        <v>0</v>
      </c>
      <c r="AU566" s="34">
        <v>6.6666666666666693E-2</v>
      </c>
      <c r="AV566" s="34">
        <v>2.5641025641025599E-2</v>
      </c>
      <c r="AW566" s="10"/>
      <c r="AX566" s="8"/>
    </row>
    <row r="567" spans="1:50">
      <c r="A567" s="7"/>
      <c r="B567" s="10"/>
      <c r="C567" s="45" t="s">
        <v>396</v>
      </c>
      <c r="D567" s="23" t="s">
        <v>19</v>
      </c>
      <c r="E567" s="46" t="s">
        <v>613</v>
      </c>
      <c r="F567" s="46" t="s">
        <v>613</v>
      </c>
      <c r="G567" s="46" t="s">
        <v>613</v>
      </c>
      <c r="H567" s="46" t="s">
        <v>613</v>
      </c>
      <c r="I567" s="25">
        <v>0.9</v>
      </c>
      <c r="J567" s="26">
        <v>0.98</v>
      </c>
      <c r="K567" s="26">
        <v>0.74</v>
      </c>
      <c r="L567" s="27">
        <v>0.97916666666666696</v>
      </c>
      <c r="M567" s="26">
        <v>0.92779783393501802</v>
      </c>
      <c r="N567" s="28">
        <v>0.9</v>
      </c>
      <c r="O567" s="26">
        <v>0.86199095022624395</v>
      </c>
      <c r="P567" s="26">
        <v>0.88930282064928201</v>
      </c>
      <c r="Q567" s="26">
        <v>0.89967373572593801</v>
      </c>
      <c r="R567" s="26">
        <v>0.89186112692088804</v>
      </c>
      <c r="S567" s="28">
        <v>0.9</v>
      </c>
      <c r="T567" s="26">
        <v>0.83823529411764697</v>
      </c>
      <c r="U567" s="26">
        <v>0.84406599254922798</v>
      </c>
      <c r="V567" s="26">
        <v>0.89233278955954298</v>
      </c>
      <c r="W567" s="26">
        <v>0.86283437677859998</v>
      </c>
      <c r="X567" s="28">
        <v>0.92</v>
      </c>
      <c r="Y567" s="28">
        <v>0.89997374639012895</v>
      </c>
      <c r="Z567" s="28">
        <v>0.936798717655141</v>
      </c>
      <c r="AA567" s="28">
        <v>0.91942919868276596</v>
      </c>
      <c r="AB567" s="28">
        <v>0.90417832245459795</v>
      </c>
      <c r="AC567" s="28">
        <v>0.92</v>
      </c>
      <c r="AD567" s="26">
        <v>1</v>
      </c>
      <c r="AE567" s="26">
        <v>0.99883788495060999</v>
      </c>
      <c r="AF567" s="26">
        <v>0.99517490952955401</v>
      </c>
      <c r="AG567" s="26">
        <v>0.99795814190913701</v>
      </c>
      <c r="AH567" s="28">
        <v>0.92</v>
      </c>
      <c r="AI567" s="26">
        <v>0.92374323279195703</v>
      </c>
      <c r="AJ567" s="26">
        <v>0.95425479586817497</v>
      </c>
      <c r="AK567" s="26">
        <v>0.93350604490500899</v>
      </c>
      <c r="AL567" s="26">
        <v>0.93056352263104702</v>
      </c>
      <c r="AM567" s="25">
        <v>0.99</v>
      </c>
      <c r="AN567" s="30">
        <v>1</v>
      </c>
      <c r="AO567" s="30">
        <v>1</v>
      </c>
      <c r="AP567" s="30">
        <v>1</v>
      </c>
      <c r="AQ567" s="30">
        <v>1</v>
      </c>
      <c r="AR567" s="50">
        <v>0.05</v>
      </c>
      <c r="AS567" s="34">
        <v>0</v>
      </c>
      <c r="AT567" s="34">
        <v>0</v>
      </c>
      <c r="AU567" s="34">
        <v>0</v>
      </c>
      <c r="AV567" s="34">
        <v>0</v>
      </c>
      <c r="AW567" s="10"/>
      <c r="AX567" s="8"/>
    </row>
    <row r="568" spans="1:50">
      <c r="A568" s="7"/>
      <c r="B568" s="10"/>
      <c r="C568" s="45" t="s">
        <v>396</v>
      </c>
      <c r="D568" s="23" t="s">
        <v>19</v>
      </c>
      <c r="E568" s="46" t="s">
        <v>614</v>
      </c>
      <c r="F568" s="46" t="s">
        <v>614</v>
      </c>
      <c r="G568" s="46" t="s">
        <v>614</v>
      </c>
      <c r="H568" s="46" t="s">
        <v>614</v>
      </c>
      <c r="I568" s="25">
        <v>0.9</v>
      </c>
      <c r="J568" s="26">
        <v>0.886075949367089</v>
      </c>
      <c r="K568" s="26">
        <v>0.89743589743589702</v>
      </c>
      <c r="L568" s="27">
        <v>0.90410958904109595</v>
      </c>
      <c r="M568" s="26">
        <v>0.90970654627539504</v>
      </c>
      <c r="N568" s="28">
        <v>0.9</v>
      </c>
      <c r="O568" s="26">
        <v>0.89467341528079103</v>
      </c>
      <c r="P568" s="26">
        <v>0.92078488372093004</v>
      </c>
      <c r="Q568" s="26">
        <v>0.84277620396600605</v>
      </c>
      <c r="R568" s="26">
        <v>0.91147092360319304</v>
      </c>
      <c r="S568" s="28">
        <v>0.9</v>
      </c>
      <c r="T568" s="26">
        <v>0.90021691973969598</v>
      </c>
      <c r="U568" s="26">
        <v>0.90570494186046502</v>
      </c>
      <c r="V568" s="26">
        <v>0.87535410764872501</v>
      </c>
      <c r="W568" s="26">
        <v>0.89632839224629401</v>
      </c>
      <c r="X568" s="28">
        <v>0.92</v>
      </c>
      <c r="Y568" s="28">
        <v>0.93386739389807405</v>
      </c>
      <c r="Z568" s="28">
        <v>0.95142217961009901</v>
      </c>
      <c r="AA568" s="28">
        <v>0.95853346141530604</v>
      </c>
      <c r="AB568" s="28">
        <v>0.95217552076913603</v>
      </c>
      <c r="AC568" s="28">
        <v>0.92</v>
      </c>
      <c r="AD568" s="26">
        <v>0.99936507936507901</v>
      </c>
      <c r="AE568" s="26">
        <v>0.96644664466446595</v>
      </c>
      <c r="AF568" s="26">
        <v>0.93969624776652805</v>
      </c>
      <c r="AG568" s="26">
        <v>0.96793411029363896</v>
      </c>
      <c r="AH568" s="28">
        <v>0.92</v>
      </c>
      <c r="AI568" s="26">
        <v>0.94994016753091304</v>
      </c>
      <c r="AJ568" s="26">
        <v>0.96659867414584399</v>
      </c>
      <c r="AK568" s="26">
        <v>0.96124955287945602</v>
      </c>
      <c r="AL568" s="26">
        <v>0.962780705458952</v>
      </c>
      <c r="AM568" s="25">
        <v>0.99</v>
      </c>
      <c r="AN568" s="30">
        <v>1</v>
      </c>
      <c r="AO568" s="30">
        <v>1</v>
      </c>
      <c r="AP568" s="30">
        <v>1</v>
      </c>
      <c r="AQ568" s="30">
        <v>1</v>
      </c>
      <c r="AR568" s="50">
        <v>0.05</v>
      </c>
      <c r="AS568" s="34">
        <v>2.7777777777777801E-2</v>
      </c>
      <c r="AT568" s="34">
        <v>9.7560975609756101E-2</v>
      </c>
      <c r="AU568" s="34">
        <v>2.7777777777777801E-2</v>
      </c>
      <c r="AV568" s="34">
        <v>4.5833333333333302E-2</v>
      </c>
      <c r="AW568" s="10"/>
      <c r="AX568" s="8"/>
    </row>
    <row r="569" spans="1:50">
      <c r="A569" s="7"/>
      <c r="B569" s="10"/>
      <c r="C569" s="45" t="s">
        <v>396</v>
      </c>
      <c r="D569" s="23" t="s">
        <v>19</v>
      </c>
      <c r="E569" s="46" t="s">
        <v>615</v>
      </c>
      <c r="F569" s="46" t="s">
        <v>615</v>
      </c>
      <c r="G569" s="46" t="s">
        <v>615</v>
      </c>
      <c r="H569" s="46" t="s">
        <v>615</v>
      </c>
      <c r="I569" s="25">
        <v>0.9</v>
      </c>
      <c r="J569" s="26">
        <v>1</v>
      </c>
      <c r="K569" s="26">
        <v>0.97872340425531901</v>
      </c>
      <c r="L569" s="27">
        <v>0.97674418604651203</v>
      </c>
      <c r="M569" s="26">
        <v>0.95366795366795398</v>
      </c>
      <c r="N569" s="28">
        <v>0.9</v>
      </c>
      <c r="O569" s="26">
        <v>0.95484400656814405</v>
      </c>
      <c r="P569" s="26">
        <v>0.95697707330880299</v>
      </c>
      <c r="Q569" s="26">
        <v>0.95454545454545503</v>
      </c>
      <c r="R569" s="26">
        <v>0.95605118829981695</v>
      </c>
      <c r="S569" s="28">
        <v>0.9</v>
      </c>
      <c r="T569" s="26">
        <v>0.91871921182266003</v>
      </c>
      <c r="U569" s="26">
        <v>0.92046419473535201</v>
      </c>
      <c r="V569" s="26">
        <v>0.90986132511556195</v>
      </c>
      <c r="W569" s="26">
        <v>0.91590493601462497</v>
      </c>
      <c r="X569" s="28">
        <v>0.92</v>
      </c>
      <c r="Y569" s="28">
        <v>0.94266487213997296</v>
      </c>
      <c r="Z569" s="28">
        <v>0.96167423096318705</v>
      </c>
      <c r="AA569" s="28">
        <v>0.95673310646572696</v>
      </c>
      <c r="AB569" s="28">
        <v>0.95237865016437795</v>
      </c>
      <c r="AC569" s="28">
        <v>0.92</v>
      </c>
      <c r="AD569" s="26">
        <v>0.99400218102508198</v>
      </c>
      <c r="AE569" s="26">
        <v>0.99200852424080999</v>
      </c>
      <c r="AF569" s="26">
        <v>0.97258297258297299</v>
      </c>
      <c r="AG569" s="26">
        <v>0.98518448617533305</v>
      </c>
      <c r="AH569" s="28">
        <v>0.92</v>
      </c>
      <c r="AI569" s="26">
        <v>0.95551948051948099</v>
      </c>
      <c r="AJ569" s="26">
        <v>0.97430093209054602</v>
      </c>
      <c r="AK569" s="26">
        <v>0.96309282155379194</v>
      </c>
      <c r="AL569" s="26">
        <v>0.965071339319443</v>
      </c>
      <c r="AM569" s="25">
        <v>0.99</v>
      </c>
      <c r="AN569" s="30">
        <v>1</v>
      </c>
      <c r="AO569" s="30">
        <v>1</v>
      </c>
      <c r="AP569" s="30">
        <v>1</v>
      </c>
      <c r="AQ569" s="30">
        <v>1</v>
      </c>
      <c r="AR569" s="50">
        <v>0.05</v>
      </c>
      <c r="AS569" s="34">
        <v>0</v>
      </c>
      <c r="AT569" s="34">
        <v>8.6956521739130405E-2</v>
      </c>
      <c r="AU569" s="34">
        <v>0.11111111111111099</v>
      </c>
      <c r="AV569" s="34">
        <v>6.3492063492063502E-2</v>
      </c>
      <c r="AW569" s="10"/>
      <c r="AX569" s="8"/>
    </row>
    <row r="570" spans="1:50">
      <c r="A570" s="7"/>
      <c r="B570" s="10"/>
      <c r="C570" s="45" t="s">
        <v>396</v>
      </c>
      <c r="D570" s="23" t="s">
        <v>19</v>
      </c>
      <c r="E570" s="46" t="s">
        <v>616</v>
      </c>
      <c r="F570" s="46" t="s">
        <v>616</v>
      </c>
      <c r="G570" s="46" t="s">
        <v>616</v>
      </c>
      <c r="H570" s="46" t="s">
        <v>616</v>
      </c>
      <c r="I570" s="25">
        <v>0.9</v>
      </c>
      <c r="J570" s="26">
        <v>1</v>
      </c>
      <c r="K570" s="26">
        <v>0.9</v>
      </c>
      <c r="L570" s="27">
        <v>0.89473684210526305</v>
      </c>
      <c r="M570" s="26">
        <v>0.9</v>
      </c>
      <c r="N570" s="28">
        <v>0.9</v>
      </c>
      <c r="O570" s="26">
        <v>0.94850498338870404</v>
      </c>
      <c r="P570" s="26">
        <v>0.957041464325738</v>
      </c>
      <c r="Q570" s="26">
        <v>0.97333333333333305</v>
      </c>
      <c r="R570" s="26">
        <v>0.95428432721093903</v>
      </c>
      <c r="S570" s="28">
        <v>0.9</v>
      </c>
      <c r="T570" s="26">
        <v>0.93189368770764103</v>
      </c>
      <c r="U570" s="26">
        <v>0.91893911094508796</v>
      </c>
      <c r="V570" s="26">
        <v>0.95384615384615401</v>
      </c>
      <c r="W570" s="26">
        <v>0.91123877336354098</v>
      </c>
      <c r="X570" s="28">
        <v>0.92</v>
      </c>
      <c r="Y570" s="28">
        <v>0</v>
      </c>
      <c r="Z570" s="28">
        <v>0</v>
      </c>
      <c r="AA570" s="28">
        <v>0</v>
      </c>
      <c r="AB570" s="28">
        <v>0</v>
      </c>
      <c r="AC570" s="28">
        <v>0.92</v>
      </c>
      <c r="AD570" s="26">
        <v>0.97872340425531901</v>
      </c>
      <c r="AE570" s="26">
        <v>0.76315789473684204</v>
      </c>
      <c r="AF570" s="26">
        <v>0.86666666666666703</v>
      </c>
      <c r="AG570" s="26">
        <v>0.91600000000000004</v>
      </c>
      <c r="AH570" s="28">
        <v>0.92</v>
      </c>
      <c r="AI570" s="26">
        <v>0.97633872976338698</v>
      </c>
      <c r="AJ570" s="26">
        <v>0.96751306945481697</v>
      </c>
      <c r="AK570" s="26">
        <v>0.97538461538461496</v>
      </c>
      <c r="AL570" s="26">
        <v>0.97241546675295298</v>
      </c>
      <c r="AM570" s="25">
        <v>0.99</v>
      </c>
      <c r="AN570" s="30">
        <v>1</v>
      </c>
      <c r="AO570" s="30">
        <v>1</v>
      </c>
      <c r="AP570" s="30">
        <v>1</v>
      </c>
      <c r="AQ570" s="30">
        <v>1</v>
      </c>
      <c r="AR570" s="50">
        <v>0.05</v>
      </c>
      <c r="AS570" s="34">
        <v>0</v>
      </c>
      <c r="AT570" s="34">
        <v>0</v>
      </c>
      <c r="AU570" s="34">
        <v>0</v>
      </c>
      <c r="AV570" s="34">
        <v>0.11111111111111099</v>
      </c>
      <c r="AW570" s="10"/>
      <c r="AX570" s="8"/>
    </row>
    <row r="571" spans="1:50">
      <c r="A571" s="7"/>
      <c r="B571" s="10"/>
      <c r="C571" s="45" t="s">
        <v>396</v>
      </c>
      <c r="D571" s="23" t="s">
        <v>19</v>
      </c>
      <c r="E571" s="46" t="s">
        <v>617</v>
      </c>
      <c r="F571" s="46" t="s">
        <v>617</v>
      </c>
      <c r="G571" s="46" t="s">
        <v>617</v>
      </c>
      <c r="H571" s="46" t="s">
        <v>617</v>
      </c>
      <c r="I571" s="25">
        <v>0.9</v>
      </c>
      <c r="J571" s="26">
        <v>0.81481481481481499</v>
      </c>
      <c r="K571" s="26">
        <v>0.86792452830188704</v>
      </c>
      <c r="L571" s="27">
        <v>0.875</v>
      </c>
      <c r="M571" s="26">
        <v>0.82499999999999996</v>
      </c>
      <c r="N571" s="28">
        <v>0.9</v>
      </c>
      <c r="O571" s="26">
        <v>0.83900643974240996</v>
      </c>
      <c r="P571" s="26">
        <v>0.79755987347492097</v>
      </c>
      <c r="Q571" s="26">
        <v>0.84653465346534695</v>
      </c>
      <c r="R571" s="26">
        <v>0.83110429447852796</v>
      </c>
      <c r="S571" s="28">
        <v>0.9</v>
      </c>
      <c r="T571" s="26">
        <v>0.91413676786261899</v>
      </c>
      <c r="U571" s="26">
        <v>0.915047446904654</v>
      </c>
      <c r="V571" s="26">
        <v>0.87128712871287095</v>
      </c>
      <c r="W571" s="26">
        <v>0.90251533742331302</v>
      </c>
      <c r="X571" s="28">
        <v>0.92</v>
      </c>
      <c r="Y571" s="28">
        <v>0.91750741839762595</v>
      </c>
      <c r="Z571" s="28">
        <v>0.95653442240373399</v>
      </c>
      <c r="AA571" s="28">
        <v>0.95262704565030099</v>
      </c>
      <c r="AB571" s="28">
        <v>0.93346526180670697</v>
      </c>
      <c r="AC571" s="28">
        <v>0.92</v>
      </c>
      <c r="AD571" s="26">
        <v>0.99747474747474796</v>
      </c>
      <c r="AE571" s="26">
        <v>0.98684210526315796</v>
      </c>
      <c r="AF571" s="26">
        <v>0.967741935483871</v>
      </c>
      <c r="AG571" s="26">
        <v>0.92409240924092395</v>
      </c>
      <c r="AH571" s="28">
        <v>0.92</v>
      </c>
      <c r="AI571" s="26">
        <v>0.942887281494876</v>
      </c>
      <c r="AJ571" s="26">
        <v>0.97021005728835097</v>
      </c>
      <c r="AK571" s="26">
        <v>0.96031409168081505</v>
      </c>
      <c r="AL571" s="26">
        <v>0.95231028282770602</v>
      </c>
      <c r="AM571" s="25">
        <v>0.99</v>
      </c>
      <c r="AN571" s="30">
        <v>1</v>
      </c>
      <c r="AO571" s="30">
        <v>1</v>
      </c>
      <c r="AP571" s="30">
        <v>1</v>
      </c>
      <c r="AQ571" s="30">
        <v>1</v>
      </c>
      <c r="AR571" s="50">
        <v>0.05</v>
      </c>
      <c r="AS571" s="34">
        <v>3.2258064516128997E-2</v>
      </c>
      <c r="AT571" s="34">
        <v>0.13793103448275901</v>
      </c>
      <c r="AU571" s="34">
        <v>0</v>
      </c>
      <c r="AV571" s="34">
        <v>8.3969465648855005E-2</v>
      </c>
      <c r="AW571" s="10"/>
      <c r="AX571" s="8"/>
    </row>
    <row r="572" spans="1:50">
      <c r="A572" s="7"/>
      <c r="B572" s="10"/>
      <c r="C572" s="45" t="s">
        <v>396</v>
      </c>
      <c r="D572" s="23" t="s">
        <v>19</v>
      </c>
      <c r="E572" s="46" t="s">
        <v>618</v>
      </c>
      <c r="F572" s="46" t="s">
        <v>618</v>
      </c>
      <c r="G572" s="46" t="s">
        <v>618</v>
      </c>
      <c r="H572" s="46" t="s">
        <v>618</v>
      </c>
      <c r="I572" s="25">
        <v>0.9</v>
      </c>
      <c r="J572" s="26">
        <v>0.98214285714285698</v>
      </c>
      <c r="K572" s="26">
        <v>0.98245614035087703</v>
      </c>
      <c r="L572" s="27">
        <v>0.97959183673469397</v>
      </c>
      <c r="M572" s="26">
        <v>0.980582524271845</v>
      </c>
      <c r="N572" s="28">
        <v>0.9</v>
      </c>
      <c r="O572" s="26">
        <v>0.99005134788189997</v>
      </c>
      <c r="P572" s="26">
        <v>0.96255098257322902</v>
      </c>
      <c r="Q572" s="26">
        <v>0.98855086686293703</v>
      </c>
      <c r="R572" s="26">
        <v>0.98075803446669796</v>
      </c>
      <c r="S572" s="28">
        <v>0.9</v>
      </c>
      <c r="T572" s="26">
        <v>0.87227214377406903</v>
      </c>
      <c r="U572" s="26">
        <v>0.87430478309232496</v>
      </c>
      <c r="V572" s="26">
        <v>0.91691200523388905</v>
      </c>
      <c r="W572" s="26">
        <v>0.87447601304145295</v>
      </c>
      <c r="X572" s="28">
        <v>0.92</v>
      </c>
      <c r="Y572" s="28">
        <v>0.61538461538461497</v>
      </c>
      <c r="Z572" s="28">
        <v>0.875</v>
      </c>
      <c r="AA572" s="28">
        <v>0</v>
      </c>
      <c r="AB572" s="28">
        <v>0.71428571428571397</v>
      </c>
      <c r="AC572" s="28">
        <v>0.92</v>
      </c>
      <c r="AD572" s="26">
        <v>0.99656750572082398</v>
      </c>
      <c r="AE572" s="26">
        <v>0.99164229001253701</v>
      </c>
      <c r="AF572" s="26">
        <v>0.98716971544715404</v>
      </c>
      <c r="AG572" s="26">
        <v>0.991062245947402</v>
      </c>
      <c r="AH572" s="28">
        <v>0.92</v>
      </c>
      <c r="AI572" s="26">
        <v>0.96852532353411103</v>
      </c>
      <c r="AJ572" s="26">
        <v>0.97582932544086798</v>
      </c>
      <c r="AK572" s="26">
        <v>0.97677461563624501</v>
      </c>
      <c r="AL572" s="26">
        <v>0.97121925693354305</v>
      </c>
      <c r="AM572" s="25">
        <v>0.99</v>
      </c>
      <c r="AN572" s="30">
        <v>1</v>
      </c>
      <c r="AO572" s="30">
        <v>1</v>
      </c>
      <c r="AP572" s="30">
        <v>1</v>
      </c>
      <c r="AQ572" s="30">
        <v>1</v>
      </c>
      <c r="AR572" s="50">
        <v>0.05</v>
      </c>
      <c r="AS572" s="34">
        <v>0</v>
      </c>
      <c r="AT572" s="34">
        <v>7.69230769230769E-2</v>
      </c>
      <c r="AU572" s="34">
        <v>0</v>
      </c>
      <c r="AV572" s="34">
        <v>2.02020202020202E-2</v>
      </c>
      <c r="AW572" s="10"/>
      <c r="AX572" s="8"/>
    </row>
    <row r="573" spans="1:50">
      <c r="A573" s="7"/>
      <c r="B573" s="10"/>
      <c r="C573" s="45" t="s">
        <v>396</v>
      </c>
      <c r="D573" s="23" t="s">
        <v>19</v>
      </c>
      <c r="E573" s="46" t="s">
        <v>619</v>
      </c>
      <c r="F573" s="46" t="s">
        <v>619</v>
      </c>
      <c r="G573" s="46" t="s">
        <v>619</v>
      </c>
      <c r="H573" s="46" t="s">
        <v>619</v>
      </c>
      <c r="I573" s="25">
        <v>0.9</v>
      </c>
      <c r="J573" s="26">
        <v>0.96551724137931005</v>
      </c>
      <c r="K573" s="26">
        <v>1</v>
      </c>
      <c r="L573" s="27">
        <v>1</v>
      </c>
      <c r="M573" s="26">
        <v>0.99358974358974395</v>
      </c>
      <c r="N573" s="28">
        <v>0.9</v>
      </c>
      <c r="O573" s="26">
        <v>0.99371633752244204</v>
      </c>
      <c r="P573" s="26">
        <v>0.99305796598403295</v>
      </c>
      <c r="Q573" s="26">
        <v>0.92745098039215701</v>
      </c>
      <c r="R573" s="26">
        <v>0.98739321555942605</v>
      </c>
      <c r="S573" s="28">
        <v>0.9</v>
      </c>
      <c r="T573" s="26">
        <v>0.90080789946140005</v>
      </c>
      <c r="U573" s="26">
        <v>0.78514404720583097</v>
      </c>
      <c r="V573" s="26">
        <v>0.89509803921568598</v>
      </c>
      <c r="W573" s="26">
        <v>0.86970224765696302</v>
      </c>
      <c r="X573" s="28">
        <v>0.92</v>
      </c>
      <c r="Y573" s="28">
        <v>0.91409691629955903</v>
      </c>
      <c r="Z573" s="28">
        <v>0.86440677966101698</v>
      </c>
      <c r="AA573" s="28">
        <v>0.80821917808219201</v>
      </c>
      <c r="AB573" s="28">
        <v>0.84948096885813196</v>
      </c>
      <c r="AC573" s="28">
        <v>0.92</v>
      </c>
      <c r="AD573" s="26">
        <v>0.99873657612128897</v>
      </c>
      <c r="AE573" s="26">
        <v>0.98992161254199296</v>
      </c>
      <c r="AF573" s="26">
        <v>0.99122325836533198</v>
      </c>
      <c r="AG573" s="26">
        <v>0.992965211525489</v>
      </c>
      <c r="AH573" s="28">
        <v>0.92</v>
      </c>
      <c r="AI573" s="26">
        <v>0.96757361162877398</v>
      </c>
      <c r="AJ573" s="26">
        <v>0.96834701055099603</v>
      </c>
      <c r="AK573" s="26">
        <v>0.91084788029925201</v>
      </c>
      <c r="AL573" s="26">
        <v>0.95758629917045801</v>
      </c>
      <c r="AM573" s="25">
        <v>0.99</v>
      </c>
      <c r="AN573" s="30">
        <v>1</v>
      </c>
      <c r="AO573" s="30">
        <v>1</v>
      </c>
      <c r="AP573" s="30">
        <v>1</v>
      </c>
      <c r="AQ573" s="30">
        <v>1</v>
      </c>
      <c r="AR573" s="50">
        <v>0.05</v>
      </c>
      <c r="AS573" s="34">
        <v>0.16666666666666699</v>
      </c>
      <c r="AT573" s="34">
        <v>0.1</v>
      </c>
      <c r="AU573" s="34">
        <v>0.125</v>
      </c>
      <c r="AV573" s="34">
        <v>0.06</v>
      </c>
      <c r="AW573" s="10"/>
      <c r="AX573" s="8"/>
    </row>
    <row r="574" spans="1:50">
      <c r="A574" s="7"/>
      <c r="B574" s="10"/>
      <c r="C574" s="45" t="s">
        <v>396</v>
      </c>
      <c r="D574" s="23" t="s">
        <v>19</v>
      </c>
      <c r="E574" s="46" t="s">
        <v>620</v>
      </c>
      <c r="F574" s="46" t="s">
        <v>620</v>
      </c>
      <c r="G574" s="46" t="s">
        <v>620</v>
      </c>
      <c r="H574" s="46" t="s">
        <v>620</v>
      </c>
      <c r="I574" s="25">
        <v>0.9</v>
      </c>
      <c r="J574" s="26">
        <v>1</v>
      </c>
      <c r="K574" s="26">
        <v>0.96428571428571397</v>
      </c>
      <c r="L574" s="27">
        <v>0.96</v>
      </c>
      <c r="M574" s="26">
        <v>0.97499999999999998</v>
      </c>
      <c r="N574" s="28">
        <v>0.9</v>
      </c>
      <c r="O574" s="26">
        <v>0.99102773246329501</v>
      </c>
      <c r="P574" s="26">
        <v>0.99741351438732595</v>
      </c>
      <c r="Q574" s="26">
        <v>0.99095394736842102</v>
      </c>
      <c r="R574" s="26">
        <v>0.988367614205377</v>
      </c>
      <c r="S574" s="28">
        <v>0.9</v>
      </c>
      <c r="T574" s="26">
        <v>0.90905383360521996</v>
      </c>
      <c r="U574" s="26">
        <v>0.89201422567086996</v>
      </c>
      <c r="V574" s="26">
        <v>0.93914473684210498</v>
      </c>
      <c r="W574" s="26">
        <v>0.90093213157691998</v>
      </c>
      <c r="X574" s="28">
        <v>0.92</v>
      </c>
      <c r="Y574" s="28">
        <v>0.81974248927038595</v>
      </c>
      <c r="Z574" s="28">
        <v>0.94329896907216504</v>
      </c>
      <c r="AA574" s="28">
        <v>0.93205574912891997</v>
      </c>
      <c r="AB574" s="28">
        <v>0.88165075034106399</v>
      </c>
      <c r="AC574" s="28">
        <v>0.92</v>
      </c>
      <c r="AD574" s="26">
        <v>0.99711864406779704</v>
      </c>
      <c r="AE574" s="26">
        <v>0.99679720483330903</v>
      </c>
      <c r="AF574" s="26">
        <v>0.99741073862087803</v>
      </c>
      <c r="AG574" s="26">
        <v>0.99772721892090199</v>
      </c>
      <c r="AH574" s="28">
        <v>0.92</v>
      </c>
      <c r="AI574" s="26">
        <v>0.95066803699897195</v>
      </c>
      <c r="AJ574" s="26">
        <v>0.97904761904761906</v>
      </c>
      <c r="AK574" s="26">
        <v>0.96703910614525102</v>
      </c>
      <c r="AL574" s="26">
        <v>0.96004021110831905</v>
      </c>
      <c r="AM574" s="25">
        <v>0.99</v>
      </c>
      <c r="AN574" s="30">
        <v>1</v>
      </c>
      <c r="AO574" s="30">
        <v>1</v>
      </c>
      <c r="AP574" s="30">
        <v>1</v>
      </c>
      <c r="AQ574" s="30">
        <v>1</v>
      </c>
      <c r="AR574" s="50">
        <v>0.05</v>
      </c>
      <c r="AS574" s="34">
        <v>0.125</v>
      </c>
      <c r="AT574" s="34">
        <v>0.125</v>
      </c>
      <c r="AU574" s="34">
        <v>0</v>
      </c>
      <c r="AV574" s="34">
        <v>6.6666666666666693E-2</v>
      </c>
      <c r="AW574" s="10"/>
      <c r="AX574" s="8"/>
    </row>
    <row r="575" spans="1:50">
      <c r="A575" s="7"/>
      <c r="B575" s="10"/>
      <c r="C575" s="45" t="s">
        <v>396</v>
      </c>
      <c r="D575" s="23" t="s">
        <v>19</v>
      </c>
      <c r="E575" s="46" t="s">
        <v>621</v>
      </c>
      <c r="F575" s="46" t="s">
        <v>621</v>
      </c>
      <c r="G575" s="46" t="s">
        <v>621</v>
      </c>
      <c r="H575" s="46" t="s">
        <v>621</v>
      </c>
      <c r="I575" s="25">
        <v>0.9</v>
      </c>
      <c r="J575" s="26">
        <v>1</v>
      </c>
      <c r="K575" s="26">
        <v>1</v>
      </c>
      <c r="L575" s="27">
        <v>1</v>
      </c>
      <c r="M575" s="26">
        <v>1</v>
      </c>
      <c r="N575" s="28">
        <v>0.9</v>
      </c>
      <c r="O575" s="26">
        <v>0</v>
      </c>
      <c r="P575" s="26">
        <v>0</v>
      </c>
      <c r="Q575" s="26">
        <v>0</v>
      </c>
      <c r="R575" s="26">
        <v>0</v>
      </c>
      <c r="S575" s="28">
        <v>0.9</v>
      </c>
      <c r="T575" s="26">
        <v>0</v>
      </c>
      <c r="U575" s="26">
        <v>0</v>
      </c>
      <c r="V575" s="26">
        <v>0</v>
      </c>
      <c r="W575" s="26">
        <v>0</v>
      </c>
      <c r="X575" s="28">
        <v>0.92</v>
      </c>
      <c r="Y575" s="28">
        <v>0</v>
      </c>
      <c r="Z575" s="28">
        <v>0</v>
      </c>
      <c r="AA575" s="28">
        <v>0</v>
      </c>
      <c r="AB575" s="28">
        <v>0</v>
      </c>
      <c r="AC575" s="28">
        <v>0.92</v>
      </c>
      <c r="AD575" s="26">
        <v>0.99735449735449699</v>
      </c>
      <c r="AE575" s="26">
        <v>0.99094202898550698</v>
      </c>
      <c r="AF575" s="26">
        <v>0.98382749326145602</v>
      </c>
      <c r="AG575" s="26">
        <v>0.99053388867853098</v>
      </c>
      <c r="AH575" s="28">
        <v>0.92</v>
      </c>
      <c r="AI575" s="26">
        <v>0.97441535078952601</v>
      </c>
      <c r="AJ575" s="26">
        <v>0.97286821705426396</v>
      </c>
      <c r="AK575" s="26">
        <v>0.95099230457675199</v>
      </c>
      <c r="AL575" s="26">
        <v>0.97174836248470498</v>
      </c>
      <c r="AM575" s="25">
        <v>0.99</v>
      </c>
      <c r="AN575" s="30">
        <v>1</v>
      </c>
      <c r="AO575" s="30">
        <v>1</v>
      </c>
      <c r="AP575" s="30">
        <v>1</v>
      </c>
      <c r="AQ575" s="30">
        <v>1</v>
      </c>
      <c r="AR575" s="50">
        <v>0.05</v>
      </c>
      <c r="AS575" s="34">
        <v>5.8823529411764698E-2</v>
      </c>
      <c r="AT575" s="34">
        <v>0</v>
      </c>
      <c r="AU575" s="34">
        <v>0</v>
      </c>
      <c r="AV575" s="34">
        <v>5.3763440860215103E-2</v>
      </c>
      <c r="AW575" s="10"/>
      <c r="AX575" s="8"/>
    </row>
    <row r="576" spans="1:50">
      <c r="A576" s="7"/>
      <c r="B576" s="10"/>
      <c r="C576" s="45" t="s">
        <v>396</v>
      </c>
      <c r="D576" s="23" t="s">
        <v>19</v>
      </c>
      <c r="E576" s="46" t="s">
        <v>622</v>
      </c>
      <c r="F576" s="46" t="s">
        <v>622</v>
      </c>
      <c r="G576" s="46" t="s">
        <v>622</v>
      </c>
      <c r="H576" s="46" t="s">
        <v>622</v>
      </c>
      <c r="I576" s="25">
        <v>0.9</v>
      </c>
      <c r="J576" s="26">
        <v>1</v>
      </c>
      <c r="K576" s="26">
        <v>0.9375</v>
      </c>
      <c r="L576" s="27">
        <v>0.9375</v>
      </c>
      <c r="M576" s="26">
        <v>0.97938144329896903</v>
      </c>
      <c r="N576" s="28">
        <v>0.9</v>
      </c>
      <c r="O576" s="26">
        <v>0.96997389033942605</v>
      </c>
      <c r="P576" s="26">
        <v>0.98043864848844098</v>
      </c>
      <c r="Q576" s="26">
        <v>0.99130434782608701</v>
      </c>
      <c r="R576" s="26">
        <v>0.98137050547159999</v>
      </c>
      <c r="S576" s="28">
        <v>0.9</v>
      </c>
      <c r="T576" s="26">
        <v>0.92950391644908603</v>
      </c>
      <c r="U576" s="26">
        <v>0.92531120331950201</v>
      </c>
      <c r="V576" s="26">
        <v>0.97515527950310599</v>
      </c>
      <c r="W576" s="26">
        <v>0.93551328817092205</v>
      </c>
      <c r="X576" s="28">
        <v>0.92</v>
      </c>
      <c r="Y576" s="28">
        <v>0.95392953929539304</v>
      </c>
      <c r="Z576" s="28">
        <v>0.95372750642673498</v>
      </c>
      <c r="AA576" s="28">
        <v>0.94036697247706402</v>
      </c>
      <c r="AB576" s="28">
        <v>0.94508009153318095</v>
      </c>
      <c r="AC576" s="28">
        <v>0.92</v>
      </c>
      <c r="AD576" s="26">
        <v>0.97143817204301097</v>
      </c>
      <c r="AE576" s="26">
        <v>0.99439050701186604</v>
      </c>
      <c r="AF576" s="26">
        <v>0.99479225631155899</v>
      </c>
      <c r="AG576" s="26">
        <v>0.869468654933652</v>
      </c>
      <c r="AH576" s="28">
        <v>0.92</v>
      </c>
      <c r="AI576" s="26">
        <v>0.96481092436974802</v>
      </c>
      <c r="AJ576" s="26">
        <v>0.96968238691049102</v>
      </c>
      <c r="AK576" s="26">
        <v>0.97020933977455703</v>
      </c>
      <c r="AL576" s="26">
        <v>0.97152123239079802</v>
      </c>
      <c r="AM576" s="25">
        <v>0.99</v>
      </c>
      <c r="AN576" s="30">
        <v>1</v>
      </c>
      <c r="AO576" s="30">
        <v>1</v>
      </c>
      <c r="AP576" s="30">
        <v>1</v>
      </c>
      <c r="AQ576" s="30">
        <v>1</v>
      </c>
      <c r="AR576" s="50">
        <v>0.05</v>
      </c>
      <c r="AS576" s="34">
        <v>0</v>
      </c>
      <c r="AT576" s="34">
        <v>0</v>
      </c>
      <c r="AU576" s="34">
        <v>0</v>
      </c>
      <c r="AV576" s="34">
        <v>0</v>
      </c>
      <c r="AW576" s="10"/>
      <c r="AX576" s="8"/>
    </row>
    <row r="577" spans="1:50">
      <c r="A577" s="7"/>
      <c r="B577" s="10"/>
      <c r="C577" s="45" t="s">
        <v>396</v>
      </c>
      <c r="D577" s="23" t="s">
        <v>19</v>
      </c>
      <c r="E577" s="46" t="s">
        <v>623</v>
      </c>
      <c r="F577" s="46" t="s">
        <v>623</v>
      </c>
      <c r="G577" s="46" t="s">
        <v>623</v>
      </c>
      <c r="H577" s="46" t="s">
        <v>623</v>
      </c>
      <c r="I577" s="25">
        <v>0.9</v>
      </c>
      <c r="J577" s="26">
        <v>1</v>
      </c>
      <c r="K577" s="26">
        <v>1</v>
      </c>
      <c r="L577" s="27">
        <v>0.95833333333333304</v>
      </c>
      <c r="M577" s="26">
        <v>0.97278911564625803</v>
      </c>
      <c r="N577" s="28">
        <v>0.9</v>
      </c>
      <c r="O577" s="26">
        <v>0.988276161528441</v>
      </c>
      <c r="P577" s="26">
        <v>0.99077150239940903</v>
      </c>
      <c r="Q577" s="26">
        <v>0.98689002184996399</v>
      </c>
      <c r="R577" s="26">
        <v>0.98780983340105599</v>
      </c>
      <c r="S577" s="28">
        <v>0.9</v>
      </c>
      <c r="T577" s="26">
        <v>0.953104646113765</v>
      </c>
      <c r="U577" s="26">
        <v>0.94425987449243298</v>
      </c>
      <c r="V577" s="26">
        <v>0.97378004369992699</v>
      </c>
      <c r="W577" s="26">
        <v>0.95018285249898404</v>
      </c>
      <c r="X577" s="28">
        <v>0.92</v>
      </c>
      <c r="Y577" s="28">
        <v>0.96784073506891299</v>
      </c>
      <c r="Z577" s="28">
        <v>0.97619047619047605</v>
      </c>
      <c r="AA577" s="28">
        <v>0.97831325301204797</v>
      </c>
      <c r="AB577" s="28">
        <v>0.97549530761209602</v>
      </c>
      <c r="AC577" s="28">
        <v>0.92</v>
      </c>
      <c r="AD577" s="26">
        <v>0.99462705436156795</v>
      </c>
      <c r="AE577" s="26">
        <v>0.99072181160559802</v>
      </c>
      <c r="AF577" s="26">
        <v>0.92446497670378303</v>
      </c>
      <c r="AG577" s="26">
        <v>0.87849203440995305</v>
      </c>
      <c r="AH577" s="28">
        <v>0.92</v>
      </c>
      <c r="AI577" s="26">
        <v>0.97701149425287404</v>
      </c>
      <c r="AJ577" s="26">
        <v>0.98521147589470603</v>
      </c>
      <c r="AK577" s="26">
        <v>0.98865698729582596</v>
      </c>
      <c r="AL577" s="26">
        <v>0.98420661464139703</v>
      </c>
      <c r="AM577" s="25">
        <v>0.99</v>
      </c>
      <c r="AN577" s="30">
        <v>1</v>
      </c>
      <c r="AO577" s="30">
        <v>1</v>
      </c>
      <c r="AP577" s="30">
        <v>1</v>
      </c>
      <c r="AQ577" s="30">
        <v>1</v>
      </c>
      <c r="AR577" s="50">
        <v>0.05</v>
      </c>
      <c r="AS577" s="34">
        <v>0.11111111111111099</v>
      </c>
      <c r="AT577" s="34">
        <v>0</v>
      </c>
      <c r="AU577" s="34">
        <v>0</v>
      </c>
      <c r="AV577" s="34">
        <v>1.88679245283019E-2</v>
      </c>
      <c r="AW577" s="10"/>
      <c r="AX577" s="8"/>
    </row>
    <row r="578" spans="1:50">
      <c r="A578" s="7"/>
      <c r="B578" s="10"/>
      <c r="C578" s="45" t="s">
        <v>396</v>
      </c>
      <c r="D578" s="23" t="s">
        <v>19</v>
      </c>
      <c r="E578" s="46" t="s">
        <v>624</v>
      </c>
      <c r="F578" s="46" t="s">
        <v>624</v>
      </c>
      <c r="G578" s="46" t="s">
        <v>624</v>
      </c>
      <c r="H578" s="46" t="s">
        <v>624</v>
      </c>
      <c r="I578" s="25">
        <v>0.9</v>
      </c>
      <c r="J578" s="26">
        <v>0.96428571428571397</v>
      </c>
      <c r="K578" s="26">
        <v>0.96666666666666701</v>
      </c>
      <c r="L578" s="27">
        <v>0.97619047619047605</v>
      </c>
      <c r="M578" s="26">
        <v>0.98119122257053304</v>
      </c>
      <c r="N578" s="28">
        <v>0.9</v>
      </c>
      <c r="O578" s="26">
        <v>0.97051810101886005</v>
      </c>
      <c r="P578" s="26">
        <v>0.97392529950669504</v>
      </c>
      <c r="Q578" s="26">
        <v>0.97863061491495895</v>
      </c>
      <c r="R578" s="26">
        <v>0.97652329005765504</v>
      </c>
      <c r="S578" s="28">
        <v>0.9</v>
      </c>
      <c r="T578" s="26">
        <v>0.91025363104270496</v>
      </c>
      <c r="U578" s="26">
        <v>0.88248766737138795</v>
      </c>
      <c r="V578" s="26">
        <v>0.92673353685128701</v>
      </c>
      <c r="W578" s="26">
        <v>0.90617611680285404</v>
      </c>
      <c r="X578" s="28">
        <v>0.92</v>
      </c>
      <c r="Y578" s="28">
        <v>0.79959514170040502</v>
      </c>
      <c r="Z578" s="28">
        <v>0.84588744588744602</v>
      </c>
      <c r="AA578" s="28">
        <v>0.81790359602142304</v>
      </c>
      <c r="AB578" s="28">
        <v>0.81542092840283198</v>
      </c>
      <c r="AC578" s="28">
        <v>0.92</v>
      </c>
      <c r="AD578" s="26">
        <v>0.99316704627520702</v>
      </c>
      <c r="AE578" s="26">
        <v>0.99050267604155695</v>
      </c>
      <c r="AF578" s="26">
        <v>0.98658979286782</v>
      </c>
      <c r="AG578" s="26">
        <v>0.98308290427655798</v>
      </c>
      <c r="AH578" s="28">
        <v>0.92</v>
      </c>
      <c r="AI578" s="26">
        <v>0.94168004280363804</v>
      </c>
      <c r="AJ578" s="26">
        <v>0.95682084309133497</v>
      </c>
      <c r="AK578" s="26">
        <v>0.922799222438212</v>
      </c>
      <c r="AL578" s="26">
        <v>0.94500410172272398</v>
      </c>
      <c r="AM578" s="25">
        <v>0.99</v>
      </c>
      <c r="AN578" s="30">
        <v>1</v>
      </c>
      <c r="AO578" s="30">
        <v>1</v>
      </c>
      <c r="AP578" s="30">
        <v>1</v>
      </c>
      <c r="AQ578" s="30">
        <v>1</v>
      </c>
      <c r="AR578" s="50">
        <v>0.05</v>
      </c>
      <c r="AS578" s="34">
        <v>0</v>
      </c>
      <c r="AT578" s="34">
        <v>0.14285714285714299</v>
      </c>
      <c r="AU578" s="34">
        <v>0</v>
      </c>
      <c r="AV578" s="34">
        <v>-0.01</v>
      </c>
      <c r="AW578" s="10"/>
      <c r="AX578" s="8"/>
    </row>
    <row r="579" spans="1:50">
      <c r="A579" s="7"/>
      <c r="B579" s="10"/>
      <c r="C579" s="45" t="s">
        <v>396</v>
      </c>
      <c r="D579" s="23" t="s">
        <v>19</v>
      </c>
      <c r="E579" s="46" t="s">
        <v>625</v>
      </c>
      <c r="F579" s="46" t="s">
        <v>625</v>
      </c>
      <c r="G579" s="46" t="s">
        <v>625</v>
      </c>
      <c r="H579" s="46" t="s">
        <v>625</v>
      </c>
      <c r="I579" s="25">
        <v>0.9</v>
      </c>
      <c r="J579" s="26">
        <v>0.931034482758621</v>
      </c>
      <c r="K579" s="26">
        <v>0.93548387096774199</v>
      </c>
      <c r="L579" s="27">
        <v>0.81481481481481499</v>
      </c>
      <c r="M579" s="26">
        <v>0.877300613496933</v>
      </c>
      <c r="N579" s="28">
        <v>0.9</v>
      </c>
      <c r="O579" s="26">
        <v>0.96965040338071495</v>
      </c>
      <c r="P579" s="26">
        <v>0.93533123028391196</v>
      </c>
      <c r="Q579" s="26">
        <v>0.99158249158249201</v>
      </c>
      <c r="R579" s="26">
        <v>0.97164258962011796</v>
      </c>
      <c r="S579" s="28">
        <v>0.9</v>
      </c>
      <c r="T579" s="26">
        <v>0.84940453323088705</v>
      </c>
      <c r="U579" s="26">
        <v>0.843217665615142</v>
      </c>
      <c r="V579" s="26">
        <v>0.95286195286195297</v>
      </c>
      <c r="W579" s="26">
        <v>0.85721929221126703</v>
      </c>
      <c r="X579" s="28">
        <v>0.92</v>
      </c>
      <c r="Y579" s="28">
        <v>0.88245931283905998</v>
      </c>
      <c r="Z579" s="28">
        <v>0.89952904238618503</v>
      </c>
      <c r="AA579" s="28">
        <v>0.95230524642289305</v>
      </c>
      <c r="AB579" s="28">
        <v>0.91328758577666902</v>
      </c>
      <c r="AC579" s="28">
        <v>0.92</v>
      </c>
      <c r="AD579" s="26">
        <v>0.99695906432748504</v>
      </c>
      <c r="AE579" s="26">
        <v>0.99006547753443197</v>
      </c>
      <c r="AF579" s="26">
        <v>0.99374609130706704</v>
      </c>
      <c r="AG579" s="26">
        <v>0.98901559937449901</v>
      </c>
      <c r="AH579" s="28">
        <v>0.92</v>
      </c>
      <c r="AI579" s="26">
        <v>0.93860759493670898</v>
      </c>
      <c r="AJ579" s="26">
        <v>0.96848739495798297</v>
      </c>
      <c r="AK579" s="26">
        <v>0.97138139790864098</v>
      </c>
      <c r="AL579" s="26">
        <v>0.95925630484138202</v>
      </c>
      <c r="AM579" s="25">
        <v>0.99</v>
      </c>
      <c r="AN579" s="30">
        <v>1</v>
      </c>
      <c r="AO579" s="30">
        <v>1</v>
      </c>
      <c r="AP579" s="30">
        <v>1</v>
      </c>
      <c r="AQ579" s="30">
        <v>1</v>
      </c>
      <c r="AR579" s="50">
        <v>0.05</v>
      </c>
      <c r="AS579" s="34">
        <v>7.69230769230769E-2</v>
      </c>
      <c r="AT579" s="34">
        <v>8.3333333333333301E-2</v>
      </c>
      <c r="AU579" s="34">
        <v>0</v>
      </c>
      <c r="AV579" s="34">
        <v>5.1282051282051301E-2</v>
      </c>
      <c r="AW579" s="10"/>
      <c r="AX579" s="8"/>
    </row>
    <row r="580" spans="1:50">
      <c r="A580" s="7"/>
      <c r="B580" s="10"/>
      <c r="C580" s="45" t="s">
        <v>396</v>
      </c>
      <c r="D580" s="23" t="s">
        <v>19</v>
      </c>
      <c r="E580" s="46" t="s">
        <v>626</v>
      </c>
      <c r="F580" s="46" t="s">
        <v>626</v>
      </c>
      <c r="G580" s="46" t="s">
        <v>626</v>
      </c>
      <c r="H580" s="46" t="s">
        <v>626</v>
      </c>
      <c r="I580" s="25">
        <v>0.9</v>
      </c>
      <c r="J580" s="26">
        <v>1</v>
      </c>
      <c r="K580" s="26">
        <v>0.97872340425531901</v>
      </c>
      <c r="L580" s="27">
        <v>0.97222222222222199</v>
      </c>
      <c r="M580" s="26">
        <v>0.99193548387096797</v>
      </c>
      <c r="N580" s="28">
        <v>0.9</v>
      </c>
      <c r="O580" s="26">
        <v>0.33333333333333298</v>
      </c>
      <c r="P580" s="26">
        <v>1</v>
      </c>
      <c r="Q580" s="26">
        <v>0</v>
      </c>
      <c r="R580" s="26">
        <v>0.6</v>
      </c>
      <c r="S580" s="28">
        <v>0.9</v>
      </c>
      <c r="T580" s="26">
        <v>0</v>
      </c>
      <c r="U580" s="26">
        <v>0</v>
      </c>
      <c r="V580" s="26">
        <v>0</v>
      </c>
      <c r="W580" s="26">
        <v>0</v>
      </c>
      <c r="X580" s="28">
        <v>0.92</v>
      </c>
      <c r="Y580" s="28">
        <v>1</v>
      </c>
      <c r="Z580" s="28">
        <v>0.25</v>
      </c>
      <c r="AA580" s="28">
        <v>0</v>
      </c>
      <c r="AB580" s="28">
        <v>0.4</v>
      </c>
      <c r="AC580" s="28">
        <v>0.92</v>
      </c>
      <c r="AD580" s="26">
        <v>0.996434937611408</v>
      </c>
      <c r="AE580" s="26">
        <v>0.99629458082445599</v>
      </c>
      <c r="AF580" s="26">
        <v>0.98296199213630397</v>
      </c>
      <c r="AG580" s="26">
        <v>0.99142810933203995</v>
      </c>
      <c r="AH580" s="28">
        <v>0.92</v>
      </c>
      <c r="AI580" s="26">
        <v>0.95681265206812605</v>
      </c>
      <c r="AJ580" s="26">
        <v>0.96021699819168205</v>
      </c>
      <c r="AK580" s="26">
        <v>0.92252510760401696</v>
      </c>
      <c r="AL580" s="26">
        <v>0.92749043738566395</v>
      </c>
      <c r="AM580" s="25">
        <v>0.99</v>
      </c>
      <c r="AN580" s="30">
        <v>1</v>
      </c>
      <c r="AO580" s="30">
        <v>1</v>
      </c>
      <c r="AP580" s="30">
        <v>1</v>
      </c>
      <c r="AQ580" s="30">
        <v>1</v>
      </c>
      <c r="AR580" s="50">
        <v>0.05</v>
      </c>
      <c r="AS580" s="34">
        <v>0</v>
      </c>
      <c r="AT580" s="34">
        <v>7.69230769230769E-2</v>
      </c>
      <c r="AU580" s="34">
        <v>0</v>
      </c>
      <c r="AV580" s="34">
        <v>6.8965517241379296E-2</v>
      </c>
      <c r="AW580" s="10"/>
      <c r="AX580" s="8"/>
    </row>
    <row r="581" spans="1:50">
      <c r="A581" s="7"/>
      <c r="B581" s="10"/>
      <c r="C581" s="45" t="s">
        <v>396</v>
      </c>
      <c r="D581" s="23" t="s">
        <v>19</v>
      </c>
      <c r="E581" s="46" t="s">
        <v>627</v>
      </c>
      <c r="F581" s="46" t="s">
        <v>627</v>
      </c>
      <c r="G581" s="46" t="s">
        <v>627</v>
      </c>
      <c r="H581" s="46" t="s">
        <v>627</v>
      </c>
      <c r="I581" s="25">
        <v>0.9</v>
      </c>
      <c r="J581" s="26">
        <v>1</v>
      </c>
      <c r="K581" s="26">
        <v>1</v>
      </c>
      <c r="L581" s="27">
        <v>0.98148148148148195</v>
      </c>
      <c r="M581" s="26">
        <v>0.98441558441558397</v>
      </c>
      <c r="N581" s="28">
        <v>0.9</v>
      </c>
      <c r="O581" s="26">
        <v>0.990253104857727</v>
      </c>
      <c r="P581" s="26">
        <v>0.99431115508285906</v>
      </c>
      <c r="Q581" s="26">
        <v>0.98056013179571699</v>
      </c>
      <c r="R581" s="26">
        <v>0.98872624247432395</v>
      </c>
      <c r="S581" s="28">
        <v>0.9</v>
      </c>
      <c r="T581" s="26">
        <v>0.89074044961484</v>
      </c>
      <c r="U581" s="26">
        <v>0.81127875340094002</v>
      </c>
      <c r="V581" s="26">
        <v>0.93377265238879703</v>
      </c>
      <c r="W581" s="26">
        <v>0.87439499468775805</v>
      </c>
      <c r="X581" s="28">
        <v>0.92</v>
      </c>
      <c r="Y581" s="28">
        <v>0.92245793708851498</v>
      </c>
      <c r="Z581" s="28">
        <v>0.88464031108230701</v>
      </c>
      <c r="AA581" s="28">
        <v>0.85817941952506605</v>
      </c>
      <c r="AB581" s="28">
        <v>0.87993117856703895</v>
      </c>
      <c r="AC581" s="28">
        <v>0.92</v>
      </c>
      <c r="AD581" s="26">
        <v>0.98663484486873498</v>
      </c>
      <c r="AE581" s="26">
        <v>0.99210526315789505</v>
      </c>
      <c r="AF581" s="26">
        <v>0.972549720138145</v>
      </c>
      <c r="AG581" s="26">
        <v>0.98334652307057102</v>
      </c>
      <c r="AH581" s="28">
        <v>0.92</v>
      </c>
      <c r="AI581" s="26">
        <v>0.96584734799482497</v>
      </c>
      <c r="AJ581" s="26">
        <v>0.96697819314641698</v>
      </c>
      <c r="AK581" s="26">
        <v>0.93451988573939804</v>
      </c>
      <c r="AL581" s="26">
        <v>0.95902439024390196</v>
      </c>
      <c r="AM581" s="25">
        <v>0.99</v>
      </c>
      <c r="AN581" s="30">
        <v>1</v>
      </c>
      <c r="AO581" s="30">
        <v>1</v>
      </c>
      <c r="AP581" s="30">
        <v>1</v>
      </c>
      <c r="AQ581" s="30">
        <v>1</v>
      </c>
      <c r="AR581" s="50">
        <v>0.05</v>
      </c>
      <c r="AS581" s="34">
        <v>-3.125E-2</v>
      </c>
      <c r="AT581" s="34">
        <v>6.25E-2</v>
      </c>
      <c r="AU581" s="34">
        <v>0.148148148148148</v>
      </c>
      <c r="AV581" s="34">
        <v>3.2967032967033003E-2</v>
      </c>
      <c r="AW581" s="10"/>
      <c r="AX581" s="8"/>
    </row>
    <row r="582" spans="1:50">
      <c r="A582" s="7"/>
      <c r="B582" s="10"/>
      <c r="C582" s="45" t="s">
        <v>396</v>
      </c>
      <c r="D582" s="23" t="s">
        <v>19</v>
      </c>
      <c r="E582" s="46" t="s">
        <v>628</v>
      </c>
      <c r="F582" s="46" t="s">
        <v>628</v>
      </c>
      <c r="G582" s="46" t="s">
        <v>628</v>
      </c>
      <c r="H582" s="46" t="s">
        <v>628</v>
      </c>
      <c r="I582" s="25">
        <v>0.9</v>
      </c>
      <c r="J582" s="26">
        <v>1</v>
      </c>
      <c r="K582" s="26">
        <v>1</v>
      </c>
      <c r="L582" s="27">
        <v>1</v>
      </c>
      <c r="M582" s="26">
        <v>1</v>
      </c>
      <c r="N582" s="28">
        <v>0.9</v>
      </c>
      <c r="O582" s="26">
        <v>0.5</v>
      </c>
      <c r="P582" s="26">
        <v>0</v>
      </c>
      <c r="Q582" s="26">
        <v>0</v>
      </c>
      <c r="R582" s="26">
        <v>0.4</v>
      </c>
      <c r="S582" s="28">
        <v>0.9</v>
      </c>
      <c r="T582" s="26">
        <v>0</v>
      </c>
      <c r="U582" s="26">
        <v>0</v>
      </c>
      <c r="V582" s="26">
        <v>0</v>
      </c>
      <c r="W582" s="26">
        <v>0</v>
      </c>
      <c r="X582" s="28">
        <v>0.92</v>
      </c>
      <c r="Y582" s="28">
        <v>0</v>
      </c>
      <c r="Z582" s="28">
        <v>0</v>
      </c>
      <c r="AA582" s="28">
        <v>0</v>
      </c>
      <c r="AB582" s="28">
        <v>0</v>
      </c>
      <c r="AC582" s="28">
        <v>0.92</v>
      </c>
      <c r="AD582" s="26">
        <v>1</v>
      </c>
      <c r="AE582" s="26">
        <v>0.99670510708402005</v>
      </c>
      <c r="AF582" s="26">
        <v>0.993610223642173</v>
      </c>
      <c r="AG582" s="26">
        <v>0.99688149688149696</v>
      </c>
      <c r="AH582" s="28">
        <v>0.92</v>
      </c>
      <c r="AI582" s="26">
        <v>0.94390972452704902</v>
      </c>
      <c r="AJ582" s="26">
        <v>0.972058446552166</v>
      </c>
      <c r="AK582" s="26">
        <v>0.96288798920377905</v>
      </c>
      <c r="AL582" s="26">
        <v>0.96484781676771403</v>
      </c>
      <c r="AM582" s="25">
        <v>0.99</v>
      </c>
      <c r="AN582" s="30">
        <v>1</v>
      </c>
      <c r="AO582" s="30">
        <v>1</v>
      </c>
      <c r="AP582" s="30">
        <v>1</v>
      </c>
      <c r="AQ582" s="30">
        <v>1</v>
      </c>
      <c r="AR582" s="50">
        <v>0.05</v>
      </c>
      <c r="AS582" s="34">
        <v>0</v>
      </c>
      <c r="AT582" s="34">
        <v>0.125</v>
      </c>
      <c r="AU582" s="34">
        <v>0</v>
      </c>
      <c r="AV582" s="34">
        <v>4.7619047619047603E-2</v>
      </c>
      <c r="AW582" s="10"/>
      <c r="AX582" s="8"/>
    </row>
    <row r="583" spans="1:50">
      <c r="A583" s="7"/>
      <c r="B583" s="10"/>
      <c r="C583" s="45" t="s">
        <v>396</v>
      </c>
      <c r="D583" s="23" t="s">
        <v>19</v>
      </c>
      <c r="E583" s="46" t="s">
        <v>629</v>
      </c>
      <c r="F583" s="46" t="s">
        <v>629</v>
      </c>
      <c r="G583" s="46" t="s">
        <v>629</v>
      </c>
      <c r="H583" s="46" t="s">
        <v>629</v>
      </c>
      <c r="I583" s="25">
        <v>0.9</v>
      </c>
      <c r="J583" s="26">
        <v>0.95348837209302295</v>
      </c>
      <c r="K583" s="26">
        <v>1</v>
      </c>
      <c r="L583" s="27">
        <v>1</v>
      </c>
      <c r="M583" s="26">
        <v>0.96326530612244898</v>
      </c>
      <c r="N583" s="28">
        <v>0.9</v>
      </c>
      <c r="O583" s="26">
        <v>0.96237718667625205</v>
      </c>
      <c r="P583" s="26">
        <v>0.96883065316656702</v>
      </c>
      <c r="Q583" s="26">
        <v>0.97827092001849303</v>
      </c>
      <c r="R583" s="26">
        <v>0.96531223668195898</v>
      </c>
      <c r="S583" s="28">
        <v>0.9</v>
      </c>
      <c r="T583" s="26">
        <v>0.94943685597891203</v>
      </c>
      <c r="U583" s="26">
        <v>0.92833035537025999</v>
      </c>
      <c r="V583" s="26">
        <v>0.942209893666204</v>
      </c>
      <c r="W583" s="26">
        <v>0.92589645164310497</v>
      </c>
      <c r="X583" s="28">
        <v>0.92</v>
      </c>
      <c r="Y583" s="28">
        <v>0.957336108220604</v>
      </c>
      <c r="Z583" s="28">
        <v>0.94112149532710299</v>
      </c>
      <c r="AA583" s="28">
        <v>0.95466210436270305</v>
      </c>
      <c r="AB583" s="28">
        <v>0.93605254061527798</v>
      </c>
      <c r="AC583" s="28">
        <v>0.92</v>
      </c>
      <c r="AD583" s="26">
        <v>0.99151743638077305</v>
      </c>
      <c r="AE583" s="26">
        <v>0.99476144876922201</v>
      </c>
      <c r="AF583" s="26">
        <v>0.99384418398502905</v>
      </c>
      <c r="AG583" s="26">
        <v>0.99412490167707401</v>
      </c>
      <c r="AH583" s="28">
        <v>0.92</v>
      </c>
      <c r="AI583" s="26">
        <v>0.98149951314508299</v>
      </c>
      <c r="AJ583" s="26">
        <v>0.97642436149312395</v>
      </c>
      <c r="AK583" s="26">
        <v>0.97209720972097202</v>
      </c>
      <c r="AL583" s="26">
        <v>0.96413183575768702</v>
      </c>
      <c r="AM583" s="25">
        <v>0.99</v>
      </c>
      <c r="AN583" s="30">
        <v>1</v>
      </c>
      <c r="AO583" s="30">
        <v>1</v>
      </c>
      <c r="AP583" s="30">
        <v>1</v>
      </c>
      <c r="AQ583" s="30">
        <v>1</v>
      </c>
      <c r="AR583" s="50">
        <v>0.05</v>
      </c>
      <c r="AS583" s="34">
        <v>8.3333333333333301E-2</v>
      </c>
      <c r="AT583" s="34">
        <v>0.04</v>
      </c>
      <c r="AU583" s="34">
        <v>4.7619047619047603E-2</v>
      </c>
      <c r="AV583" s="34">
        <v>4.72972972972973E-2</v>
      </c>
      <c r="AW583" s="10"/>
      <c r="AX583" s="8"/>
    </row>
    <row r="584" spans="1:50">
      <c r="A584" s="7"/>
      <c r="B584" s="10"/>
      <c r="C584" s="45" t="s">
        <v>396</v>
      </c>
      <c r="D584" s="23" t="s">
        <v>19</v>
      </c>
      <c r="E584" s="46" t="s">
        <v>630</v>
      </c>
      <c r="F584" s="46" t="s">
        <v>630</v>
      </c>
      <c r="G584" s="46" t="s">
        <v>630</v>
      </c>
      <c r="H584" s="46" t="s">
        <v>630</v>
      </c>
      <c r="I584" s="25">
        <v>0.9</v>
      </c>
      <c r="J584" s="26">
        <v>0.97727272727272696</v>
      </c>
      <c r="K584" s="26">
        <v>1</v>
      </c>
      <c r="L584" s="27">
        <v>1</v>
      </c>
      <c r="M584" s="26">
        <v>0.98785425101214597</v>
      </c>
      <c r="N584" s="28">
        <v>0.9</v>
      </c>
      <c r="O584" s="26">
        <v>0.99672820752512303</v>
      </c>
      <c r="P584" s="26">
        <v>0.98241392077008505</v>
      </c>
      <c r="Q584" s="26">
        <v>0.994513715710723</v>
      </c>
      <c r="R584" s="26">
        <v>0.99024037592626102</v>
      </c>
      <c r="S584" s="28">
        <v>0.9</v>
      </c>
      <c r="T584" s="26">
        <v>0.96401028277635004</v>
      </c>
      <c r="U584" s="26">
        <v>0.91262495372084396</v>
      </c>
      <c r="V584" s="26">
        <v>0.96857855361596001</v>
      </c>
      <c r="W584" s="26">
        <v>0.95273811675402098</v>
      </c>
      <c r="X584" s="28">
        <v>0.92</v>
      </c>
      <c r="Y584" s="28">
        <v>0.97094972067039098</v>
      </c>
      <c r="Z584" s="28">
        <v>0.969989281886388</v>
      </c>
      <c r="AA584" s="28">
        <v>0.978403755868545</v>
      </c>
      <c r="AB584" s="28">
        <v>0.97773241788829102</v>
      </c>
      <c r="AC584" s="28">
        <v>0.92</v>
      </c>
      <c r="AD584" s="26">
        <v>0.98149905123339698</v>
      </c>
      <c r="AE584" s="26">
        <v>0.99756838905775103</v>
      </c>
      <c r="AF584" s="26">
        <v>0.99977598566308201</v>
      </c>
      <c r="AG584" s="26">
        <v>0.98423089442656198</v>
      </c>
      <c r="AH584" s="28">
        <v>0.92</v>
      </c>
      <c r="AI584" s="26">
        <v>0.98164960401777102</v>
      </c>
      <c r="AJ584" s="26">
        <v>0.98674451633264904</v>
      </c>
      <c r="AK584" s="26">
        <v>0.98567241940735895</v>
      </c>
      <c r="AL584" s="26">
        <v>0.98685070831819799</v>
      </c>
      <c r="AM584" s="25">
        <v>0.99</v>
      </c>
      <c r="AN584" s="30">
        <v>1</v>
      </c>
      <c r="AO584" s="30">
        <v>1</v>
      </c>
      <c r="AP584" s="30">
        <v>1</v>
      </c>
      <c r="AQ584" s="30">
        <v>1</v>
      </c>
      <c r="AR584" s="50">
        <v>0.05</v>
      </c>
      <c r="AS584" s="34">
        <v>3.7037037037037E-2</v>
      </c>
      <c r="AT584" s="34">
        <v>6.8965517241379296E-2</v>
      </c>
      <c r="AU584" s="34">
        <v>6.25E-2</v>
      </c>
      <c r="AV584" s="34">
        <v>3.0864197530864199E-2</v>
      </c>
      <c r="AW584" s="10"/>
      <c r="AX584" s="8"/>
    </row>
    <row r="585" spans="1:50">
      <c r="A585" s="7"/>
      <c r="B585" s="10"/>
      <c r="C585" s="45" t="s">
        <v>396</v>
      </c>
      <c r="D585" s="23" t="s">
        <v>19</v>
      </c>
      <c r="E585" s="46" t="s">
        <v>631</v>
      </c>
      <c r="F585" s="46" t="s">
        <v>631</v>
      </c>
      <c r="G585" s="46" t="s">
        <v>631</v>
      </c>
      <c r="H585" s="46" t="s">
        <v>631</v>
      </c>
      <c r="I585" s="25">
        <v>0.9</v>
      </c>
      <c r="J585" s="26">
        <v>0.97260273972602695</v>
      </c>
      <c r="K585" s="26">
        <v>0.97297297297297303</v>
      </c>
      <c r="L585" s="27">
        <v>0.967741935483871</v>
      </c>
      <c r="M585" s="26">
        <v>0.96437054631829</v>
      </c>
      <c r="N585" s="28">
        <v>0.9</v>
      </c>
      <c r="O585" s="26">
        <v>1</v>
      </c>
      <c r="P585" s="26">
        <v>0</v>
      </c>
      <c r="Q585" s="26">
        <v>0</v>
      </c>
      <c r="R585" s="26">
        <v>0.75</v>
      </c>
      <c r="S585" s="28">
        <v>0.9</v>
      </c>
      <c r="T585" s="26">
        <v>0</v>
      </c>
      <c r="U585" s="26">
        <v>0</v>
      </c>
      <c r="V585" s="26">
        <v>0</v>
      </c>
      <c r="W585" s="26">
        <v>0</v>
      </c>
      <c r="X585" s="28">
        <v>0.92</v>
      </c>
      <c r="Y585" s="28">
        <v>0</v>
      </c>
      <c r="Z585" s="28">
        <v>0</v>
      </c>
      <c r="AA585" s="28">
        <v>1</v>
      </c>
      <c r="AB585" s="28">
        <v>0.5</v>
      </c>
      <c r="AC585" s="28">
        <v>0.92</v>
      </c>
      <c r="AD585" s="26">
        <v>0.99042407660738696</v>
      </c>
      <c r="AE585" s="26">
        <v>0.98984198645598198</v>
      </c>
      <c r="AF585" s="26">
        <v>0.98586572438162501</v>
      </c>
      <c r="AG585" s="26">
        <v>0.98652182659424703</v>
      </c>
      <c r="AH585" s="28">
        <v>0.92</v>
      </c>
      <c r="AI585" s="26">
        <v>0.92897439606538401</v>
      </c>
      <c r="AJ585" s="26">
        <v>0.93971753358594601</v>
      </c>
      <c r="AK585" s="26">
        <v>0.90770086182930199</v>
      </c>
      <c r="AL585" s="26">
        <v>0.93146725686759502</v>
      </c>
      <c r="AM585" s="25">
        <v>0.99</v>
      </c>
      <c r="AN585" s="30">
        <v>1</v>
      </c>
      <c r="AO585" s="30">
        <v>1</v>
      </c>
      <c r="AP585" s="30">
        <v>1</v>
      </c>
      <c r="AQ585" s="30">
        <v>1</v>
      </c>
      <c r="AR585" s="50">
        <v>0.05</v>
      </c>
      <c r="AS585" s="34">
        <v>4.3478260869565202E-2</v>
      </c>
      <c r="AT585" s="34">
        <v>0</v>
      </c>
      <c r="AU585" s="34">
        <v>0</v>
      </c>
      <c r="AV585" s="34">
        <v>1.6E-2</v>
      </c>
      <c r="AW585" s="10"/>
      <c r="AX585" s="8"/>
    </row>
    <row r="586" spans="1:50">
      <c r="A586" s="7"/>
      <c r="B586" s="10"/>
      <c r="C586" s="45" t="s">
        <v>396</v>
      </c>
      <c r="D586" s="23" t="s">
        <v>19</v>
      </c>
      <c r="E586" s="46" t="s">
        <v>632</v>
      </c>
      <c r="F586" s="46" t="s">
        <v>632</v>
      </c>
      <c r="G586" s="46" t="s">
        <v>632</v>
      </c>
      <c r="H586" s="46" t="s">
        <v>632</v>
      </c>
      <c r="I586" s="25">
        <v>0.9</v>
      </c>
      <c r="J586" s="26">
        <v>1</v>
      </c>
      <c r="K586" s="26">
        <v>1</v>
      </c>
      <c r="L586" s="27">
        <v>1</v>
      </c>
      <c r="M586" s="26">
        <v>0.99371069182389904</v>
      </c>
      <c r="N586" s="28">
        <v>0.9</v>
      </c>
      <c r="O586" s="26">
        <v>0.99737704918032799</v>
      </c>
      <c r="P586" s="26">
        <v>0.98635658914728697</v>
      </c>
      <c r="Q586" s="26">
        <v>0.99929527836504595</v>
      </c>
      <c r="R586" s="26">
        <v>0.99395872929676898</v>
      </c>
      <c r="S586" s="28">
        <v>0.9</v>
      </c>
      <c r="T586" s="26">
        <v>0.970491803278689</v>
      </c>
      <c r="U586" s="26">
        <v>0.96806201550387605</v>
      </c>
      <c r="V586" s="26">
        <v>0.98238195912614501</v>
      </c>
      <c r="W586" s="26">
        <v>0.97183002986695599</v>
      </c>
      <c r="X586" s="28">
        <v>0.92</v>
      </c>
      <c r="Y586" s="28">
        <v>0.97936507936507899</v>
      </c>
      <c r="Z586" s="28">
        <v>0.97872340425531901</v>
      </c>
      <c r="AA586" s="28">
        <v>0.98857868020304596</v>
      </c>
      <c r="AB586" s="28">
        <v>0.98460291734197702</v>
      </c>
      <c r="AC586" s="28">
        <v>0.92</v>
      </c>
      <c r="AD586" s="26">
        <v>0.99768575915364899</v>
      </c>
      <c r="AE586" s="26">
        <v>0.99570223807979197</v>
      </c>
      <c r="AF586" s="26">
        <v>0.99590428971761202</v>
      </c>
      <c r="AG586" s="26">
        <v>0.99640218817735404</v>
      </c>
      <c r="AH586" s="28">
        <v>0.92</v>
      </c>
      <c r="AI586" s="26">
        <v>0.985869565217391</v>
      </c>
      <c r="AJ586" s="26">
        <v>0.98995880535530401</v>
      </c>
      <c r="AK586" s="26">
        <v>0.99320344358858204</v>
      </c>
      <c r="AL586" s="26">
        <v>0.98980200705180399</v>
      </c>
      <c r="AM586" s="25">
        <v>0.99</v>
      </c>
      <c r="AN586" s="30">
        <v>1</v>
      </c>
      <c r="AO586" s="30">
        <v>1</v>
      </c>
      <c r="AP586" s="30">
        <v>1</v>
      </c>
      <c r="AQ586" s="30">
        <v>1</v>
      </c>
      <c r="AR586" s="50">
        <v>0.05</v>
      </c>
      <c r="AS586" s="34">
        <v>0</v>
      </c>
      <c r="AT586" s="34">
        <v>0</v>
      </c>
      <c r="AU586" s="34">
        <v>0</v>
      </c>
      <c r="AV586" s="34">
        <v>3.7974683544303799E-2</v>
      </c>
      <c r="AW586" s="10"/>
      <c r="AX586" s="8"/>
    </row>
    <row r="587" spans="1:50">
      <c r="A587" s="7"/>
      <c r="B587" s="10"/>
      <c r="C587" s="45" t="s">
        <v>396</v>
      </c>
      <c r="D587" s="23" t="s">
        <v>19</v>
      </c>
      <c r="E587" s="46" t="s">
        <v>633</v>
      </c>
      <c r="F587" s="46" t="s">
        <v>633</v>
      </c>
      <c r="G587" s="46" t="s">
        <v>633</v>
      </c>
      <c r="H587" s="46" t="s">
        <v>633</v>
      </c>
      <c r="I587" s="25">
        <v>0.9</v>
      </c>
      <c r="J587" s="26">
        <v>0.94285714285714295</v>
      </c>
      <c r="K587" s="26">
        <v>0.94285714285714295</v>
      </c>
      <c r="L587" s="27">
        <v>0.92857142857142905</v>
      </c>
      <c r="M587" s="26">
        <v>0.92893401015228405</v>
      </c>
      <c r="N587" s="28">
        <v>0.9</v>
      </c>
      <c r="O587" s="26">
        <v>0</v>
      </c>
      <c r="P587" s="26">
        <v>0</v>
      </c>
      <c r="Q587" s="26">
        <v>0.66666666666666696</v>
      </c>
      <c r="R587" s="26">
        <v>0.42857142857142899</v>
      </c>
      <c r="S587" s="28">
        <v>0.9</v>
      </c>
      <c r="T587" s="26">
        <v>0</v>
      </c>
      <c r="U587" s="26">
        <v>0</v>
      </c>
      <c r="V587" s="26">
        <v>0.66666666666666696</v>
      </c>
      <c r="W587" s="26">
        <v>0.28571428571428598</v>
      </c>
      <c r="X587" s="28">
        <v>0.92</v>
      </c>
      <c r="Y587" s="28">
        <v>0</v>
      </c>
      <c r="Z587" s="28">
        <v>0</v>
      </c>
      <c r="AA587" s="28">
        <v>0</v>
      </c>
      <c r="AB587" s="28">
        <v>0</v>
      </c>
      <c r="AC587" s="28">
        <v>0.92</v>
      </c>
      <c r="AD587" s="26">
        <v>0.97826086956521696</v>
      </c>
      <c r="AE587" s="26">
        <v>0.96703296703296704</v>
      </c>
      <c r="AF587" s="26">
        <v>0.90697674418604601</v>
      </c>
      <c r="AG587" s="26">
        <v>0.96747967479674801</v>
      </c>
      <c r="AH587" s="28">
        <v>0.92</v>
      </c>
      <c r="AI587" s="26">
        <v>0.93856308707793901</v>
      </c>
      <c r="AJ587" s="26">
        <v>0.92309261525907804</v>
      </c>
      <c r="AK587" s="26">
        <v>0.87044745057232098</v>
      </c>
      <c r="AL587" s="26">
        <v>0.92375617166729995</v>
      </c>
      <c r="AM587" s="25">
        <v>0.99</v>
      </c>
      <c r="AN587" s="30">
        <v>1</v>
      </c>
      <c r="AO587" s="30">
        <v>1</v>
      </c>
      <c r="AP587" s="30">
        <v>1</v>
      </c>
      <c r="AQ587" s="30">
        <v>1</v>
      </c>
      <c r="AR587" s="50">
        <v>0.05</v>
      </c>
      <c r="AS587" s="34">
        <v>0</v>
      </c>
      <c r="AT587" s="34">
        <v>7.69230769230769E-2</v>
      </c>
      <c r="AU587" s="34">
        <v>0</v>
      </c>
      <c r="AV587" s="34">
        <v>4.2857142857142899E-2</v>
      </c>
      <c r="AW587" s="10"/>
      <c r="AX587" s="8"/>
    </row>
    <row r="588" spans="1:50">
      <c r="A588" s="7"/>
      <c r="B588" s="10"/>
      <c r="C588" s="45" t="s">
        <v>396</v>
      </c>
      <c r="D588" s="23" t="s">
        <v>19</v>
      </c>
      <c r="E588" s="46" t="s">
        <v>634</v>
      </c>
      <c r="F588" s="46" t="s">
        <v>634</v>
      </c>
      <c r="G588" s="46" t="s">
        <v>634</v>
      </c>
      <c r="H588" s="46" t="s">
        <v>634</v>
      </c>
      <c r="I588" s="25">
        <v>0.9</v>
      </c>
      <c r="J588" s="26">
        <v>0.92</v>
      </c>
      <c r="K588" s="26">
        <v>0.96153846153846201</v>
      </c>
      <c r="L588" s="27">
        <v>1</v>
      </c>
      <c r="M588" s="26">
        <v>0.96551724137931005</v>
      </c>
      <c r="N588" s="28">
        <v>0.9</v>
      </c>
      <c r="O588" s="26">
        <v>0.98327895595432302</v>
      </c>
      <c r="P588" s="26">
        <v>0.98659183037106302</v>
      </c>
      <c r="Q588" s="26">
        <v>0.95080500894454401</v>
      </c>
      <c r="R588" s="26">
        <v>0.982785602503912</v>
      </c>
      <c r="S588" s="28">
        <v>0.9</v>
      </c>
      <c r="T588" s="26">
        <v>0.89396411092985295</v>
      </c>
      <c r="U588" s="26">
        <v>0.87153102588088605</v>
      </c>
      <c r="V588" s="26">
        <v>0.86851520572450802</v>
      </c>
      <c r="W588" s="26">
        <v>0.88575899843505501</v>
      </c>
      <c r="X588" s="28">
        <v>0.92</v>
      </c>
      <c r="Y588" s="28">
        <v>0.73985680190930803</v>
      </c>
      <c r="Z588" s="28">
        <v>0.72709551656920102</v>
      </c>
      <c r="AA588" s="28">
        <v>0.53720930232558095</v>
      </c>
      <c r="AB588" s="28">
        <v>0.70368932038834997</v>
      </c>
      <c r="AC588" s="28">
        <v>0.92</v>
      </c>
      <c r="AD588" s="26">
        <v>1</v>
      </c>
      <c r="AE588" s="26">
        <v>0.99689633767846098</v>
      </c>
      <c r="AF588" s="26">
        <v>0.99892299407646701</v>
      </c>
      <c r="AG588" s="26">
        <v>0.99826464208242904</v>
      </c>
      <c r="AH588" s="28">
        <v>0.92</v>
      </c>
      <c r="AI588" s="26">
        <v>0.94326487991646402</v>
      </c>
      <c r="AJ588" s="26">
        <v>0.94327956989247297</v>
      </c>
      <c r="AK588" s="26">
        <v>0.84431524547803605</v>
      </c>
      <c r="AL588" s="26">
        <v>0.93354588647161796</v>
      </c>
      <c r="AM588" s="25">
        <v>0.99</v>
      </c>
      <c r="AN588" s="30">
        <v>1</v>
      </c>
      <c r="AO588" s="30">
        <v>1</v>
      </c>
      <c r="AP588" s="30">
        <v>1</v>
      </c>
      <c r="AQ588" s="30">
        <v>1</v>
      </c>
      <c r="AR588" s="50">
        <v>0.05</v>
      </c>
      <c r="AS588" s="34">
        <v>0</v>
      </c>
      <c r="AT588" s="34">
        <v>0.125</v>
      </c>
      <c r="AU588" s="34">
        <v>0</v>
      </c>
      <c r="AV588" s="34">
        <v>4.2253521126760597E-2</v>
      </c>
      <c r="AW588" s="10"/>
      <c r="AX588" s="8"/>
    </row>
    <row r="589" spans="1:50">
      <c r="A589" s="7"/>
      <c r="B589" s="10"/>
      <c r="C589" s="45" t="s">
        <v>396</v>
      </c>
      <c r="D589" s="23" t="s">
        <v>19</v>
      </c>
      <c r="E589" s="46" t="s">
        <v>635</v>
      </c>
      <c r="F589" s="46" t="s">
        <v>635</v>
      </c>
      <c r="G589" s="46" t="s">
        <v>635</v>
      </c>
      <c r="H589" s="46" t="s">
        <v>635</v>
      </c>
      <c r="I589" s="25">
        <v>0.9</v>
      </c>
      <c r="J589" s="26">
        <v>1</v>
      </c>
      <c r="K589" s="26">
        <v>1</v>
      </c>
      <c r="L589" s="27">
        <v>1</v>
      </c>
      <c r="M589" s="26">
        <v>0.97959183673469397</v>
      </c>
      <c r="N589" s="28">
        <v>0.9</v>
      </c>
      <c r="O589" s="26">
        <v>0</v>
      </c>
      <c r="P589" s="26">
        <v>0</v>
      </c>
      <c r="Q589" s="26">
        <v>0</v>
      </c>
      <c r="R589" s="26">
        <v>0.33333333333333298</v>
      </c>
      <c r="S589" s="28">
        <v>0.9</v>
      </c>
      <c r="T589" s="26">
        <v>0</v>
      </c>
      <c r="U589" s="26">
        <v>0</v>
      </c>
      <c r="V589" s="26">
        <v>0</v>
      </c>
      <c r="W589" s="26">
        <v>0.44444444444444398</v>
      </c>
      <c r="X589" s="28">
        <v>0.92</v>
      </c>
      <c r="Y589" s="28">
        <v>0</v>
      </c>
      <c r="Z589" s="28">
        <v>0</v>
      </c>
      <c r="AA589" s="28">
        <v>0</v>
      </c>
      <c r="AB589" s="28">
        <v>0</v>
      </c>
      <c r="AC589" s="28">
        <v>0.92</v>
      </c>
      <c r="AD589" s="26">
        <v>0.97058823529411797</v>
      </c>
      <c r="AE589" s="26">
        <v>0.99259259259259303</v>
      </c>
      <c r="AF589" s="26">
        <v>0.98275862068965503</v>
      </c>
      <c r="AG589" s="26">
        <v>0.97497155858930595</v>
      </c>
      <c r="AH589" s="28">
        <v>0.92</v>
      </c>
      <c r="AI589" s="26">
        <v>0.96028708133971297</v>
      </c>
      <c r="AJ589" s="26">
        <v>0.95661805427358304</v>
      </c>
      <c r="AK589" s="26">
        <v>0.92505966587112198</v>
      </c>
      <c r="AL589" s="26">
        <v>0.95109583154275901</v>
      </c>
      <c r="AM589" s="25">
        <v>0.99</v>
      </c>
      <c r="AN589" s="30">
        <v>1</v>
      </c>
      <c r="AO589" s="30">
        <v>1</v>
      </c>
      <c r="AP589" s="30">
        <v>1</v>
      </c>
      <c r="AQ589" s="30">
        <v>1</v>
      </c>
      <c r="AR589" s="50">
        <v>0.05</v>
      </c>
      <c r="AS589" s="34">
        <v>0</v>
      </c>
      <c r="AT589" s="34">
        <v>0</v>
      </c>
      <c r="AU589" s="34">
        <v>8.3333333333333301E-2</v>
      </c>
      <c r="AV589" s="34">
        <v>1.5625E-2</v>
      </c>
      <c r="AW589" s="10"/>
      <c r="AX589" s="8"/>
    </row>
    <row r="590" spans="1:50">
      <c r="A590" s="7"/>
      <c r="B590" s="10"/>
      <c r="C590" s="45" t="s">
        <v>396</v>
      </c>
      <c r="D590" s="23" t="s">
        <v>19</v>
      </c>
      <c r="E590" s="46" t="s">
        <v>636</v>
      </c>
      <c r="F590" s="46" t="s">
        <v>636</v>
      </c>
      <c r="G590" s="46" t="s">
        <v>636</v>
      </c>
      <c r="H590" s="46" t="s">
        <v>636</v>
      </c>
      <c r="I590" s="25">
        <v>0.9</v>
      </c>
      <c r="J590" s="26">
        <v>0.939393939393939</v>
      </c>
      <c r="K590" s="26">
        <v>0.96875</v>
      </c>
      <c r="L590" s="27">
        <v>0.96428571428571397</v>
      </c>
      <c r="M590" s="26">
        <v>0.95081967213114704</v>
      </c>
      <c r="N590" s="28">
        <v>0.9</v>
      </c>
      <c r="O590" s="26">
        <v>0.94514925373134295</v>
      </c>
      <c r="P590" s="26">
        <v>0.98092105263157903</v>
      </c>
      <c r="Q590" s="26">
        <v>0.97908232118758398</v>
      </c>
      <c r="R590" s="26">
        <v>0.97325132312973806</v>
      </c>
      <c r="S590" s="28">
        <v>0.9</v>
      </c>
      <c r="T590" s="26">
        <v>0.90895522388059702</v>
      </c>
      <c r="U590" s="26">
        <v>0.91809210526315799</v>
      </c>
      <c r="V590" s="26">
        <v>0.94804318488529005</v>
      </c>
      <c r="W590" s="26">
        <v>0.92640537834358505</v>
      </c>
      <c r="X590" s="28">
        <v>0.92</v>
      </c>
      <c r="Y590" s="28">
        <v>0.92112676056338005</v>
      </c>
      <c r="Z590" s="28">
        <v>0.92521994134897401</v>
      </c>
      <c r="AA590" s="28">
        <v>0.93042452830188704</v>
      </c>
      <c r="AB590" s="28">
        <v>0.92979872361315696</v>
      </c>
      <c r="AC590" s="28">
        <v>0.92</v>
      </c>
      <c r="AD590" s="26">
        <v>0.991251587413574</v>
      </c>
      <c r="AE590" s="26">
        <v>0.99149950759342798</v>
      </c>
      <c r="AF590" s="26">
        <v>0.984325808828455</v>
      </c>
      <c r="AG590" s="26">
        <v>0.98209168479438702</v>
      </c>
      <c r="AH590" s="28">
        <v>0.92</v>
      </c>
      <c r="AI590" s="26">
        <v>0.944247787610619</v>
      </c>
      <c r="AJ590" s="26">
        <v>0.96802794196668496</v>
      </c>
      <c r="AK590" s="26">
        <v>0.96437768240343302</v>
      </c>
      <c r="AL590" s="26">
        <v>0.96096345514950199</v>
      </c>
      <c r="AM590" s="25">
        <v>0.99</v>
      </c>
      <c r="AN590" s="30">
        <v>1</v>
      </c>
      <c r="AO590" s="30">
        <v>1</v>
      </c>
      <c r="AP590" s="30">
        <v>1</v>
      </c>
      <c r="AQ590" s="30">
        <v>1</v>
      </c>
      <c r="AR590" s="50">
        <v>0.05</v>
      </c>
      <c r="AS590" s="34">
        <v>5.2631578947368397E-2</v>
      </c>
      <c r="AT590" s="34">
        <v>0</v>
      </c>
      <c r="AU590" s="34">
        <v>5.2631578947368397E-2</v>
      </c>
      <c r="AV590" s="34">
        <v>2.6785714285714302E-2</v>
      </c>
      <c r="AW590" s="10"/>
      <c r="AX590" s="8"/>
    </row>
    <row r="591" spans="1:50">
      <c r="A591" s="7"/>
      <c r="B591" s="10"/>
      <c r="C591" s="45" t="s">
        <v>396</v>
      </c>
      <c r="D591" s="23" t="s">
        <v>19</v>
      </c>
      <c r="E591" s="46" t="s">
        <v>637</v>
      </c>
      <c r="F591" s="46" t="s">
        <v>637</v>
      </c>
      <c r="G591" s="46" t="s">
        <v>637</v>
      </c>
      <c r="H591" s="46" t="s">
        <v>637</v>
      </c>
      <c r="I591" s="25">
        <v>0.9</v>
      </c>
      <c r="J591" s="26">
        <v>1</v>
      </c>
      <c r="K591" s="26">
        <v>1</v>
      </c>
      <c r="L591" s="27">
        <v>1</v>
      </c>
      <c r="M591" s="26">
        <v>1</v>
      </c>
      <c r="N591" s="28">
        <v>0.9</v>
      </c>
      <c r="O591" s="26">
        <v>0.97229858320998097</v>
      </c>
      <c r="P591" s="26">
        <v>0.97319762510602204</v>
      </c>
      <c r="Q591" s="26">
        <v>0.96535129932627495</v>
      </c>
      <c r="R591" s="26">
        <v>0.97439190816408405</v>
      </c>
      <c r="S591" s="28">
        <v>0.9</v>
      </c>
      <c r="T591" s="26">
        <v>0.86593360118418305</v>
      </c>
      <c r="U591" s="26">
        <v>0.84088210347752301</v>
      </c>
      <c r="V591" s="26">
        <v>0.90471607314725699</v>
      </c>
      <c r="W591" s="26">
        <v>0.88881753231115002</v>
      </c>
      <c r="X591" s="28">
        <v>0.92</v>
      </c>
      <c r="Y591" s="28">
        <v>0.813148788927336</v>
      </c>
      <c r="Z591" s="28">
        <v>0.82226379794200199</v>
      </c>
      <c r="AA591" s="28">
        <v>0.83016983016983004</v>
      </c>
      <c r="AB591" s="28">
        <v>0.82823352731368505</v>
      </c>
      <c r="AC591" s="28">
        <v>0.92</v>
      </c>
      <c r="AD591" s="26">
        <v>0.998539536824536</v>
      </c>
      <c r="AE591" s="26">
        <v>0.99732949876746102</v>
      </c>
      <c r="AF591" s="26">
        <v>0.99828473413379104</v>
      </c>
      <c r="AG591" s="26">
        <v>0.99721192871007602</v>
      </c>
      <c r="AH591" s="28">
        <v>0.92</v>
      </c>
      <c r="AI591" s="26">
        <v>0.94479185277827404</v>
      </c>
      <c r="AJ591" s="26">
        <v>0.95519816197587604</v>
      </c>
      <c r="AK591" s="26">
        <v>0.91848002598246203</v>
      </c>
      <c r="AL591" s="26">
        <v>0.95106305591376505</v>
      </c>
      <c r="AM591" s="25">
        <v>0.99</v>
      </c>
      <c r="AN591" s="30">
        <v>1</v>
      </c>
      <c r="AO591" s="30">
        <v>1</v>
      </c>
      <c r="AP591" s="30">
        <v>1</v>
      </c>
      <c r="AQ591" s="30">
        <v>1</v>
      </c>
      <c r="AR591" s="50">
        <v>0.05</v>
      </c>
      <c r="AS591" s="34">
        <v>0</v>
      </c>
      <c r="AT591" s="34">
        <v>4.3478260869565202E-2</v>
      </c>
      <c r="AU591" s="34">
        <v>7.1428571428571397E-2</v>
      </c>
      <c r="AV591" s="34">
        <v>4.71698113207547E-2</v>
      </c>
      <c r="AW591" s="10"/>
      <c r="AX591" s="8"/>
    </row>
    <row r="592" spans="1:50">
      <c r="A592" s="7"/>
      <c r="B592" s="10"/>
      <c r="C592" s="45" t="s">
        <v>396</v>
      </c>
      <c r="D592" s="23" t="s">
        <v>19</v>
      </c>
      <c r="E592" s="46" t="s">
        <v>638</v>
      </c>
      <c r="F592" s="46" t="s">
        <v>638</v>
      </c>
      <c r="G592" s="46" t="s">
        <v>638</v>
      </c>
      <c r="H592" s="46" t="s">
        <v>638</v>
      </c>
      <c r="I592" s="25">
        <v>0.9</v>
      </c>
      <c r="J592" s="26">
        <v>0.96610169491525399</v>
      </c>
      <c r="K592" s="26">
        <v>1</v>
      </c>
      <c r="L592" s="27">
        <v>1</v>
      </c>
      <c r="M592" s="26">
        <v>0.98525073746312697</v>
      </c>
      <c r="N592" s="28">
        <v>0.9</v>
      </c>
      <c r="O592" s="26">
        <v>0.97758822545576196</v>
      </c>
      <c r="P592" s="26">
        <v>0.98419132549655497</v>
      </c>
      <c r="Q592" s="26">
        <v>0.99262899262899296</v>
      </c>
      <c r="R592" s="26">
        <v>0.98452760854849597</v>
      </c>
      <c r="S592" s="28">
        <v>0.9</v>
      </c>
      <c r="T592" s="26">
        <v>0.95132965378825896</v>
      </c>
      <c r="U592" s="26">
        <v>0.93460343196865303</v>
      </c>
      <c r="V592" s="26">
        <v>0.96279396279396301</v>
      </c>
      <c r="W592" s="26">
        <v>0.94039905876285301</v>
      </c>
      <c r="X592" s="28">
        <v>0.92</v>
      </c>
      <c r="Y592" s="28">
        <v>0.945225758697261</v>
      </c>
      <c r="Z592" s="28">
        <v>0.95350451075641895</v>
      </c>
      <c r="AA592" s="28">
        <v>0.95962938451356705</v>
      </c>
      <c r="AB592" s="28">
        <v>0.94517792028165504</v>
      </c>
      <c r="AC592" s="28">
        <v>0.92</v>
      </c>
      <c r="AD592" s="26">
        <v>0.98502703452100404</v>
      </c>
      <c r="AE592" s="26">
        <v>0.98653092196787695</v>
      </c>
      <c r="AF592" s="26">
        <v>0.99109907120743002</v>
      </c>
      <c r="AG592" s="26">
        <v>0.98701186623516701</v>
      </c>
      <c r="AH592" s="28">
        <v>0.92</v>
      </c>
      <c r="AI592" s="26">
        <v>0.97585924713584304</v>
      </c>
      <c r="AJ592" s="26">
        <v>0.977606876272337</v>
      </c>
      <c r="AK592" s="26">
        <v>0.97752808988763995</v>
      </c>
      <c r="AL592" s="26">
        <v>0.97298753270740301</v>
      </c>
      <c r="AM592" s="25">
        <v>0.99</v>
      </c>
      <c r="AN592" s="30">
        <v>1</v>
      </c>
      <c r="AO592" s="30">
        <v>1</v>
      </c>
      <c r="AP592" s="30">
        <v>1</v>
      </c>
      <c r="AQ592" s="30">
        <v>1</v>
      </c>
      <c r="AR592" s="50">
        <v>0.05</v>
      </c>
      <c r="AS592" s="34">
        <v>2.32558139534884E-2</v>
      </c>
      <c r="AT592" s="34">
        <v>3.125E-2</v>
      </c>
      <c r="AU592" s="34">
        <v>0.105263157894737</v>
      </c>
      <c r="AV592" s="34">
        <v>4.5685279187817299E-2</v>
      </c>
      <c r="AW592" s="10"/>
      <c r="AX592" s="8"/>
    </row>
    <row r="593" spans="1:50">
      <c r="A593" s="7"/>
      <c r="B593" s="10"/>
      <c r="C593" s="45" t="s">
        <v>396</v>
      </c>
      <c r="D593" s="23" t="s">
        <v>19</v>
      </c>
      <c r="E593" s="46" t="s">
        <v>639</v>
      </c>
      <c r="F593" s="46" t="s">
        <v>639</v>
      </c>
      <c r="G593" s="46" t="s">
        <v>639</v>
      </c>
      <c r="H593" s="46" t="s">
        <v>639</v>
      </c>
      <c r="I593" s="25">
        <v>0.9</v>
      </c>
      <c r="J593" s="26">
        <v>0.97727272727272696</v>
      </c>
      <c r="K593" s="26">
        <v>0.97727272727272696</v>
      </c>
      <c r="L593" s="27">
        <v>0.939393939393939</v>
      </c>
      <c r="M593" s="26">
        <v>0.97391304347826102</v>
      </c>
      <c r="N593" s="28">
        <v>0.9</v>
      </c>
      <c r="O593" s="26">
        <v>0</v>
      </c>
      <c r="P593" s="26">
        <v>0</v>
      </c>
      <c r="Q593" s="26">
        <v>0</v>
      </c>
      <c r="R593" s="26">
        <v>0</v>
      </c>
      <c r="S593" s="28">
        <v>0.9</v>
      </c>
      <c r="T593" s="26">
        <v>0</v>
      </c>
      <c r="U593" s="26">
        <v>0</v>
      </c>
      <c r="V593" s="26">
        <v>0</v>
      </c>
      <c r="W593" s="26">
        <v>0</v>
      </c>
      <c r="X593" s="28">
        <v>0.92</v>
      </c>
      <c r="Y593" s="28">
        <v>0</v>
      </c>
      <c r="Z593" s="28">
        <v>0</v>
      </c>
      <c r="AA593" s="28">
        <v>0</v>
      </c>
      <c r="AB593" s="28">
        <v>0</v>
      </c>
      <c r="AC593" s="28">
        <v>0.92</v>
      </c>
      <c r="AD593" s="26">
        <v>0.99939393939393895</v>
      </c>
      <c r="AE593" s="26">
        <v>0.986996098829649</v>
      </c>
      <c r="AF593" s="26">
        <v>0.99641148325358897</v>
      </c>
      <c r="AG593" s="26">
        <v>0.99564027172259995</v>
      </c>
      <c r="AH593" s="28">
        <v>0.92</v>
      </c>
      <c r="AI593" s="26">
        <v>0.98053707809805402</v>
      </c>
      <c r="AJ593" s="26">
        <v>0.97247345654738504</v>
      </c>
      <c r="AK593" s="26">
        <v>0.89945246391239397</v>
      </c>
      <c r="AL593" s="26">
        <v>0.95304556798225304</v>
      </c>
      <c r="AM593" s="25">
        <v>0.99</v>
      </c>
      <c r="AN593" s="30">
        <v>1</v>
      </c>
      <c r="AO593" s="30">
        <v>1</v>
      </c>
      <c r="AP593" s="30">
        <v>1</v>
      </c>
      <c r="AQ593" s="30">
        <v>1</v>
      </c>
      <c r="AR593" s="50">
        <v>0.05</v>
      </c>
      <c r="AS593" s="34">
        <v>0</v>
      </c>
      <c r="AT593" s="34">
        <v>0</v>
      </c>
      <c r="AU593" s="34">
        <v>0.28571428571428598</v>
      </c>
      <c r="AV593" s="34">
        <v>0.12962962962963001</v>
      </c>
      <c r="AW593" s="10"/>
      <c r="AX593" s="8"/>
    </row>
    <row r="594" spans="1:50">
      <c r="A594" s="7"/>
      <c r="B594" s="10"/>
      <c r="C594" s="45" t="s">
        <v>396</v>
      </c>
      <c r="D594" s="23" t="s">
        <v>19</v>
      </c>
      <c r="E594" s="46" t="s">
        <v>640</v>
      </c>
      <c r="F594" s="46" t="s">
        <v>640</v>
      </c>
      <c r="G594" s="46" t="s">
        <v>640</v>
      </c>
      <c r="H594" s="46" t="s">
        <v>640</v>
      </c>
      <c r="I594" s="25">
        <v>0.9</v>
      </c>
      <c r="J594" s="26">
        <v>0.89130434782608703</v>
      </c>
      <c r="K594" s="26">
        <v>0.89130434782608703</v>
      </c>
      <c r="L594" s="27">
        <v>0.88095238095238104</v>
      </c>
      <c r="M594" s="26">
        <v>0.80321285140562204</v>
      </c>
      <c r="N594" s="28">
        <v>0.9</v>
      </c>
      <c r="O594" s="26">
        <v>0.98709677419354802</v>
      </c>
      <c r="P594" s="26">
        <v>0.99060096838507505</v>
      </c>
      <c r="Q594" s="26">
        <v>0.99233490566037696</v>
      </c>
      <c r="R594" s="26">
        <v>0.98926174496644304</v>
      </c>
      <c r="S594" s="28">
        <v>0.9</v>
      </c>
      <c r="T594" s="26">
        <v>0.910815939278937</v>
      </c>
      <c r="U594" s="26">
        <v>0.91313016234691002</v>
      </c>
      <c r="V594" s="26">
        <v>0.92688679245283001</v>
      </c>
      <c r="W594" s="26">
        <v>0.90476863299187604</v>
      </c>
      <c r="X594" s="28">
        <v>0.92</v>
      </c>
      <c r="Y594" s="28">
        <v>0.92837680031140501</v>
      </c>
      <c r="Z594" s="28">
        <v>0.94859437751004005</v>
      </c>
      <c r="AA594" s="28">
        <v>0.94885679903730402</v>
      </c>
      <c r="AB594" s="28">
        <v>0.92575819953341598</v>
      </c>
      <c r="AC594" s="28">
        <v>0.92</v>
      </c>
      <c r="AD594" s="26">
        <v>0.99708388129681502</v>
      </c>
      <c r="AE594" s="26">
        <v>0.99084825821688605</v>
      </c>
      <c r="AF594" s="26">
        <v>0.99546152771959195</v>
      </c>
      <c r="AG594" s="26">
        <v>0.976649207605639</v>
      </c>
      <c r="AH594" s="28">
        <v>0.92</v>
      </c>
      <c r="AI594" s="26">
        <v>0.95349730976172198</v>
      </c>
      <c r="AJ594" s="26">
        <v>0.95873544093177998</v>
      </c>
      <c r="AK594" s="26">
        <v>0.96060485475527302</v>
      </c>
      <c r="AL594" s="26">
        <v>0.94764306835971501</v>
      </c>
      <c r="AM594" s="25">
        <v>0.99</v>
      </c>
      <c r="AN594" s="30">
        <v>1</v>
      </c>
      <c r="AO594" s="30">
        <v>1</v>
      </c>
      <c r="AP594" s="30">
        <v>1</v>
      </c>
      <c r="AQ594" s="30">
        <v>1</v>
      </c>
      <c r="AR594" s="50">
        <v>0.05</v>
      </c>
      <c r="AS594" s="34">
        <v>0</v>
      </c>
      <c r="AT594" s="34">
        <v>5.8823529411764698E-2</v>
      </c>
      <c r="AU594" s="34">
        <v>0.05</v>
      </c>
      <c r="AV594" s="34">
        <v>3.8216560509554097E-2</v>
      </c>
      <c r="AW594" s="10"/>
      <c r="AX594" s="8"/>
    </row>
    <row r="595" spans="1:50">
      <c r="A595" s="7"/>
      <c r="B595" s="10"/>
      <c r="C595" s="45" t="s">
        <v>396</v>
      </c>
      <c r="D595" s="23" t="s">
        <v>19</v>
      </c>
      <c r="E595" s="46" t="s">
        <v>641</v>
      </c>
      <c r="F595" s="46" t="s">
        <v>641</v>
      </c>
      <c r="G595" s="46" t="s">
        <v>641</v>
      </c>
      <c r="H595" s="46" t="s">
        <v>641</v>
      </c>
      <c r="I595" s="25">
        <v>0.9</v>
      </c>
      <c r="J595" s="26">
        <v>0.94642857142857095</v>
      </c>
      <c r="K595" s="26">
        <v>0.94915254237288105</v>
      </c>
      <c r="L595" s="27">
        <v>1</v>
      </c>
      <c r="M595" s="26">
        <v>0.96141479099678495</v>
      </c>
      <c r="N595" s="28">
        <v>0.9</v>
      </c>
      <c r="O595" s="26">
        <v>0.98627187079407796</v>
      </c>
      <c r="P595" s="26">
        <v>0.99060402684563797</v>
      </c>
      <c r="Q595" s="26">
        <v>0.98196001950268197</v>
      </c>
      <c r="R595" s="26">
        <v>0.98823885720054505</v>
      </c>
      <c r="S595" s="28">
        <v>0.9</v>
      </c>
      <c r="T595" s="26">
        <v>0.91278600269179</v>
      </c>
      <c r="U595" s="26">
        <v>0.90968360498561796</v>
      </c>
      <c r="V595" s="26">
        <v>0.92588980984885405</v>
      </c>
      <c r="W595" s="26">
        <v>0.915551966079451</v>
      </c>
      <c r="X595" s="28">
        <v>0.92</v>
      </c>
      <c r="Y595" s="28">
        <v>0.959598432908913</v>
      </c>
      <c r="Z595" s="28">
        <v>0.97098214285714302</v>
      </c>
      <c r="AA595" s="28">
        <v>0.97154997228893403</v>
      </c>
      <c r="AB595" s="28">
        <v>0.96718386989711203</v>
      </c>
      <c r="AC595" s="28">
        <v>0.92</v>
      </c>
      <c r="AD595" s="26">
        <v>0.99517131895753397</v>
      </c>
      <c r="AE595" s="26">
        <v>0.98115305498415495</v>
      </c>
      <c r="AF595" s="26">
        <v>0.96207269079404301</v>
      </c>
      <c r="AG595" s="26">
        <v>0.97549719238662802</v>
      </c>
      <c r="AH595" s="28">
        <v>0.92</v>
      </c>
      <c r="AI595" s="26">
        <v>0.96974746827329805</v>
      </c>
      <c r="AJ595" s="26">
        <v>0.980760916558582</v>
      </c>
      <c r="AK595" s="26">
        <v>0.97709616930082999</v>
      </c>
      <c r="AL595" s="26">
        <v>0.97621107266436002</v>
      </c>
      <c r="AM595" s="25">
        <v>0.99</v>
      </c>
      <c r="AN595" s="30">
        <v>1</v>
      </c>
      <c r="AO595" s="30">
        <v>1</v>
      </c>
      <c r="AP595" s="30">
        <v>1</v>
      </c>
      <c r="AQ595" s="30">
        <v>1</v>
      </c>
      <c r="AR595" s="50">
        <v>0.05</v>
      </c>
      <c r="AS595" s="34">
        <v>8.6956521739130405E-2</v>
      </c>
      <c r="AT595" s="34">
        <v>8.6956521739130405E-2</v>
      </c>
      <c r="AU595" s="34">
        <v>0</v>
      </c>
      <c r="AV595" s="34">
        <v>4.08163265306122E-2</v>
      </c>
      <c r="AW595" s="10"/>
      <c r="AX595" s="8"/>
    </row>
    <row r="596" spans="1:50">
      <c r="A596" s="7"/>
      <c r="B596" s="10"/>
      <c r="C596" s="45" t="s">
        <v>396</v>
      </c>
      <c r="D596" s="23" t="s">
        <v>19</v>
      </c>
      <c r="E596" s="46" t="s">
        <v>642</v>
      </c>
      <c r="F596" s="46" t="s">
        <v>642</v>
      </c>
      <c r="G596" s="46" t="s">
        <v>642</v>
      </c>
      <c r="H596" s="46" t="s">
        <v>642</v>
      </c>
      <c r="I596" s="25">
        <v>0.9</v>
      </c>
      <c r="J596" s="26">
        <v>0.81443298969072198</v>
      </c>
      <c r="K596" s="26">
        <v>0.85148514851485102</v>
      </c>
      <c r="L596" s="27">
        <v>0.82954545454545503</v>
      </c>
      <c r="M596" s="26">
        <v>0.83427495291902098</v>
      </c>
      <c r="N596" s="28">
        <v>0.9</v>
      </c>
      <c r="O596" s="26">
        <v>0.94551607445008501</v>
      </c>
      <c r="P596" s="26">
        <v>0.89237951047186503</v>
      </c>
      <c r="Q596" s="26">
        <v>0.91759734379716296</v>
      </c>
      <c r="R596" s="26">
        <v>0.91468162322665802</v>
      </c>
      <c r="S596" s="28">
        <v>0.9</v>
      </c>
      <c r="T596" s="26">
        <v>0.86091370558375602</v>
      </c>
      <c r="U596" s="26">
        <v>0.83623517537219305</v>
      </c>
      <c r="V596" s="26">
        <v>0.88409296709930596</v>
      </c>
      <c r="W596" s="26">
        <v>0.852193995381062</v>
      </c>
      <c r="X596" s="28">
        <v>0.92</v>
      </c>
      <c r="Y596" s="28">
        <v>0.87479488021004304</v>
      </c>
      <c r="Z596" s="28">
        <v>0.83113069016152696</v>
      </c>
      <c r="AA596" s="28">
        <v>0.84225418533364804</v>
      </c>
      <c r="AB596" s="28">
        <v>0.84263405350945897</v>
      </c>
      <c r="AC596" s="28">
        <v>0.92</v>
      </c>
      <c r="AD596" s="26">
        <v>0.98787927436185596</v>
      </c>
      <c r="AE596" s="26">
        <v>0.92256130790190705</v>
      </c>
      <c r="AF596" s="26">
        <v>0.91390565340559204</v>
      </c>
      <c r="AG596" s="26">
        <v>0.91353169921789701</v>
      </c>
      <c r="AH596" s="28">
        <v>0.92</v>
      </c>
      <c r="AI596" s="26">
        <v>0.91070387338608905</v>
      </c>
      <c r="AJ596" s="26">
        <v>0.90662115070051896</v>
      </c>
      <c r="AK596" s="26">
        <v>0.87258392675483198</v>
      </c>
      <c r="AL596" s="26">
        <v>0.89140011202107206</v>
      </c>
      <c r="AM596" s="25">
        <v>0.99</v>
      </c>
      <c r="AN596" s="30">
        <v>1</v>
      </c>
      <c r="AO596" s="30">
        <v>1</v>
      </c>
      <c r="AP596" s="30">
        <v>1</v>
      </c>
      <c r="AQ596" s="30">
        <v>1</v>
      </c>
      <c r="AR596" s="50">
        <v>0.05</v>
      </c>
      <c r="AS596" s="34">
        <v>-4.4444444444444401E-3</v>
      </c>
      <c r="AT596" s="34">
        <v>4.8780487804878099E-2</v>
      </c>
      <c r="AU596" s="34">
        <v>1.00502512562814E-2</v>
      </c>
      <c r="AV596" s="34">
        <v>9.9173553719008305E-3</v>
      </c>
      <c r="AW596" s="10"/>
      <c r="AX596" s="8"/>
    </row>
    <row r="597" spans="1:50">
      <c r="A597" s="7"/>
      <c r="B597" s="10"/>
      <c r="C597" s="45" t="s">
        <v>396</v>
      </c>
      <c r="D597" s="23" t="s">
        <v>19</v>
      </c>
      <c r="E597" s="46" t="s">
        <v>643</v>
      </c>
      <c r="F597" s="46" t="s">
        <v>643</v>
      </c>
      <c r="G597" s="46" t="s">
        <v>643</v>
      </c>
      <c r="H597" s="46" t="s">
        <v>643</v>
      </c>
      <c r="I597" s="25">
        <v>0.9</v>
      </c>
      <c r="J597" s="26">
        <v>0</v>
      </c>
      <c r="K597" s="26">
        <v>0</v>
      </c>
      <c r="L597" s="27">
        <v>0</v>
      </c>
      <c r="M597" s="26">
        <v>0</v>
      </c>
      <c r="N597" s="28">
        <v>0.9</v>
      </c>
      <c r="O597" s="26">
        <v>0</v>
      </c>
      <c r="P597" s="26">
        <v>0</v>
      </c>
      <c r="Q597" s="26">
        <v>0</v>
      </c>
      <c r="R597" s="26">
        <v>0</v>
      </c>
      <c r="S597" s="28">
        <v>0.9</v>
      </c>
      <c r="T597" s="26">
        <v>0</v>
      </c>
      <c r="U597" s="26">
        <v>0</v>
      </c>
      <c r="V597" s="26">
        <v>0</v>
      </c>
      <c r="W597" s="26">
        <v>0</v>
      </c>
      <c r="X597" s="28">
        <v>0.92</v>
      </c>
      <c r="Y597" s="28">
        <v>0</v>
      </c>
      <c r="Z597" s="28">
        <v>0</v>
      </c>
      <c r="AA597" s="28">
        <v>0</v>
      </c>
      <c r="AB597" s="28">
        <v>0</v>
      </c>
      <c r="AC597" s="28">
        <v>0.92</v>
      </c>
      <c r="AD597" s="26">
        <v>1</v>
      </c>
      <c r="AE597" s="26">
        <v>0.99792099792099798</v>
      </c>
      <c r="AF597" s="26">
        <v>0.71181556195965401</v>
      </c>
      <c r="AG597" s="26">
        <v>0.79240069084628695</v>
      </c>
      <c r="AH597" s="28">
        <v>0.92</v>
      </c>
      <c r="AI597" s="26">
        <v>0</v>
      </c>
      <c r="AJ597" s="26">
        <v>0</v>
      </c>
      <c r="AK597" s="26">
        <v>0</v>
      </c>
      <c r="AL597" s="26">
        <v>0</v>
      </c>
      <c r="AM597" s="25">
        <v>0.99</v>
      </c>
      <c r="AN597" s="30">
        <v>1</v>
      </c>
      <c r="AO597" s="30">
        <v>0</v>
      </c>
      <c r="AP597" s="30">
        <v>0</v>
      </c>
      <c r="AQ597" s="30">
        <v>1</v>
      </c>
      <c r="AR597" s="50">
        <v>0.05</v>
      </c>
      <c r="AS597" s="34">
        <v>0</v>
      </c>
      <c r="AT597" s="34">
        <v>0</v>
      </c>
      <c r="AU597" s="34">
        <v>0</v>
      </c>
      <c r="AV597" s="34">
        <v>0</v>
      </c>
      <c r="AW597" s="10"/>
      <c r="AX597" s="8"/>
    </row>
    <row r="598" spans="1:50">
      <c r="A598" s="7"/>
      <c r="B598" s="10"/>
      <c r="C598" s="45" t="s">
        <v>396</v>
      </c>
      <c r="D598" s="23" t="s">
        <v>19</v>
      </c>
      <c r="E598" s="46" t="s">
        <v>644</v>
      </c>
      <c r="F598" s="46" t="s">
        <v>644</v>
      </c>
      <c r="G598" s="46" t="s">
        <v>644</v>
      </c>
      <c r="H598" s="46" t="s">
        <v>644</v>
      </c>
      <c r="I598" s="25">
        <v>0.9</v>
      </c>
      <c r="J598" s="26">
        <v>0.70114942528735602</v>
      </c>
      <c r="K598" s="26">
        <v>0.67816091954022995</v>
      </c>
      <c r="L598" s="27">
        <v>0.77011494252873602</v>
      </c>
      <c r="M598" s="26">
        <v>0.685770750988142</v>
      </c>
      <c r="N598" s="28">
        <v>0.9</v>
      </c>
      <c r="O598" s="26">
        <v>0.92181588902900402</v>
      </c>
      <c r="P598" s="26">
        <v>0.88083291520321105</v>
      </c>
      <c r="Q598" s="26">
        <v>0.93754197447951604</v>
      </c>
      <c r="R598" s="26">
        <v>0.91073373264361601</v>
      </c>
      <c r="S598" s="28">
        <v>0.9</v>
      </c>
      <c r="T598" s="26">
        <v>0.74256890650333296</v>
      </c>
      <c r="U598" s="26">
        <v>0.65065228299046696</v>
      </c>
      <c r="V598" s="26">
        <v>0.816319677635997</v>
      </c>
      <c r="W598" s="26">
        <v>0.73291587258371904</v>
      </c>
      <c r="X598" s="28">
        <v>0.92</v>
      </c>
      <c r="Y598" s="28">
        <v>0.80576952122035905</v>
      </c>
      <c r="Z598" s="28">
        <v>0.79636973764490504</v>
      </c>
      <c r="AA598" s="28">
        <v>0.82956152758132995</v>
      </c>
      <c r="AB598" s="28">
        <v>0.81714640712362796</v>
      </c>
      <c r="AC598" s="28">
        <v>0.92</v>
      </c>
      <c r="AD598" s="26">
        <v>0.99930642252739599</v>
      </c>
      <c r="AE598" s="26">
        <v>0.97426173453528098</v>
      </c>
      <c r="AF598" s="26">
        <v>0.99153057882176798</v>
      </c>
      <c r="AG598" s="26">
        <v>0.98514273585906798</v>
      </c>
      <c r="AH598" s="28">
        <v>0.92</v>
      </c>
      <c r="AI598" s="26">
        <v>0.87161163134549002</v>
      </c>
      <c r="AJ598" s="26">
        <v>0.883895388850654</v>
      </c>
      <c r="AK598" s="26">
        <v>0.86276048478507295</v>
      </c>
      <c r="AL598" s="26">
        <v>0.87585801425736798</v>
      </c>
      <c r="AM598" s="25">
        <v>0.99</v>
      </c>
      <c r="AN598" s="30">
        <v>1</v>
      </c>
      <c r="AO598" s="30">
        <v>1</v>
      </c>
      <c r="AP598" s="30">
        <v>1</v>
      </c>
      <c r="AQ598" s="30">
        <v>1</v>
      </c>
      <c r="AR598" s="50">
        <v>0.05</v>
      </c>
      <c r="AS598" s="34">
        <v>0</v>
      </c>
      <c r="AT598" s="34">
        <v>3.4482758620689703E-2</v>
      </c>
      <c r="AU598" s="34">
        <v>4.4444444444444398E-2</v>
      </c>
      <c r="AV598" s="34">
        <v>1.8666666666666699E-2</v>
      </c>
      <c r="AW598" s="10"/>
      <c r="AX598" s="8"/>
    </row>
    <row r="599" spans="1:50">
      <c r="A599" s="7"/>
      <c r="B599" s="10"/>
      <c r="C599" s="45" t="s">
        <v>396</v>
      </c>
      <c r="D599" s="23" t="s">
        <v>19</v>
      </c>
      <c r="E599" s="46" t="s">
        <v>645</v>
      </c>
      <c r="F599" s="46" t="s">
        <v>645</v>
      </c>
      <c r="G599" s="46" t="s">
        <v>645</v>
      </c>
      <c r="H599" s="46" t="s">
        <v>645</v>
      </c>
      <c r="I599" s="25">
        <v>0.9</v>
      </c>
      <c r="J599" s="26">
        <v>0.86111111111111105</v>
      </c>
      <c r="K599" s="26">
        <v>0.92727272727272703</v>
      </c>
      <c r="L599" s="27">
        <v>0.85</v>
      </c>
      <c r="M599" s="26">
        <v>0.85617597292724201</v>
      </c>
      <c r="N599" s="28">
        <v>0.9</v>
      </c>
      <c r="O599" s="26">
        <v>0.96483037659508297</v>
      </c>
      <c r="P599" s="26">
        <v>0.95199999999999996</v>
      </c>
      <c r="Q599" s="26">
        <v>0.96916030534351105</v>
      </c>
      <c r="R599" s="26">
        <v>0.96005757466714603</v>
      </c>
      <c r="S599" s="28">
        <v>0.9</v>
      </c>
      <c r="T599" s="26">
        <v>0.92514783691254299</v>
      </c>
      <c r="U599" s="26">
        <v>0.85945945945945901</v>
      </c>
      <c r="V599" s="26">
        <v>0.92671755725190796</v>
      </c>
      <c r="W599" s="26">
        <v>0.88416096917356402</v>
      </c>
      <c r="X599" s="28">
        <v>0.92</v>
      </c>
      <c r="Y599" s="28">
        <v>0.91836037574722496</v>
      </c>
      <c r="Z599" s="28">
        <v>0.91272977151692103</v>
      </c>
      <c r="AA599" s="28">
        <v>0.87107548430193704</v>
      </c>
      <c r="AB599" s="28">
        <v>0.86939120631341604</v>
      </c>
      <c r="AC599" s="28">
        <v>0.92</v>
      </c>
      <c r="AD599" s="26">
        <v>0.98128248212262104</v>
      </c>
      <c r="AE599" s="26">
        <v>0.98990129328598897</v>
      </c>
      <c r="AF599" s="26">
        <v>0.97252661414511099</v>
      </c>
      <c r="AG599" s="26">
        <v>0.98398219249333096</v>
      </c>
      <c r="AH599" s="28">
        <v>0.92</v>
      </c>
      <c r="AI599" s="26">
        <v>0.94643874643874604</v>
      </c>
      <c r="AJ599" s="26">
        <v>0.95293961688871198</v>
      </c>
      <c r="AK599" s="26">
        <v>0.90632253272676599</v>
      </c>
      <c r="AL599" s="26">
        <v>0.92018527122778504</v>
      </c>
      <c r="AM599" s="25">
        <v>0.99</v>
      </c>
      <c r="AN599" s="30">
        <v>1</v>
      </c>
      <c r="AO599" s="30">
        <v>1</v>
      </c>
      <c r="AP599" s="30">
        <v>1</v>
      </c>
      <c r="AQ599" s="30">
        <v>1</v>
      </c>
      <c r="AR599" s="50">
        <v>0.05</v>
      </c>
      <c r="AS599" s="34">
        <v>0</v>
      </c>
      <c r="AT599" s="34">
        <v>5.2631578947368397E-2</v>
      </c>
      <c r="AU599" s="34">
        <v>0</v>
      </c>
      <c r="AV599" s="34">
        <v>3.3333333333333298E-2</v>
      </c>
      <c r="AW599" s="10"/>
      <c r="AX599" s="8"/>
    </row>
    <row r="600" spans="1:50">
      <c r="A600" s="7"/>
      <c r="B600" s="10"/>
      <c r="C600" s="45" t="s">
        <v>396</v>
      </c>
      <c r="D600" s="23" t="s">
        <v>19</v>
      </c>
      <c r="E600" s="46" t="s">
        <v>646</v>
      </c>
      <c r="F600" s="46" t="s">
        <v>646</v>
      </c>
      <c r="G600" s="46" t="s">
        <v>646</v>
      </c>
      <c r="H600" s="46" t="s">
        <v>646</v>
      </c>
      <c r="I600" s="25">
        <v>0.9</v>
      </c>
      <c r="J600" s="26">
        <v>0.93902439024390205</v>
      </c>
      <c r="K600" s="26">
        <v>0.97647058823529398</v>
      </c>
      <c r="L600" s="27">
        <v>0.91463414634146301</v>
      </c>
      <c r="M600" s="26">
        <v>0.92374727668845302</v>
      </c>
      <c r="N600" s="28">
        <v>0.9</v>
      </c>
      <c r="O600" s="26">
        <v>0.98324356672651103</v>
      </c>
      <c r="P600" s="26">
        <v>0.98074542703892198</v>
      </c>
      <c r="Q600" s="26">
        <v>0.98232418202331695</v>
      </c>
      <c r="R600" s="26">
        <v>0.98197133146150395</v>
      </c>
      <c r="S600" s="28">
        <v>0.9</v>
      </c>
      <c r="T600" s="26">
        <v>0.89228007181328595</v>
      </c>
      <c r="U600" s="26">
        <v>0.90042635125842396</v>
      </c>
      <c r="V600" s="26">
        <v>0.90447536667920303</v>
      </c>
      <c r="W600" s="26">
        <v>0.89611349194621004</v>
      </c>
      <c r="X600" s="28">
        <v>0.92</v>
      </c>
      <c r="Y600" s="28">
        <v>0.95754306594745098</v>
      </c>
      <c r="Z600" s="28">
        <v>0.969128001444304</v>
      </c>
      <c r="AA600" s="28">
        <v>0.97406378192404397</v>
      </c>
      <c r="AB600" s="28">
        <v>0.96545956098133601</v>
      </c>
      <c r="AC600" s="28">
        <v>0.92</v>
      </c>
      <c r="AD600" s="26">
        <v>0.99867109634551499</v>
      </c>
      <c r="AE600" s="26">
        <v>0.99845166998451695</v>
      </c>
      <c r="AF600" s="26">
        <v>0.99763691144325595</v>
      </c>
      <c r="AG600" s="26">
        <v>0.99711212088032397</v>
      </c>
      <c r="AH600" s="28">
        <v>0.92</v>
      </c>
      <c r="AI600" s="26">
        <v>0.96962660226639397</v>
      </c>
      <c r="AJ600" s="26">
        <v>0.97854412108917799</v>
      </c>
      <c r="AK600" s="26">
        <v>0.97906271402015499</v>
      </c>
      <c r="AL600" s="26">
        <v>0.97428772251009399</v>
      </c>
      <c r="AM600" s="25">
        <v>0.99</v>
      </c>
      <c r="AN600" s="30">
        <v>1</v>
      </c>
      <c r="AO600" s="30">
        <v>1</v>
      </c>
      <c r="AP600" s="30">
        <v>1</v>
      </c>
      <c r="AQ600" s="30">
        <v>1</v>
      </c>
      <c r="AR600" s="50">
        <v>0.05</v>
      </c>
      <c r="AS600" s="34">
        <v>2.6315789473684199E-2</v>
      </c>
      <c r="AT600" s="34">
        <v>9.375E-2</v>
      </c>
      <c r="AU600" s="34">
        <v>5.1282051282051301E-2</v>
      </c>
      <c r="AV600" s="34">
        <v>4.9107142857142898E-2</v>
      </c>
      <c r="AW600" s="10"/>
      <c r="AX600" s="8"/>
    </row>
    <row r="601" spans="1:50">
      <c r="A601" s="7"/>
      <c r="B601" s="10"/>
      <c r="C601" s="45" t="s">
        <v>396</v>
      </c>
      <c r="D601" s="23" t="s">
        <v>19</v>
      </c>
      <c r="E601" s="46" t="s">
        <v>647</v>
      </c>
      <c r="F601" s="46" t="s">
        <v>647</v>
      </c>
      <c r="G601" s="46" t="s">
        <v>647</v>
      </c>
      <c r="H601" s="46" t="s">
        <v>647</v>
      </c>
      <c r="I601" s="25">
        <v>0.9</v>
      </c>
      <c r="J601" s="26">
        <v>0.91869918699187003</v>
      </c>
      <c r="K601" s="26">
        <v>0.95121951219512202</v>
      </c>
      <c r="L601" s="27">
        <v>0.82758620689655205</v>
      </c>
      <c r="M601" s="26">
        <v>0.9</v>
      </c>
      <c r="N601" s="28">
        <v>0.9</v>
      </c>
      <c r="O601" s="26">
        <v>0.96603881278538795</v>
      </c>
      <c r="P601" s="26">
        <v>0.97403884264764196</v>
      </c>
      <c r="Q601" s="26">
        <v>0.98685747663551404</v>
      </c>
      <c r="R601" s="26">
        <v>0.97917023340752196</v>
      </c>
      <c r="S601" s="28">
        <v>0.9</v>
      </c>
      <c r="T601" s="26">
        <v>0.93022260273972601</v>
      </c>
      <c r="U601" s="26">
        <v>0.92905271502179898</v>
      </c>
      <c r="V601" s="26">
        <v>0.9375</v>
      </c>
      <c r="W601" s="26">
        <v>0.92655367231638397</v>
      </c>
      <c r="X601" s="28">
        <v>0.92</v>
      </c>
      <c r="Y601" s="28">
        <v>0.92613396994804098</v>
      </c>
      <c r="Z601" s="28">
        <v>0.93965641691930102</v>
      </c>
      <c r="AA601" s="28">
        <v>0.95275146594497095</v>
      </c>
      <c r="AB601" s="28">
        <v>0.932729132472228</v>
      </c>
      <c r="AC601" s="28">
        <v>0.92</v>
      </c>
      <c r="AD601" s="26">
        <v>0.99942470239412295</v>
      </c>
      <c r="AE601" s="26">
        <v>0.99932885906040303</v>
      </c>
      <c r="AF601" s="26">
        <v>0.999859230271122</v>
      </c>
      <c r="AG601" s="26">
        <v>0.99881139476221303</v>
      </c>
      <c r="AH601" s="28">
        <v>0.92</v>
      </c>
      <c r="AI601" s="26">
        <v>0.94594212127644495</v>
      </c>
      <c r="AJ601" s="26">
        <v>0.96260639859113595</v>
      </c>
      <c r="AK601" s="26">
        <v>0.959668238738006</v>
      </c>
      <c r="AL601" s="26">
        <v>0.95237477795210201</v>
      </c>
      <c r="AM601" s="25">
        <v>0.99</v>
      </c>
      <c r="AN601" s="30">
        <v>1</v>
      </c>
      <c r="AO601" s="30">
        <v>1</v>
      </c>
      <c r="AP601" s="30">
        <v>1</v>
      </c>
      <c r="AQ601" s="30">
        <v>1</v>
      </c>
      <c r="AR601" s="50">
        <v>0.05</v>
      </c>
      <c r="AS601" s="34">
        <v>2.1276595744680899E-2</v>
      </c>
      <c r="AT601" s="34">
        <v>2.7027027027027001E-2</v>
      </c>
      <c r="AU601" s="34">
        <v>3.125E-2</v>
      </c>
      <c r="AV601" s="34">
        <v>4.2735042735042701E-2</v>
      </c>
      <c r="AW601" s="10"/>
      <c r="AX601" s="8"/>
    </row>
    <row r="602" spans="1:50">
      <c r="A602" s="7"/>
      <c r="B602" s="10"/>
      <c r="C602" s="45" t="s">
        <v>396</v>
      </c>
      <c r="D602" s="23" t="s">
        <v>19</v>
      </c>
      <c r="E602" s="46" t="s">
        <v>648</v>
      </c>
      <c r="F602" s="46" t="s">
        <v>648</v>
      </c>
      <c r="G602" s="46" t="s">
        <v>648</v>
      </c>
      <c r="H602" s="46" t="s">
        <v>648</v>
      </c>
      <c r="I602" s="25">
        <v>0.9</v>
      </c>
      <c r="J602" s="26">
        <v>1</v>
      </c>
      <c r="K602" s="26">
        <v>0.94594594594594605</v>
      </c>
      <c r="L602" s="27">
        <v>0.88571428571428601</v>
      </c>
      <c r="M602" s="26">
        <v>0.93846153846153801</v>
      </c>
      <c r="N602" s="28">
        <v>0.9</v>
      </c>
      <c r="O602" s="26">
        <v>0.96303142329020297</v>
      </c>
      <c r="P602" s="26">
        <v>0.932688432083837</v>
      </c>
      <c r="Q602" s="26">
        <v>0.80477223427331901</v>
      </c>
      <c r="R602" s="26">
        <v>0.87959183673469399</v>
      </c>
      <c r="S602" s="28">
        <v>0.9</v>
      </c>
      <c r="T602" s="26">
        <v>0.92852741836106001</v>
      </c>
      <c r="U602" s="26">
        <v>0.88512696493349496</v>
      </c>
      <c r="V602" s="26">
        <v>0.93275488069414303</v>
      </c>
      <c r="W602" s="26">
        <v>0.88122448979591805</v>
      </c>
      <c r="X602" s="28">
        <v>0.92</v>
      </c>
      <c r="Y602" s="28">
        <v>0.91232091690544403</v>
      </c>
      <c r="Z602" s="28">
        <v>0.94919306634787803</v>
      </c>
      <c r="AA602" s="28">
        <v>0.95530726256983201</v>
      </c>
      <c r="AB602" s="28">
        <v>0.92999661819411605</v>
      </c>
      <c r="AC602" s="28">
        <v>0.92</v>
      </c>
      <c r="AD602" s="26">
        <v>1</v>
      </c>
      <c r="AE602" s="26">
        <v>0.97457627118644097</v>
      </c>
      <c r="AF602" s="26">
        <v>0.98265895953757199</v>
      </c>
      <c r="AG602" s="26">
        <v>0.98540965207631903</v>
      </c>
      <c r="AH602" s="28">
        <v>0.92</v>
      </c>
      <c r="AI602" s="26">
        <v>0.94447743467933498</v>
      </c>
      <c r="AJ602" s="26">
        <v>0.96942705825710196</v>
      </c>
      <c r="AK602" s="26">
        <v>0.96525858665613895</v>
      </c>
      <c r="AL602" s="26">
        <v>0.95142459297343596</v>
      </c>
      <c r="AM602" s="25">
        <v>0.99</v>
      </c>
      <c r="AN602" s="30">
        <v>1</v>
      </c>
      <c r="AO602" s="30">
        <v>1</v>
      </c>
      <c r="AP602" s="30">
        <v>1</v>
      </c>
      <c r="AQ602" s="30">
        <v>1</v>
      </c>
      <c r="AR602" s="50">
        <v>0.05</v>
      </c>
      <c r="AS602" s="34">
        <v>0.25</v>
      </c>
      <c r="AT602" s="34">
        <v>0</v>
      </c>
      <c r="AU602" s="34">
        <v>0.18181818181818199</v>
      </c>
      <c r="AV602" s="34">
        <v>0.10606060606060599</v>
      </c>
      <c r="AW602" s="10"/>
      <c r="AX602" s="8"/>
    </row>
    <row r="603" spans="1:50">
      <c r="A603" s="7"/>
      <c r="B603" s="10"/>
      <c r="C603" s="45" t="s">
        <v>396</v>
      </c>
      <c r="D603" s="23" t="s">
        <v>19</v>
      </c>
      <c r="E603" s="46" t="s">
        <v>649</v>
      </c>
      <c r="F603" s="46" t="s">
        <v>649</v>
      </c>
      <c r="G603" s="46" t="s">
        <v>649</v>
      </c>
      <c r="H603" s="46" t="s">
        <v>649</v>
      </c>
      <c r="I603" s="25">
        <v>0.9</v>
      </c>
      <c r="J603" s="26">
        <v>0.91071428571428603</v>
      </c>
      <c r="K603" s="26">
        <v>0.96428571428571397</v>
      </c>
      <c r="L603" s="27">
        <v>0.88679245283018904</v>
      </c>
      <c r="M603" s="26">
        <v>0.92356687898089196</v>
      </c>
      <c r="N603" s="28">
        <v>0.9</v>
      </c>
      <c r="O603" s="26">
        <v>0.95474613686534204</v>
      </c>
      <c r="P603" s="26">
        <v>0.96728971962616805</v>
      </c>
      <c r="Q603" s="26">
        <v>0.91520672740013997</v>
      </c>
      <c r="R603" s="26">
        <v>0.944977607165707</v>
      </c>
      <c r="S603" s="28">
        <v>0.9</v>
      </c>
      <c r="T603" s="26">
        <v>0.91353936718175099</v>
      </c>
      <c r="U603" s="26">
        <v>0.87960417811984604</v>
      </c>
      <c r="V603" s="26">
        <v>0.91380518570427505</v>
      </c>
      <c r="W603" s="26">
        <v>0.90623444942063003</v>
      </c>
      <c r="X603" s="28">
        <v>0.92</v>
      </c>
      <c r="Y603" s="28">
        <v>0.901530967292971</v>
      </c>
      <c r="Z603" s="28">
        <v>0.93582691602493595</v>
      </c>
      <c r="AA603" s="28">
        <v>0.87772564173336998</v>
      </c>
      <c r="AB603" s="28">
        <v>0.90012665098606803</v>
      </c>
      <c r="AC603" s="28">
        <v>0.92</v>
      </c>
      <c r="AD603" s="26">
        <v>0.99553840588448095</v>
      </c>
      <c r="AE603" s="26">
        <v>0.99541238655629805</v>
      </c>
      <c r="AF603" s="26">
        <v>0.99122354155911196</v>
      </c>
      <c r="AG603" s="26">
        <v>0.99404346138921196</v>
      </c>
      <c r="AH603" s="28">
        <v>0.92</v>
      </c>
      <c r="AI603" s="26">
        <v>0.93657316419510495</v>
      </c>
      <c r="AJ603" s="26">
        <v>0.95651491365777097</v>
      </c>
      <c r="AK603" s="26">
        <v>0.90461112210567995</v>
      </c>
      <c r="AL603" s="26">
        <v>0.93364851646560199</v>
      </c>
      <c r="AM603" s="25">
        <v>0.99</v>
      </c>
      <c r="AN603" s="30">
        <v>1</v>
      </c>
      <c r="AO603" s="30">
        <v>1</v>
      </c>
      <c r="AP603" s="30">
        <v>1</v>
      </c>
      <c r="AQ603" s="30">
        <v>1</v>
      </c>
      <c r="AR603" s="50">
        <v>0.05</v>
      </c>
      <c r="AS603" s="34">
        <v>0.18181818181818199</v>
      </c>
      <c r="AT603" s="34">
        <v>6.25E-2</v>
      </c>
      <c r="AU603" s="34">
        <v>0</v>
      </c>
      <c r="AV603" s="34">
        <v>5.1282051282051301E-2</v>
      </c>
      <c r="AW603" s="10"/>
      <c r="AX603" s="8"/>
    </row>
    <row r="604" spans="1:50">
      <c r="A604" s="7"/>
      <c r="B604" s="10"/>
      <c r="C604" s="45" t="s">
        <v>396</v>
      </c>
      <c r="D604" s="23" t="s">
        <v>19</v>
      </c>
      <c r="E604" s="46" t="s">
        <v>650</v>
      </c>
      <c r="F604" s="46" t="s">
        <v>650</v>
      </c>
      <c r="G604" s="46" t="s">
        <v>650</v>
      </c>
      <c r="H604" s="46" t="s">
        <v>650</v>
      </c>
      <c r="I604" s="25">
        <v>0.9</v>
      </c>
      <c r="J604" s="26">
        <v>0.86206896551724099</v>
      </c>
      <c r="K604" s="26">
        <v>0.89655172413793105</v>
      </c>
      <c r="L604" s="27">
        <v>0.84482758620689702</v>
      </c>
      <c r="M604" s="26">
        <v>0.85714285714285698</v>
      </c>
      <c r="N604" s="28">
        <v>0.9</v>
      </c>
      <c r="O604" s="26">
        <v>0.97461178210500399</v>
      </c>
      <c r="P604" s="26">
        <v>0.93831048536494999</v>
      </c>
      <c r="Q604" s="26">
        <v>0.97748513169073903</v>
      </c>
      <c r="R604" s="26">
        <v>0.95997328371738</v>
      </c>
      <c r="S604" s="28">
        <v>0.9</v>
      </c>
      <c r="T604" s="26">
        <v>0.90658121764850896</v>
      </c>
      <c r="U604" s="26">
        <v>0.87143386439421999</v>
      </c>
      <c r="V604" s="26">
        <v>0.93330501274426503</v>
      </c>
      <c r="W604" s="26">
        <v>0.88593101474166303</v>
      </c>
      <c r="X604" s="28">
        <v>0.92</v>
      </c>
      <c r="Y604" s="28">
        <v>0.93061598351270902</v>
      </c>
      <c r="Z604" s="28">
        <v>0.93158905424867999</v>
      </c>
      <c r="AA604" s="28">
        <v>0.91553228621291405</v>
      </c>
      <c r="AB604" s="28">
        <v>0.91472453265255704</v>
      </c>
      <c r="AC604" s="28">
        <v>0.92</v>
      </c>
      <c r="AD604" s="26">
        <v>0.97910826677950002</v>
      </c>
      <c r="AE604" s="26">
        <v>0.99873209673632302</v>
      </c>
      <c r="AF604" s="26">
        <v>0.96100057670126904</v>
      </c>
      <c r="AG604" s="26">
        <v>0.97742316268089002</v>
      </c>
      <c r="AH604" s="28">
        <v>0.92</v>
      </c>
      <c r="AI604" s="26">
        <v>0.94876052662792099</v>
      </c>
      <c r="AJ604" s="26">
        <v>0.95559038662486895</v>
      </c>
      <c r="AK604" s="26">
        <v>0.935029644268775</v>
      </c>
      <c r="AL604" s="26">
        <v>0.939659550040845</v>
      </c>
      <c r="AM604" s="25">
        <v>0.99</v>
      </c>
      <c r="AN604" s="30">
        <v>1</v>
      </c>
      <c r="AO604" s="30">
        <v>1</v>
      </c>
      <c r="AP604" s="30">
        <v>1</v>
      </c>
      <c r="AQ604" s="30">
        <v>1</v>
      </c>
      <c r="AR604" s="50">
        <v>0.05</v>
      </c>
      <c r="AS604" s="34">
        <v>6.5217391304347797E-2</v>
      </c>
      <c r="AT604" s="34">
        <v>1.85185185185185E-2</v>
      </c>
      <c r="AU604" s="34">
        <v>2.3809523809523801E-2</v>
      </c>
      <c r="AV604" s="34">
        <v>5.13698630136986E-2</v>
      </c>
      <c r="AW604" s="10"/>
      <c r="AX604" s="8"/>
    </row>
    <row r="605" spans="1:50">
      <c r="A605" s="7"/>
      <c r="B605" s="10"/>
      <c r="C605" s="45" t="s">
        <v>396</v>
      </c>
      <c r="D605" s="23" t="s">
        <v>19</v>
      </c>
      <c r="E605" s="46" t="s">
        <v>651</v>
      </c>
      <c r="F605" s="46" t="s">
        <v>651</v>
      </c>
      <c r="G605" s="46" t="s">
        <v>651</v>
      </c>
      <c r="H605" s="46" t="s">
        <v>651</v>
      </c>
      <c r="I605" s="25">
        <v>0.9</v>
      </c>
      <c r="J605" s="26">
        <v>0.84482758620689702</v>
      </c>
      <c r="K605" s="26">
        <v>0.77049180327868805</v>
      </c>
      <c r="L605" s="27">
        <v>0.82142857142857095</v>
      </c>
      <c r="M605" s="26">
        <v>0.81114551083591302</v>
      </c>
      <c r="N605" s="28">
        <v>0.9</v>
      </c>
      <c r="O605" s="26">
        <v>0.98400232693426404</v>
      </c>
      <c r="P605" s="26">
        <v>0.94993793959453898</v>
      </c>
      <c r="Q605" s="26">
        <v>0.99148363962348696</v>
      </c>
      <c r="R605" s="26">
        <v>0.97750566404142802</v>
      </c>
      <c r="S605" s="28">
        <v>0.9</v>
      </c>
      <c r="T605" s="26">
        <v>0.89557882489819696</v>
      </c>
      <c r="U605" s="26">
        <v>0.86636326023996701</v>
      </c>
      <c r="V605" s="26">
        <v>0.911698789780368</v>
      </c>
      <c r="W605" s="26">
        <v>0.88046175423454498</v>
      </c>
      <c r="X605" s="28">
        <v>0.92</v>
      </c>
      <c r="Y605" s="28">
        <v>0.93983782369866598</v>
      </c>
      <c r="Z605" s="28">
        <v>0.94375324002073602</v>
      </c>
      <c r="AA605" s="28">
        <v>0.93811475409836098</v>
      </c>
      <c r="AB605" s="28">
        <v>0.93402476355827702</v>
      </c>
      <c r="AC605" s="28">
        <v>0.92</v>
      </c>
      <c r="AD605" s="26">
        <v>0.99852463853644102</v>
      </c>
      <c r="AE605" s="26">
        <v>0.97963340122199605</v>
      </c>
      <c r="AF605" s="26">
        <v>0.98412813978886104</v>
      </c>
      <c r="AG605" s="26">
        <v>0.98107034353820999</v>
      </c>
      <c r="AH605" s="28">
        <v>0.92</v>
      </c>
      <c r="AI605" s="26">
        <v>0.95306908890723896</v>
      </c>
      <c r="AJ605" s="26">
        <v>0.96205588133839304</v>
      </c>
      <c r="AK605" s="26">
        <v>0.95177843385350802</v>
      </c>
      <c r="AL605" s="26">
        <v>0.951462552234008</v>
      </c>
      <c r="AM605" s="25">
        <v>0.99</v>
      </c>
      <c r="AN605" s="30">
        <v>1</v>
      </c>
      <c r="AO605" s="30">
        <v>1</v>
      </c>
      <c r="AP605" s="30">
        <v>1</v>
      </c>
      <c r="AQ605" s="30">
        <v>1</v>
      </c>
      <c r="AR605" s="50">
        <v>0.05</v>
      </c>
      <c r="AS605" s="34">
        <v>5.2631578947368397E-2</v>
      </c>
      <c r="AT605" s="34">
        <v>4.8780487804878099E-2</v>
      </c>
      <c r="AU605" s="34">
        <v>0</v>
      </c>
      <c r="AV605" s="34">
        <v>4.5833333333333302E-2</v>
      </c>
      <c r="AW605" s="10"/>
      <c r="AX605" s="8"/>
    </row>
    <row r="606" spans="1:50">
      <c r="A606" s="7"/>
      <c r="B606" s="10"/>
      <c r="C606" s="45" t="s">
        <v>396</v>
      </c>
      <c r="D606" s="23" t="s">
        <v>19</v>
      </c>
      <c r="E606" s="46" t="s">
        <v>652</v>
      </c>
      <c r="F606" s="46" t="s">
        <v>652</v>
      </c>
      <c r="G606" s="46" t="s">
        <v>652</v>
      </c>
      <c r="H606" s="46" t="s">
        <v>652</v>
      </c>
      <c r="I606" s="25">
        <v>0.9</v>
      </c>
      <c r="J606" s="26">
        <v>0.77777777777777801</v>
      </c>
      <c r="K606" s="26">
        <v>0.82352941176470595</v>
      </c>
      <c r="L606" s="27">
        <v>0.71428571428571397</v>
      </c>
      <c r="M606" s="26">
        <v>0.72413793103448298</v>
      </c>
      <c r="N606" s="28">
        <v>0.9</v>
      </c>
      <c r="O606" s="26">
        <v>0.77980198019802005</v>
      </c>
      <c r="P606" s="26">
        <v>0.65209125475285201</v>
      </c>
      <c r="Q606" s="26">
        <v>0.83333333333333304</v>
      </c>
      <c r="R606" s="26">
        <v>0.76459175424413905</v>
      </c>
      <c r="S606" s="28">
        <v>0.9</v>
      </c>
      <c r="T606" s="26">
        <v>0.74019801980197997</v>
      </c>
      <c r="U606" s="26">
        <v>0.659695817490494</v>
      </c>
      <c r="V606" s="26">
        <v>0.80365296803652997</v>
      </c>
      <c r="W606" s="26">
        <v>0.71212611156022598</v>
      </c>
      <c r="X606" s="28">
        <v>0.92</v>
      </c>
      <c r="Y606" s="28">
        <v>0.71409455842997305</v>
      </c>
      <c r="Z606" s="28">
        <v>0.66491458607095899</v>
      </c>
      <c r="AA606" s="28">
        <v>0.52529536504089702</v>
      </c>
      <c r="AB606" s="28">
        <v>0.62763362164559799</v>
      </c>
      <c r="AC606" s="28">
        <v>0.92</v>
      </c>
      <c r="AD606" s="26">
        <v>0.99669615261643396</v>
      </c>
      <c r="AE606" s="26">
        <v>0.53724063177454295</v>
      </c>
      <c r="AF606" s="26">
        <v>0.76623513870541604</v>
      </c>
      <c r="AG606" s="26">
        <v>0.77575233096979501</v>
      </c>
      <c r="AH606" s="28">
        <v>0.92</v>
      </c>
      <c r="AI606" s="26">
        <v>0.82124895222129102</v>
      </c>
      <c r="AJ606" s="26">
        <v>0.77883908890521703</v>
      </c>
      <c r="AK606" s="26">
        <v>0.62659735759151003</v>
      </c>
      <c r="AL606" s="26">
        <v>0.74728879626413502</v>
      </c>
      <c r="AM606" s="25">
        <v>0.99</v>
      </c>
      <c r="AN606" s="30">
        <v>1</v>
      </c>
      <c r="AO606" s="30">
        <v>1</v>
      </c>
      <c r="AP606" s="30">
        <v>1</v>
      </c>
      <c r="AQ606" s="30">
        <v>1</v>
      </c>
      <c r="AR606" s="50">
        <v>0.05</v>
      </c>
      <c r="AS606" s="34">
        <v>7.1428571428571397E-2</v>
      </c>
      <c r="AT606" s="34">
        <v>1.85185185185185E-2</v>
      </c>
      <c r="AU606" s="34">
        <v>5.1282051282051301E-2</v>
      </c>
      <c r="AV606" s="34">
        <v>2.1818181818181799E-2</v>
      </c>
      <c r="AW606" s="10"/>
      <c r="AX606" s="8"/>
    </row>
    <row r="607" spans="1:50">
      <c r="A607" s="7"/>
      <c r="B607" s="10"/>
      <c r="C607" s="45" t="s">
        <v>396</v>
      </c>
      <c r="D607" s="23" t="s">
        <v>19</v>
      </c>
      <c r="E607" s="46" t="s">
        <v>653</v>
      </c>
      <c r="F607" s="46" t="s">
        <v>653</v>
      </c>
      <c r="G607" s="46" t="s">
        <v>653</v>
      </c>
      <c r="H607" s="46" t="s">
        <v>653</v>
      </c>
      <c r="I607" s="25">
        <v>0.9</v>
      </c>
      <c r="J607" s="26">
        <v>0.871428571428571</v>
      </c>
      <c r="K607" s="26">
        <v>0.92957746478873204</v>
      </c>
      <c r="L607" s="27">
        <v>0.92537313432835799</v>
      </c>
      <c r="M607" s="26">
        <v>0.89664082687338498</v>
      </c>
      <c r="N607" s="28">
        <v>0.9</v>
      </c>
      <c r="O607" s="26">
        <v>0.96919271418934105</v>
      </c>
      <c r="P607" s="26">
        <v>0.93833824010467803</v>
      </c>
      <c r="Q607" s="26">
        <v>0.98608568290003695</v>
      </c>
      <c r="R607" s="26">
        <v>0.96079172970247095</v>
      </c>
      <c r="S607" s="28">
        <v>0.9</v>
      </c>
      <c r="T607" s="26">
        <v>0.88329210703845296</v>
      </c>
      <c r="U607" s="26">
        <v>0.84838076545633001</v>
      </c>
      <c r="V607" s="26">
        <v>0.93811790552911001</v>
      </c>
      <c r="W607" s="26">
        <v>0.88451840645486601</v>
      </c>
      <c r="X607" s="28">
        <v>0.92</v>
      </c>
      <c r="Y607" s="28">
        <v>0.91372549019607796</v>
      </c>
      <c r="Z607" s="28">
        <v>0.905529438101634</v>
      </c>
      <c r="AA607" s="28">
        <v>0.85702438215292798</v>
      </c>
      <c r="AB607" s="28">
        <v>0.88842686149541406</v>
      </c>
      <c r="AC607" s="28">
        <v>0.92</v>
      </c>
      <c r="AD607" s="26">
        <v>0.98751527850532606</v>
      </c>
      <c r="AE607" s="26">
        <v>0.99361010563640395</v>
      </c>
      <c r="AF607" s="26">
        <v>0.99461744212924696</v>
      </c>
      <c r="AG607" s="26">
        <v>0.99016128190406605</v>
      </c>
      <c r="AH607" s="28">
        <v>0.92</v>
      </c>
      <c r="AI607" s="26">
        <v>0.93555732665376301</v>
      </c>
      <c r="AJ607" s="26">
        <v>0.94229316207026803</v>
      </c>
      <c r="AK607" s="26">
        <v>0.89283268660123305</v>
      </c>
      <c r="AL607" s="26">
        <v>0.92558580741518204</v>
      </c>
      <c r="AM607" s="25">
        <v>0.99</v>
      </c>
      <c r="AN607" s="30">
        <v>1</v>
      </c>
      <c r="AO607" s="30">
        <v>1</v>
      </c>
      <c r="AP607" s="30">
        <v>1</v>
      </c>
      <c r="AQ607" s="30">
        <v>1</v>
      </c>
      <c r="AR607" s="50">
        <v>0.05</v>
      </c>
      <c r="AS607" s="34">
        <v>1.3698630136986301E-2</v>
      </c>
      <c r="AT607" s="34">
        <v>2.40963855421687E-2</v>
      </c>
      <c r="AU607" s="34">
        <v>5.6603773584905703E-2</v>
      </c>
      <c r="AV607" s="34">
        <v>5.2154195011337903E-2</v>
      </c>
      <c r="AW607" s="10"/>
      <c r="AX607" s="8"/>
    </row>
    <row r="608" spans="1:50">
      <c r="A608" s="7"/>
      <c r="B608" s="10"/>
      <c r="C608" s="45" t="s">
        <v>396</v>
      </c>
      <c r="D608" s="23" t="s">
        <v>19</v>
      </c>
      <c r="E608" s="46" t="s">
        <v>654</v>
      </c>
      <c r="F608" s="46" t="s">
        <v>654</v>
      </c>
      <c r="G608" s="46" t="s">
        <v>654</v>
      </c>
      <c r="H608" s="46" t="s">
        <v>654</v>
      </c>
      <c r="I608" s="25">
        <v>0.9</v>
      </c>
      <c r="J608" s="26">
        <v>0.90909090909090895</v>
      </c>
      <c r="K608" s="26">
        <v>0.94382022471910099</v>
      </c>
      <c r="L608" s="27">
        <v>0.92207792207792205</v>
      </c>
      <c r="M608" s="26">
        <v>0.92389006342494695</v>
      </c>
      <c r="N608" s="28">
        <v>0.9</v>
      </c>
      <c r="O608" s="26">
        <v>0.93413413413413404</v>
      </c>
      <c r="P608" s="26">
        <v>0.93177816901408494</v>
      </c>
      <c r="Q608" s="26">
        <v>0.949205118262893</v>
      </c>
      <c r="R608" s="26">
        <v>0.93784284941667295</v>
      </c>
      <c r="S608" s="28">
        <v>0.9</v>
      </c>
      <c r="T608" s="26">
        <v>0.9001001001001</v>
      </c>
      <c r="U608" s="26">
        <v>0.86517018779342703</v>
      </c>
      <c r="V608" s="26">
        <v>0.89298177588212502</v>
      </c>
      <c r="W608" s="26">
        <v>0.88851116433593402</v>
      </c>
      <c r="X608" s="28">
        <v>0.92</v>
      </c>
      <c r="Y608" s="28">
        <v>0.91866812227074202</v>
      </c>
      <c r="Z608" s="28">
        <v>0.95153664302600505</v>
      </c>
      <c r="AA608" s="28">
        <v>0.91993415145166102</v>
      </c>
      <c r="AB608" s="28">
        <v>0.93506071822845604</v>
      </c>
      <c r="AC608" s="28">
        <v>0.92</v>
      </c>
      <c r="AD608" s="26">
        <v>0.99955625479043098</v>
      </c>
      <c r="AE608" s="26">
        <v>0.99963339443426102</v>
      </c>
      <c r="AF608" s="26">
        <v>0.99975624024960996</v>
      </c>
      <c r="AG608" s="26">
        <v>0.99971359265862003</v>
      </c>
      <c r="AH608" s="28">
        <v>0.92</v>
      </c>
      <c r="AI608" s="26">
        <v>0.94284081166047395</v>
      </c>
      <c r="AJ608" s="26">
        <v>0.96536942086240196</v>
      </c>
      <c r="AK608" s="26">
        <v>0.93170784334879697</v>
      </c>
      <c r="AL608" s="26">
        <v>0.95155660543665999</v>
      </c>
      <c r="AM608" s="25">
        <v>0.99</v>
      </c>
      <c r="AN608" s="30">
        <v>1</v>
      </c>
      <c r="AO608" s="30">
        <v>1</v>
      </c>
      <c r="AP608" s="30">
        <v>1</v>
      </c>
      <c r="AQ608" s="30">
        <v>1</v>
      </c>
      <c r="AR608" s="50">
        <v>0.05</v>
      </c>
      <c r="AS608" s="34">
        <v>0</v>
      </c>
      <c r="AT608" s="34">
        <v>2.1739130434782601E-2</v>
      </c>
      <c r="AU608" s="34">
        <v>2.8571428571428598E-2</v>
      </c>
      <c r="AV608" s="34">
        <v>2.00803212851406E-2</v>
      </c>
      <c r="AW608" s="10"/>
      <c r="AX608" s="8"/>
    </row>
    <row r="609" spans="1:50">
      <c r="A609" s="7"/>
      <c r="B609" s="10"/>
      <c r="C609" s="45" t="s">
        <v>396</v>
      </c>
      <c r="D609" s="23" t="s">
        <v>19</v>
      </c>
      <c r="E609" s="46" t="s">
        <v>655</v>
      </c>
      <c r="F609" s="46" t="s">
        <v>655</v>
      </c>
      <c r="G609" s="46" t="s">
        <v>655</v>
      </c>
      <c r="H609" s="46" t="s">
        <v>655</v>
      </c>
      <c r="I609" s="25">
        <v>0.9</v>
      </c>
      <c r="J609" s="26">
        <v>0.98809523809523803</v>
      </c>
      <c r="K609" s="26">
        <v>0.97701149425287404</v>
      </c>
      <c r="L609" s="27">
        <v>0.921875</v>
      </c>
      <c r="M609" s="26">
        <v>0.95364238410596003</v>
      </c>
      <c r="N609" s="28">
        <v>0.9</v>
      </c>
      <c r="O609" s="26">
        <v>0.967182130584192</v>
      </c>
      <c r="P609" s="26">
        <v>0.96934538348803101</v>
      </c>
      <c r="Q609" s="26">
        <v>0.95963442498095997</v>
      </c>
      <c r="R609" s="26">
        <v>0.96266536311142303</v>
      </c>
      <c r="S609" s="28">
        <v>0.9</v>
      </c>
      <c r="T609" s="26">
        <v>0.91288659793814397</v>
      </c>
      <c r="U609" s="26">
        <v>0.88959452857840704</v>
      </c>
      <c r="V609" s="26">
        <v>0.90860624523990896</v>
      </c>
      <c r="W609" s="26">
        <v>0.89899483669915403</v>
      </c>
      <c r="X609" s="28">
        <v>0.92</v>
      </c>
      <c r="Y609" s="28">
        <v>0.93874877169996696</v>
      </c>
      <c r="Z609" s="28">
        <v>0.94420289855072503</v>
      </c>
      <c r="AA609" s="28">
        <v>0.93656032269893696</v>
      </c>
      <c r="AB609" s="28">
        <v>0.93137186871140099</v>
      </c>
      <c r="AC609" s="28">
        <v>0.92</v>
      </c>
      <c r="AD609" s="26">
        <v>0.98531375166889201</v>
      </c>
      <c r="AE609" s="26">
        <v>0.91950261780104703</v>
      </c>
      <c r="AF609" s="26">
        <v>0.99662589624631004</v>
      </c>
      <c r="AG609" s="26">
        <v>0.97647498132934996</v>
      </c>
      <c r="AH609" s="28">
        <v>0.92</v>
      </c>
      <c r="AI609" s="26">
        <v>0.96575033799008603</v>
      </c>
      <c r="AJ609" s="26">
        <v>0.97744498219340703</v>
      </c>
      <c r="AK609" s="26">
        <v>0.95686274509803904</v>
      </c>
      <c r="AL609" s="26">
        <v>0.96336033247105701</v>
      </c>
      <c r="AM609" s="25">
        <v>0.99</v>
      </c>
      <c r="AN609" s="30">
        <v>1</v>
      </c>
      <c r="AO609" s="30">
        <v>1</v>
      </c>
      <c r="AP609" s="30">
        <v>1</v>
      </c>
      <c r="AQ609" s="30">
        <v>1</v>
      </c>
      <c r="AR609" s="50">
        <v>0.05</v>
      </c>
      <c r="AS609" s="34">
        <v>0</v>
      </c>
      <c r="AT609" s="34">
        <v>6.9930069930069904E-3</v>
      </c>
      <c r="AU609" s="34">
        <v>1.9801980198019799E-2</v>
      </c>
      <c r="AV609" s="34">
        <v>4.6728971962616802E-3</v>
      </c>
      <c r="AW609" s="10"/>
      <c r="AX609" s="8"/>
    </row>
    <row r="610" spans="1:50">
      <c r="A610" s="7"/>
      <c r="B610" s="10"/>
      <c r="C610" s="45" t="s">
        <v>396</v>
      </c>
      <c r="D610" s="23" t="s">
        <v>19</v>
      </c>
      <c r="E610" s="46" t="s">
        <v>656</v>
      </c>
      <c r="F610" s="46" t="s">
        <v>656</v>
      </c>
      <c r="G610" s="46" t="s">
        <v>656</v>
      </c>
      <c r="H610" s="46" t="s">
        <v>656</v>
      </c>
      <c r="I610" s="25">
        <v>0.9</v>
      </c>
      <c r="J610" s="26">
        <v>1</v>
      </c>
      <c r="K610" s="26">
        <v>1</v>
      </c>
      <c r="L610" s="27">
        <v>1</v>
      </c>
      <c r="M610" s="26">
        <v>0.99722222222222201</v>
      </c>
      <c r="N610" s="28">
        <v>0.9</v>
      </c>
      <c r="O610" s="26">
        <v>0.98134648370497402</v>
      </c>
      <c r="P610" s="26">
        <v>0.98469001061088401</v>
      </c>
      <c r="Q610" s="26">
        <v>0.99107541276216005</v>
      </c>
      <c r="R610" s="26">
        <v>0.98433712474361401</v>
      </c>
      <c r="S610" s="28">
        <v>0.9</v>
      </c>
      <c r="T610" s="26">
        <v>0.94939965694682704</v>
      </c>
      <c r="U610" s="26">
        <v>0.92845232681521905</v>
      </c>
      <c r="V610" s="26">
        <v>0.95537706381079901</v>
      </c>
      <c r="W610" s="26">
        <v>0.944956181241842</v>
      </c>
      <c r="X610" s="28">
        <v>0.92</v>
      </c>
      <c r="Y610" s="28">
        <v>0.95300546448087398</v>
      </c>
      <c r="Z610" s="28">
        <v>0.96492204899777301</v>
      </c>
      <c r="AA610" s="28">
        <v>0.94847328244274798</v>
      </c>
      <c r="AB610" s="28">
        <v>0.94401378122308399</v>
      </c>
      <c r="AC610" s="28">
        <v>0.92</v>
      </c>
      <c r="AD610" s="26">
        <v>0.99769319492502895</v>
      </c>
      <c r="AE610" s="26">
        <v>0.99102564102564095</v>
      </c>
      <c r="AF610" s="26">
        <v>0.99496221662468498</v>
      </c>
      <c r="AG610" s="26">
        <v>0.99399270542801998</v>
      </c>
      <c r="AH610" s="28">
        <v>0.92</v>
      </c>
      <c r="AI610" s="26">
        <v>0.97677637649953897</v>
      </c>
      <c r="AJ610" s="26">
        <v>0.986425339366516</v>
      </c>
      <c r="AK610" s="26">
        <v>0.97197485594552102</v>
      </c>
      <c r="AL610" s="26">
        <v>0.97780176589443402</v>
      </c>
      <c r="AM610" s="25">
        <v>0.99</v>
      </c>
      <c r="AN610" s="30">
        <v>1</v>
      </c>
      <c r="AO610" s="30">
        <v>1</v>
      </c>
      <c r="AP610" s="30">
        <v>1</v>
      </c>
      <c r="AQ610" s="30">
        <v>1</v>
      </c>
      <c r="AR610" s="50">
        <v>0.05</v>
      </c>
      <c r="AS610" s="34">
        <v>6.0975609756097598E-3</v>
      </c>
      <c r="AT610" s="34">
        <v>0</v>
      </c>
      <c r="AU610" s="34">
        <v>3.7974683544303799E-2</v>
      </c>
      <c r="AV610" s="34">
        <v>9.9108027750247803E-3</v>
      </c>
      <c r="AW610" s="10"/>
      <c r="AX610" s="8"/>
    </row>
    <row r="611" spans="1:50">
      <c r="A611" s="7"/>
      <c r="B611" s="10"/>
      <c r="C611" s="45" t="s">
        <v>396</v>
      </c>
      <c r="D611" s="23" t="s">
        <v>19</v>
      </c>
      <c r="E611" s="46" t="s">
        <v>657</v>
      </c>
      <c r="F611" s="46" t="s">
        <v>657</v>
      </c>
      <c r="G611" s="46" t="s">
        <v>657</v>
      </c>
      <c r="H611" s="46" t="s">
        <v>657</v>
      </c>
      <c r="I611" s="25">
        <v>0.9</v>
      </c>
      <c r="J611" s="26">
        <v>0.96226415094339601</v>
      </c>
      <c r="K611" s="26">
        <v>0.96226415094339601</v>
      </c>
      <c r="L611" s="27">
        <v>0.92500000000000004</v>
      </c>
      <c r="M611" s="26">
        <v>0.92929292929292895</v>
      </c>
      <c r="N611" s="28">
        <v>0.9</v>
      </c>
      <c r="O611" s="26">
        <v>0.93904814917895896</v>
      </c>
      <c r="P611" s="26">
        <v>0.94231164032026304</v>
      </c>
      <c r="Q611" s="26">
        <v>0.89958407605466395</v>
      </c>
      <c r="R611" s="26">
        <v>0.935106649937265</v>
      </c>
      <c r="S611" s="28">
        <v>0.9</v>
      </c>
      <c r="T611" s="26">
        <v>0.88394099638185397</v>
      </c>
      <c r="U611" s="26">
        <v>0.83555738041469896</v>
      </c>
      <c r="V611" s="26">
        <v>0.84551396316102201</v>
      </c>
      <c r="W611" s="26">
        <v>0.85505646173149297</v>
      </c>
      <c r="X611" s="28">
        <v>0.92</v>
      </c>
      <c r="Y611" s="28">
        <v>0.94154370034052204</v>
      </c>
      <c r="Z611" s="28">
        <v>0.94250967385295703</v>
      </c>
      <c r="AA611" s="28">
        <v>0.93628088426528</v>
      </c>
      <c r="AB611" s="28">
        <v>0.929816617613765</v>
      </c>
      <c r="AC611" s="28">
        <v>0.92</v>
      </c>
      <c r="AD611" s="26">
        <v>0.98776758409785903</v>
      </c>
      <c r="AE611" s="26">
        <v>0.96763754045307404</v>
      </c>
      <c r="AF611" s="26">
        <v>0.97356828193832601</v>
      </c>
      <c r="AG611" s="26">
        <v>0.97098736546560604</v>
      </c>
      <c r="AH611" s="28">
        <v>0.92</v>
      </c>
      <c r="AI611" s="26">
        <v>0.97071988064155201</v>
      </c>
      <c r="AJ611" s="26">
        <v>0.97727272727272696</v>
      </c>
      <c r="AK611" s="26">
        <v>0.95314923983865996</v>
      </c>
      <c r="AL611" s="26">
        <v>0.96324091446042703</v>
      </c>
      <c r="AM611" s="25">
        <v>0.99</v>
      </c>
      <c r="AN611" s="30">
        <v>1</v>
      </c>
      <c r="AO611" s="30">
        <v>1</v>
      </c>
      <c r="AP611" s="30">
        <v>1</v>
      </c>
      <c r="AQ611" s="30">
        <v>1</v>
      </c>
      <c r="AR611" s="50">
        <v>0.05</v>
      </c>
      <c r="AS611" s="34">
        <v>0.2</v>
      </c>
      <c r="AT611" s="34">
        <v>0</v>
      </c>
      <c r="AU611" s="34">
        <v>0</v>
      </c>
      <c r="AV611" s="34">
        <v>8.0645161290322606E-2</v>
      </c>
      <c r="AW611" s="10"/>
      <c r="AX611" s="8"/>
    </row>
    <row r="612" spans="1:50">
      <c r="A612" s="7"/>
      <c r="B612" s="10"/>
      <c r="C612" s="45" t="s">
        <v>396</v>
      </c>
      <c r="D612" s="23" t="s">
        <v>19</v>
      </c>
      <c r="E612" s="46" t="s">
        <v>658</v>
      </c>
      <c r="F612" s="46" t="s">
        <v>658</v>
      </c>
      <c r="G612" s="46" t="s">
        <v>658</v>
      </c>
      <c r="H612" s="46" t="s">
        <v>658</v>
      </c>
      <c r="I612" s="25">
        <v>0.9</v>
      </c>
      <c r="J612" s="26">
        <v>0.97560975609756095</v>
      </c>
      <c r="K612" s="26">
        <v>0.97826086956521696</v>
      </c>
      <c r="L612" s="27">
        <v>0.94444444444444398</v>
      </c>
      <c r="M612" s="26">
        <v>0.98007968127489997</v>
      </c>
      <c r="N612" s="28">
        <v>0.9</v>
      </c>
      <c r="O612" s="26">
        <v>0.98971546109016095</v>
      </c>
      <c r="P612" s="26">
        <v>0.97875894988066803</v>
      </c>
      <c r="Q612" s="26">
        <v>0.97333333333333305</v>
      </c>
      <c r="R612" s="26">
        <v>0.98576148993691803</v>
      </c>
      <c r="S612" s="28">
        <v>0.9</v>
      </c>
      <c r="T612" s="26">
        <v>0.88892697977374002</v>
      </c>
      <c r="U612" s="26">
        <v>0.90214797136038205</v>
      </c>
      <c r="V612" s="26">
        <v>0.92280701754385996</v>
      </c>
      <c r="W612" s="26">
        <v>0.90699909882847696</v>
      </c>
      <c r="X612" s="28">
        <v>0.92</v>
      </c>
      <c r="Y612" s="28">
        <v>0.92719167904903399</v>
      </c>
      <c r="Z612" s="28">
        <v>0.93279766252739205</v>
      </c>
      <c r="AA612" s="28">
        <v>0.94431185361972902</v>
      </c>
      <c r="AB612" s="28">
        <v>0.92477940112830903</v>
      </c>
      <c r="AC612" s="28">
        <v>0.92</v>
      </c>
      <c r="AD612" s="26">
        <v>0.99617346938775497</v>
      </c>
      <c r="AE612" s="26">
        <v>0.996300863131936</v>
      </c>
      <c r="AF612" s="26">
        <v>0.99294532627865995</v>
      </c>
      <c r="AG612" s="26">
        <v>0.99357884796978302</v>
      </c>
      <c r="AH612" s="28">
        <v>0.92</v>
      </c>
      <c r="AI612" s="26">
        <v>0.96504808820079802</v>
      </c>
      <c r="AJ612" s="26">
        <v>0.96926119000539301</v>
      </c>
      <c r="AK612" s="26">
        <v>0.964977645305514</v>
      </c>
      <c r="AL612" s="26">
        <v>0.96486910772625101</v>
      </c>
      <c r="AM612" s="25">
        <v>0.99</v>
      </c>
      <c r="AN612" s="30">
        <v>1</v>
      </c>
      <c r="AO612" s="30">
        <v>1</v>
      </c>
      <c r="AP612" s="30">
        <v>1</v>
      </c>
      <c r="AQ612" s="30">
        <v>1</v>
      </c>
      <c r="AR612" s="50">
        <v>0.05</v>
      </c>
      <c r="AS612" s="34">
        <v>0</v>
      </c>
      <c r="AT612" s="34">
        <v>0.11111111111111099</v>
      </c>
      <c r="AU612" s="34">
        <v>0</v>
      </c>
      <c r="AV612" s="34">
        <v>5.5555555555555601E-2</v>
      </c>
      <c r="AW612" s="10"/>
      <c r="AX612" s="8"/>
    </row>
    <row r="613" spans="1:50">
      <c r="A613" s="7"/>
      <c r="B613" s="10"/>
      <c r="C613" s="45" t="s">
        <v>396</v>
      </c>
      <c r="D613" s="23" t="s">
        <v>19</v>
      </c>
      <c r="E613" s="46" t="s">
        <v>659</v>
      </c>
      <c r="F613" s="46" t="s">
        <v>659</v>
      </c>
      <c r="G613" s="46" t="s">
        <v>659</v>
      </c>
      <c r="H613" s="46" t="s">
        <v>659</v>
      </c>
      <c r="I613" s="25">
        <v>0.9</v>
      </c>
      <c r="J613" s="26">
        <v>0.81481481481481499</v>
      </c>
      <c r="K613" s="26">
        <v>0.76666666666666705</v>
      </c>
      <c r="L613" s="27">
        <v>0.8</v>
      </c>
      <c r="M613" s="26">
        <v>0.78125</v>
      </c>
      <c r="N613" s="28">
        <v>0.9</v>
      </c>
      <c r="O613" s="26">
        <v>0</v>
      </c>
      <c r="P613" s="26">
        <v>0</v>
      </c>
      <c r="Q613" s="26">
        <v>0</v>
      </c>
      <c r="R613" s="26">
        <v>0</v>
      </c>
      <c r="S613" s="28">
        <v>0.9</v>
      </c>
      <c r="T613" s="26">
        <v>0</v>
      </c>
      <c r="U613" s="26">
        <v>0</v>
      </c>
      <c r="V613" s="26">
        <v>0</v>
      </c>
      <c r="W613" s="26">
        <v>0</v>
      </c>
      <c r="X613" s="28">
        <v>0.92</v>
      </c>
      <c r="Y613" s="28">
        <v>0</v>
      </c>
      <c r="Z613" s="28">
        <v>1</v>
      </c>
      <c r="AA613" s="28">
        <v>0</v>
      </c>
      <c r="AB613" s="28">
        <v>0.33333333333333298</v>
      </c>
      <c r="AC613" s="28">
        <v>0.92</v>
      </c>
      <c r="AD613" s="26">
        <v>0.96153846153846201</v>
      </c>
      <c r="AE613" s="26">
        <v>1</v>
      </c>
      <c r="AF613" s="26">
        <v>0.82352941176470595</v>
      </c>
      <c r="AG613" s="26">
        <v>0.92899408284023699</v>
      </c>
      <c r="AH613" s="28">
        <v>0.92</v>
      </c>
      <c r="AI613" s="26">
        <v>0.91259307219164798</v>
      </c>
      <c r="AJ613" s="26">
        <v>0.92282305153592303</v>
      </c>
      <c r="AK613" s="26">
        <v>0.85291887793783205</v>
      </c>
      <c r="AL613" s="26">
        <v>0.89409028564613302</v>
      </c>
      <c r="AM613" s="25">
        <v>0.99</v>
      </c>
      <c r="AN613" s="30">
        <v>1</v>
      </c>
      <c r="AO613" s="30">
        <v>1</v>
      </c>
      <c r="AP613" s="30">
        <v>1</v>
      </c>
      <c r="AQ613" s="30">
        <v>1</v>
      </c>
      <c r="AR613" s="50">
        <v>0.05</v>
      </c>
      <c r="AS613" s="34">
        <v>0</v>
      </c>
      <c r="AT613" s="34">
        <v>0</v>
      </c>
      <c r="AU613" s="34">
        <v>0.16666666666666699</v>
      </c>
      <c r="AV613" s="34">
        <v>1.72413793103448E-2</v>
      </c>
      <c r="AW613" s="10"/>
      <c r="AX613" s="8"/>
    </row>
    <row r="614" spans="1:50">
      <c r="A614" s="7"/>
      <c r="B614" s="10"/>
      <c r="C614" s="45" t="s">
        <v>396</v>
      </c>
      <c r="D614" s="23" t="s">
        <v>19</v>
      </c>
      <c r="E614" s="46" t="s">
        <v>660</v>
      </c>
      <c r="F614" s="46" t="s">
        <v>660</v>
      </c>
      <c r="G614" s="46" t="s">
        <v>660</v>
      </c>
      <c r="H614" s="46" t="s">
        <v>660</v>
      </c>
      <c r="I614" s="25">
        <v>0.9</v>
      </c>
      <c r="J614" s="26">
        <v>0.95454545454545503</v>
      </c>
      <c r="K614" s="26">
        <v>0.94736842105263197</v>
      </c>
      <c r="L614" s="27">
        <v>0.90540540540540504</v>
      </c>
      <c r="M614" s="26">
        <v>0.94797687861271696</v>
      </c>
      <c r="N614" s="28">
        <v>0.9</v>
      </c>
      <c r="O614" s="26">
        <v>0.63636363636363602</v>
      </c>
      <c r="P614" s="26">
        <v>0.94117647058823495</v>
      </c>
      <c r="Q614" s="26">
        <v>1</v>
      </c>
      <c r="R614" s="26">
        <v>0.92857142857142905</v>
      </c>
      <c r="S614" s="28">
        <v>0.9</v>
      </c>
      <c r="T614" s="26">
        <v>0.36363636363636398</v>
      </c>
      <c r="U614" s="26">
        <v>0.94117647058823495</v>
      </c>
      <c r="V614" s="26">
        <v>1</v>
      </c>
      <c r="W614" s="26">
        <v>0.89285714285714302</v>
      </c>
      <c r="X614" s="28">
        <v>0.92</v>
      </c>
      <c r="Y614" s="28">
        <v>0.75</v>
      </c>
      <c r="Z614" s="28">
        <v>1</v>
      </c>
      <c r="AA614" s="28">
        <v>0.5</v>
      </c>
      <c r="AB614" s="28">
        <v>0.55555555555555602</v>
      </c>
      <c r="AC614" s="28">
        <v>0.92</v>
      </c>
      <c r="AD614" s="26">
        <v>0.993330157217723</v>
      </c>
      <c r="AE614" s="26">
        <v>0.99245599329421597</v>
      </c>
      <c r="AF614" s="26">
        <v>0.98687350835322196</v>
      </c>
      <c r="AG614" s="26">
        <v>0.99091670424531297</v>
      </c>
      <c r="AH614" s="28">
        <v>0.92</v>
      </c>
      <c r="AI614" s="26">
        <v>0.939433551198257</v>
      </c>
      <c r="AJ614" s="26">
        <v>0.96359799525191203</v>
      </c>
      <c r="AK614" s="26">
        <v>0.94726604711476103</v>
      </c>
      <c r="AL614" s="26">
        <v>0.95260080645161305</v>
      </c>
      <c r="AM614" s="25">
        <v>0.99</v>
      </c>
      <c r="AN614" s="30">
        <v>1</v>
      </c>
      <c r="AO614" s="30">
        <v>1</v>
      </c>
      <c r="AP614" s="30">
        <v>1</v>
      </c>
      <c r="AQ614" s="30">
        <v>1</v>
      </c>
      <c r="AR614" s="50">
        <v>0.05</v>
      </c>
      <c r="AS614" s="34">
        <v>2.2181146025878E-2</v>
      </c>
      <c r="AT614" s="34">
        <v>7.6206604572396303E-3</v>
      </c>
      <c r="AU614" s="34">
        <v>3.0840400925212E-3</v>
      </c>
      <c r="AV614" s="34">
        <v>1.2454520011195101E-2</v>
      </c>
      <c r="AW614" s="10"/>
      <c r="AX614" s="8"/>
    </row>
    <row r="615" spans="1:50">
      <c r="A615" s="7"/>
      <c r="B615" s="10"/>
      <c r="C615" s="45" t="s">
        <v>396</v>
      </c>
      <c r="D615" s="23" t="s">
        <v>19</v>
      </c>
      <c r="E615" s="46" t="s">
        <v>661</v>
      </c>
      <c r="F615" s="46" t="s">
        <v>661</v>
      </c>
      <c r="G615" s="46" t="s">
        <v>661</v>
      </c>
      <c r="H615" s="46" t="s">
        <v>661</v>
      </c>
      <c r="I615" s="25">
        <v>0.9</v>
      </c>
      <c r="J615" s="26">
        <v>0.952380952380952</v>
      </c>
      <c r="K615" s="26">
        <v>0.95454545454545503</v>
      </c>
      <c r="L615" s="27">
        <v>0.94444444444444398</v>
      </c>
      <c r="M615" s="26">
        <v>0.97457627118644097</v>
      </c>
      <c r="N615" s="28">
        <v>0.9</v>
      </c>
      <c r="O615" s="26">
        <v>0.97096399535423905</v>
      </c>
      <c r="P615" s="26">
        <v>0.97406942701798405</v>
      </c>
      <c r="Q615" s="26">
        <v>0.97073170731707303</v>
      </c>
      <c r="R615" s="26">
        <v>0.96635152993798901</v>
      </c>
      <c r="S615" s="28">
        <v>0.9</v>
      </c>
      <c r="T615" s="26">
        <v>0.94192799070847899</v>
      </c>
      <c r="U615" s="26">
        <v>0.93140945211208703</v>
      </c>
      <c r="V615" s="26">
        <v>0.94634146341463399</v>
      </c>
      <c r="W615" s="26">
        <v>0.91735285147910905</v>
      </c>
      <c r="X615" s="28">
        <v>0.92</v>
      </c>
      <c r="Y615" s="28">
        <v>0.94224924012158096</v>
      </c>
      <c r="Z615" s="28">
        <v>0.96433666191155498</v>
      </c>
      <c r="AA615" s="28">
        <v>0.98464163822525597</v>
      </c>
      <c r="AB615" s="28">
        <v>0.95786350148367905</v>
      </c>
      <c r="AC615" s="28">
        <v>0.92</v>
      </c>
      <c r="AD615" s="26">
        <v>1</v>
      </c>
      <c r="AE615" s="26">
        <v>0.97590361445783103</v>
      </c>
      <c r="AF615" s="26">
        <v>0.97647058823529398</v>
      </c>
      <c r="AG615" s="26">
        <v>0.97350993377483397</v>
      </c>
      <c r="AH615" s="28">
        <v>0.92</v>
      </c>
      <c r="AI615" s="26">
        <v>0.96892062158756798</v>
      </c>
      <c r="AJ615" s="26">
        <v>0.98480439702554201</v>
      </c>
      <c r="AK615" s="26">
        <v>0.98438608942512396</v>
      </c>
      <c r="AL615" s="26">
        <v>0.97434733257661699</v>
      </c>
      <c r="AM615" s="25">
        <v>0.99</v>
      </c>
      <c r="AN615" s="30">
        <v>1</v>
      </c>
      <c r="AO615" s="30">
        <v>1</v>
      </c>
      <c r="AP615" s="30">
        <v>1</v>
      </c>
      <c r="AQ615" s="30">
        <v>1</v>
      </c>
      <c r="AR615" s="50">
        <v>0.05</v>
      </c>
      <c r="AS615" s="34">
        <v>0</v>
      </c>
      <c r="AT615" s="34">
        <v>0.66666666666666696</v>
      </c>
      <c r="AU615" s="34">
        <v>0.33333333333333298</v>
      </c>
      <c r="AV615" s="34">
        <v>0.25</v>
      </c>
      <c r="AW615" s="10"/>
      <c r="AX615" s="8"/>
    </row>
    <row r="616" spans="1:50">
      <c r="A616" s="7"/>
      <c r="B616" s="10"/>
      <c r="C616" s="45" t="s">
        <v>396</v>
      </c>
      <c r="D616" s="23" t="s">
        <v>19</v>
      </c>
      <c r="E616" s="46" t="s">
        <v>662</v>
      </c>
      <c r="F616" s="46" t="s">
        <v>662</v>
      </c>
      <c r="G616" s="46" t="s">
        <v>662</v>
      </c>
      <c r="H616" s="46" t="s">
        <v>662</v>
      </c>
      <c r="I616" s="25">
        <v>0.9</v>
      </c>
      <c r="J616" s="26">
        <v>0.9375</v>
      </c>
      <c r="K616" s="26">
        <v>0.89</v>
      </c>
      <c r="L616" s="27">
        <v>0.89411764705882402</v>
      </c>
      <c r="M616" s="26">
        <v>0.91055456171735205</v>
      </c>
      <c r="N616" s="28">
        <v>0.9</v>
      </c>
      <c r="O616" s="26">
        <v>0.19047619047618999</v>
      </c>
      <c r="P616" s="26">
        <v>0.5</v>
      </c>
      <c r="Q616" s="26">
        <v>0.75</v>
      </c>
      <c r="R616" s="26">
        <v>0.55932203389830504</v>
      </c>
      <c r="S616" s="28">
        <v>0.9</v>
      </c>
      <c r="T616" s="26">
        <v>0.14285714285714299</v>
      </c>
      <c r="U616" s="26">
        <v>0.5</v>
      </c>
      <c r="V616" s="26">
        <v>0.875</v>
      </c>
      <c r="W616" s="26">
        <v>0.57627118644067798</v>
      </c>
      <c r="X616" s="28">
        <v>0.92</v>
      </c>
      <c r="Y616" s="28">
        <v>0.25</v>
      </c>
      <c r="Z616" s="28">
        <v>0.8</v>
      </c>
      <c r="AA616" s="28">
        <v>0.83333333333333304</v>
      </c>
      <c r="AB616" s="28">
        <v>0.64102564102564097</v>
      </c>
      <c r="AC616" s="28">
        <v>0.92</v>
      </c>
      <c r="AD616" s="26">
        <v>0.99479708636836595</v>
      </c>
      <c r="AE616" s="26">
        <v>0.99639963996399605</v>
      </c>
      <c r="AF616" s="26">
        <v>0.99816916880263595</v>
      </c>
      <c r="AG616" s="26">
        <v>0.99601383874849603</v>
      </c>
      <c r="AH616" s="28">
        <v>0.92</v>
      </c>
      <c r="AI616" s="26">
        <v>0.96717195201339201</v>
      </c>
      <c r="AJ616" s="26">
        <v>0.97441257027533501</v>
      </c>
      <c r="AK616" s="26">
        <v>0.96695485110470702</v>
      </c>
      <c r="AL616" s="26">
        <v>0.97364662902690102</v>
      </c>
      <c r="AM616" s="25">
        <v>0.99</v>
      </c>
      <c r="AN616" s="30">
        <v>1</v>
      </c>
      <c r="AO616" s="30">
        <v>1</v>
      </c>
      <c r="AP616" s="30">
        <v>1</v>
      </c>
      <c r="AQ616" s="30">
        <v>1</v>
      </c>
      <c r="AR616" s="50">
        <v>0.05</v>
      </c>
      <c r="AS616" s="34">
        <v>6.1255742725880597E-3</v>
      </c>
      <c r="AT616" s="34">
        <v>1.37362637362637E-3</v>
      </c>
      <c r="AU616" s="34">
        <v>1.3297872340425499E-3</v>
      </c>
      <c r="AV616" s="34">
        <v>4.7488127968007996E-3</v>
      </c>
      <c r="AW616" s="10"/>
      <c r="AX616" s="8"/>
    </row>
    <row r="617" spans="1:50">
      <c r="A617" s="7"/>
      <c r="B617" s="10"/>
      <c r="C617" s="45" t="s">
        <v>396</v>
      </c>
      <c r="D617" s="23" t="s">
        <v>19</v>
      </c>
      <c r="E617" s="46" t="s">
        <v>663</v>
      </c>
      <c r="F617" s="46" t="s">
        <v>663</v>
      </c>
      <c r="G617" s="46" t="s">
        <v>663</v>
      </c>
      <c r="H617" s="46" t="s">
        <v>663</v>
      </c>
      <c r="I617" s="25">
        <v>0.9</v>
      </c>
      <c r="J617" s="26">
        <v>1</v>
      </c>
      <c r="K617" s="26">
        <v>1</v>
      </c>
      <c r="L617" s="27">
        <v>1</v>
      </c>
      <c r="M617" s="26">
        <v>1</v>
      </c>
      <c r="N617" s="28">
        <v>0.9</v>
      </c>
      <c r="O617" s="26">
        <v>0.98684210526315796</v>
      </c>
      <c r="P617" s="26">
        <v>0.99276627587927202</v>
      </c>
      <c r="Q617" s="26">
        <v>0.993496557000765</v>
      </c>
      <c r="R617" s="26">
        <v>0.99203034732372797</v>
      </c>
      <c r="S617" s="28">
        <v>0.9</v>
      </c>
      <c r="T617" s="26">
        <v>0.92819548872180402</v>
      </c>
      <c r="U617" s="26">
        <v>0.95173359940134705</v>
      </c>
      <c r="V617" s="26">
        <v>0.95638867635807201</v>
      </c>
      <c r="W617" s="26">
        <v>0.95120762859330399</v>
      </c>
      <c r="X617" s="28">
        <v>0.92</v>
      </c>
      <c r="Y617" s="28">
        <v>0.95986202571338997</v>
      </c>
      <c r="Z617" s="28">
        <v>0.96684644670050801</v>
      </c>
      <c r="AA617" s="28">
        <v>0.96742478085761696</v>
      </c>
      <c r="AB617" s="28">
        <v>0.96287865069715695</v>
      </c>
      <c r="AC617" s="28">
        <v>0.92</v>
      </c>
      <c r="AD617" s="26">
        <v>0.99917632523386501</v>
      </c>
      <c r="AE617" s="26">
        <v>0.99312395465526904</v>
      </c>
      <c r="AF617" s="26">
        <v>0.99380206866020004</v>
      </c>
      <c r="AG617" s="26">
        <v>0.996301010694431</v>
      </c>
      <c r="AH617" s="28">
        <v>0.92</v>
      </c>
      <c r="AI617" s="26">
        <v>0.965817808921552</v>
      </c>
      <c r="AJ617" s="26">
        <v>0.978301820972581</v>
      </c>
      <c r="AK617" s="26">
        <v>0.97261635788522405</v>
      </c>
      <c r="AL617" s="26">
        <v>0.97256047818928804</v>
      </c>
      <c r="AM617" s="25">
        <v>0.99</v>
      </c>
      <c r="AN617" s="30">
        <v>1</v>
      </c>
      <c r="AO617" s="30">
        <v>1</v>
      </c>
      <c r="AP617" s="30">
        <v>1</v>
      </c>
      <c r="AQ617" s="30">
        <v>1</v>
      </c>
      <c r="AR617" s="50">
        <v>0.05</v>
      </c>
      <c r="AS617" s="34">
        <v>2.9411764705882401E-2</v>
      </c>
      <c r="AT617" s="34">
        <v>7.1428571428571397E-2</v>
      </c>
      <c r="AU617" s="34">
        <v>2.7027027027027001E-2</v>
      </c>
      <c r="AV617" s="34">
        <v>4.1095890410958902E-2</v>
      </c>
      <c r="AW617" s="10"/>
      <c r="AX617" s="8"/>
    </row>
    <row r="618" spans="1:50">
      <c r="A618" s="7"/>
      <c r="B618" s="10"/>
      <c r="C618" s="45" t="s">
        <v>396</v>
      </c>
      <c r="D618" s="23" t="s">
        <v>19</v>
      </c>
      <c r="E618" s="46" t="s">
        <v>664</v>
      </c>
      <c r="F618" s="46" t="s">
        <v>664</v>
      </c>
      <c r="G618" s="46" t="s">
        <v>664</v>
      </c>
      <c r="H618" s="46" t="s">
        <v>664</v>
      </c>
      <c r="I618" s="25">
        <v>0.9</v>
      </c>
      <c r="J618" s="26">
        <v>0.97777777777777797</v>
      </c>
      <c r="K618" s="26">
        <v>0.97777777777777797</v>
      </c>
      <c r="L618" s="27">
        <v>0.844444444444444</v>
      </c>
      <c r="M618" s="26">
        <v>0.95358649789029504</v>
      </c>
      <c r="N618" s="28">
        <v>0.9</v>
      </c>
      <c r="O618" s="26">
        <v>0.96968838526912204</v>
      </c>
      <c r="P618" s="26">
        <v>0.93728813559322</v>
      </c>
      <c r="Q618" s="26">
        <v>0.99565217391304395</v>
      </c>
      <c r="R618" s="26">
        <v>0.97293265132139795</v>
      </c>
      <c r="S618" s="28">
        <v>0.9</v>
      </c>
      <c r="T618" s="26">
        <v>0.87167138810198297</v>
      </c>
      <c r="U618" s="26">
        <v>0.84512711864406798</v>
      </c>
      <c r="V618" s="26">
        <v>0.90628019323671505</v>
      </c>
      <c r="W618" s="26">
        <v>0.88421781756180695</v>
      </c>
      <c r="X618" s="28">
        <v>0.92</v>
      </c>
      <c r="Y618" s="28">
        <v>0.94508414526129303</v>
      </c>
      <c r="Z618" s="28">
        <v>0.92833607907742999</v>
      </c>
      <c r="AA618" s="28">
        <v>0.93366813140824401</v>
      </c>
      <c r="AB618" s="28">
        <v>0.926064190827111</v>
      </c>
      <c r="AC618" s="28">
        <v>0.92</v>
      </c>
      <c r="AD618" s="26">
        <v>0.99703103913630198</v>
      </c>
      <c r="AE618" s="26">
        <v>0.99600798403193602</v>
      </c>
      <c r="AF618" s="26">
        <v>0.99651372019793105</v>
      </c>
      <c r="AG618" s="26">
        <v>0.90789034275478897</v>
      </c>
      <c r="AH618" s="28">
        <v>0.92</v>
      </c>
      <c r="AI618" s="26">
        <v>0.95447976878612695</v>
      </c>
      <c r="AJ618" s="26">
        <v>0.95124282982791597</v>
      </c>
      <c r="AK618" s="26">
        <v>0.94510948905109504</v>
      </c>
      <c r="AL618" s="26">
        <v>0.946177649266981</v>
      </c>
      <c r="AM618" s="25">
        <v>0.99</v>
      </c>
      <c r="AN618" s="30">
        <v>1</v>
      </c>
      <c r="AO618" s="30">
        <v>1</v>
      </c>
      <c r="AP618" s="30">
        <v>1</v>
      </c>
      <c r="AQ618" s="30">
        <v>1</v>
      </c>
      <c r="AR618" s="50">
        <v>0.05</v>
      </c>
      <c r="AS618" s="34">
        <v>0</v>
      </c>
      <c r="AT618" s="34">
        <v>1.5384615384615399E-2</v>
      </c>
      <c r="AU618" s="34">
        <v>2.7777777777777801E-2</v>
      </c>
      <c r="AV618" s="34">
        <v>2.2988505747126398E-2</v>
      </c>
      <c r="AW618" s="10"/>
      <c r="AX618" s="8"/>
    </row>
    <row r="619" spans="1:50">
      <c r="A619" s="7"/>
      <c r="B619" s="10"/>
      <c r="C619" s="45" t="s">
        <v>396</v>
      </c>
      <c r="D619" s="23" t="s">
        <v>19</v>
      </c>
      <c r="E619" s="46" t="s">
        <v>665</v>
      </c>
      <c r="F619" s="46" t="s">
        <v>665</v>
      </c>
      <c r="G619" s="46" t="s">
        <v>665</v>
      </c>
      <c r="H619" s="46" t="s">
        <v>665</v>
      </c>
      <c r="I619" s="25">
        <v>0.9</v>
      </c>
      <c r="J619" s="26">
        <v>0.96739130434782605</v>
      </c>
      <c r="K619" s="26">
        <v>0.94680851063829796</v>
      </c>
      <c r="L619" s="27">
        <v>0.87209302325581395</v>
      </c>
      <c r="M619" s="26">
        <v>0.87576374745417496</v>
      </c>
      <c r="N619" s="28">
        <v>0.9</v>
      </c>
      <c r="O619" s="26">
        <v>0.97909478384412396</v>
      </c>
      <c r="P619" s="26">
        <v>0.96780013879250504</v>
      </c>
      <c r="Q619" s="26">
        <v>0.98788742429640197</v>
      </c>
      <c r="R619" s="26">
        <v>0.97552486392416804</v>
      </c>
      <c r="S619" s="28">
        <v>0.9</v>
      </c>
      <c r="T619" s="26">
        <v>0.88634057235640396</v>
      </c>
      <c r="U619" s="26">
        <v>0.87453157529493397</v>
      </c>
      <c r="V619" s="26">
        <v>0.93088706804417498</v>
      </c>
      <c r="W619" s="26">
        <v>0.88702928870292896</v>
      </c>
      <c r="X619" s="28">
        <v>0.92</v>
      </c>
      <c r="Y619" s="28">
        <v>0.92343831564294399</v>
      </c>
      <c r="Z619" s="28">
        <v>0.93166607960549497</v>
      </c>
      <c r="AA619" s="28">
        <v>0.942005197647381</v>
      </c>
      <c r="AB619" s="28">
        <v>0.93056412788544596</v>
      </c>
      <c r="AC619" s="28">
        <v>0.92</v>
      </c>
      <c r="AD619" s="26">
        <v>0.99540643099660497</v>
      </c>
      <c r="AE619" s="26">
        <v>0.98295543393275997</v>
      </c>
      <c r="AF619" s="26">
        <v>0.990805604203152</v>
      </c>
      <c r="AG619" s="26">
        <v>0.99043209876543203</v>
      </c>
      <c r="AH619" s="28">
        <v>0.92</v>
      </c>
      <c r="AI619" s="26">
        <v>0.94763466042154598</v>
      </c>
      <c r="AJ619" s="26">
        <v>0.95995654198354796</v>
      </c>
      <c r="AK619" s="26">
        <v>0.95329317665646296</v>
      </c>
      <c r="AL619" s="26">
        <v>0.95059567880460405</v>
      </c>
      <c r="AM619" s="25">
        <v>0.99</v>
      </c>
      <c r="AN619" s="30">
        <v>1</v>
      </c>
      <c r="AO619" s="30">
        <v>1</v>
      </c>
      <c r="AP619" s="30">
        <v>1</v>
      </c>
      <c r="AQ619" s="30">
        <v>1</v>
      </c>
      <c r="AR619" s="50">
        <v>0.05</v>
      </c>
      <c r="AS619" s="34">
        <v>4.4444444444444398E-2</v>
      </c>
      <c r="AT619" s="34">
        <v>0</v>
      </c>
      <c r="AU619" s="34">
        <v>2.5000000000000001E-2</v>
      </c>
      <c r="AV619" s="34">
        <v>3.8910505836575897E-2</v>
      </c>
      <c r="AW619" s="10"/>
      <c r="AX619" s="8"/>
    </row>
    <row r="620" spans="1:50">
      <c r="A620" s="7"/>
      <c r="B620" s="10"/>
      <c r="C620" s="45" t="s">
        <v>396</v>
      </c>
      <c r="D620" s="23" t="s">
        <v>19</v>
      </c>
      <c r="E620" s="46" t="s">
        <v>666</v>
      </c>
      <c r="F620" s="46" t="s">
        <v>666</v>
      </c>
      <c r="G620" s="46" t="s">
        <v>666</v>
      </c>
      <c r="H620" s="46" t="s">
        <v>666</v>
      </c>
      <c r="I620" s="25">
        <v>0.9</v>
      </c>
      <c r="J620" s="26">
        <v>0.97297297297297303</v>
      </c>
      <c r="K620" s="26">
        <v>0.92307692307692302</v>
      </c>
      <c r="L620" s="27">
        <v>1</v>
      </c>
      <c r="M620" s="26">
        <v>0.96363636363636396</v>
      </c>
      <c r="N620" s="28">
        <v>0.9</v>
      </c>
      <c r="O620" s="26">
        <v>0.99032507739938103</v>
      </c>
      <c r="P620" s="26">
        <v>0.99144037780401395</v>
      </c>
      <c r="Q620" s="26">
        <v>0.99638728323699399</v>
      </c>
      <c r="R620" s="26">
        <v>0.98892052012002796</v>
      </c>
      <c r="S620" s="28">
        <v>0.9</v>
      </c>
      <c r="T620" s="26">
        <v>0.94427244582043302</v>
      </c>
      <c r="U620" s="26">
        <v>0.96458087367178302</v>
      </c>
      <c r="V620" s="26">
        <v>0.97904624277456598</v>
      </c>
      <c r="W620" s="26">
        <v>0.95560513964761096</v>
      </c>
      <c r="X620" s="28">
        <v>0.92</v>
      </c>
      <c r="Y620" s="28">
        <v>0.91972477064220204</v>
      </c>
      <c r="Z620" s="28">
        <v>0.95178282009724502</v>
      </c>
      <c r="AA620" s="28">
        <v>0.93948749614078397</v>
      </c>
      <c r="AB620" s="28">
        <v>0.94100432324576</v>
      </c>
      <c r="AC620" s="28">
        <v>0.92</v>
      </c>
      <c r="AD620" s="26">
        <v>0.99241054223118197</v>
      </c>
      <c r="AE620" s="26">
        <v>0.98921575644787996</v>
      </c>
      <c r="AF620" s="26">
        <v>0.96697294866028405</v>
      </c>
      <c r="AG620" s="26">
        <v>0.96860780358730802</v>
      </c>
      <c r="AH620" s="28">
        <v>0.92</v>
      </c>
      <c r="AI620" s="26">
        <v>0.94836852207293698</v>
      </c>
      <c r="AJ620" s="26">
        <v>0.97188139059304701</v>
      </c>
      <c r="AK620" s="26">
        <v>0.95484010371650796</v>
      </c>
      <c r="AL620" s="26">
        <v>0.96052022091573097</v>
      </c>
      <c r="AM620" s="25">
        <v>0.99</v>
      </c>
      <c r="AN620" s="30">
        <v>1</v>
      </c>
      <c r="AO620" s="30">
        <v>1</v>
      </c>
      <c r="AP620" s="30">
        <v>1</v>
      </c>
      <c r="AQ620" s="30">
        <v>1</v>
      </c>
      <c r="AR620" s="50">
        <v>0.05</v>
      </c>
      <c r="AS620" s="34">
        <v>0.11111111111111099</v>
      </c>
      <c r="AT620" s="34">
        <v>7.69230769230769E-2</v>
      </c>
      <c r="AU620" s="34">
        <v>0.1</v>
      </c>
      <c r="AV620" s="34">
        <v>6.7567567567567599E-2</v>
      </c>
      <c r="AW620" s="10"/>
      <c r="AX620" s="8"/>
    </row>
    <row r="621" spans="1:50">
      <c r="A621" s="7"/>
      <c r="B621" s="10"/>
      <c r="C621" s="45" t="s">
        <v>396</v>
      </c>
      <c r="D621" s="23" t="s">
        <v>19</v>
      </c>
      <c r="E621" s="46" t="s">
        <v>667</v>
      </c>
      <c r="F621" s="46" t="s">
        <v>667</v>
      </c>
      <c r="G621" s="46" t="s">
        <v>667</v>
      </c>
      <c r="H621" s="46" t="s">
        <v>667</v>
      </c>
      <c r="I621" s="25">
        <v>0.9</v>
      </c>
      <c r="J621" s="26">
        <v>0.87755102040816302</v>
      </c>
      <c r="K621" s="26">
        <v>1</v>
      </c>
      <c r="L621" s="27">
        <v>0.97959183673469397</v>
      </c>
      <c r="M621" s="26">
        <v>0.95488721804511301</v>
      </c>
      <c r="N621" s="28">
        <v>0.9</v>
      </c>
      <c r="O621" s="26">
        <v>0.97312356604392003</v>
      </c>
      <c r="P621" s="26">
        <v>0.97149478563151803</v>
      </c>
      <c r="Q621" s="26">
        <v>0.97740112994350303</v>
      </c>
      <c r="R621" s="26">
        <v>0.96758324924318895</v>
      </c>
      <c r="S621" s="28">
        <v>0.9</v>
      </c>
      <c r="T621" s="26">
        <v>0.91773189118321896</v>
      </c>
      <c r="U621" s="26">
        <v>0.93325608342989597</v>
      </c>
      <c r="V621" s="26">
        <v>0.94538606403013203</v>
      </c>
      <c r="W621" s="26">
        <v>0.92797679112008102</v>
      </c>
      <c r="X621" s="28">
        <v>0.92</v>
      </c>
      <c r="Y621" s="28">
        <v>0.92041728763040198</v>
      </c>
      <c r="Z621" s="28">
        <v>0.95264000000000004</v>
      </c>
      <c r="AA621" s="28">
        <v>0.94459039885359397</v>
      </c>
      <c r="AB621" s="28">
        <v>0.93125676860399198</v>
      </c>
      <c r="AC621" s="28">
        <v>0.92</v>
      </c>
      <c r="AD621" s="26">
        <v>0.99931037653441201</v>
      </c>
      <c r="AE621" s="26">
        <v>0.99721686043901803</v>
      </c>
      <c r="AF621" s="26">
        <v>0.97817361497670896</v>
      </c>
      <c r="AG621" s="26">
        <v>0.988674913727555</v>
      </c>
      <c r="AH621" s="28">
        <v>0.92</v>
      </c>
      <c r="AI621" s="26">
        <v>0.94458320324695599</v>
      </c>
      <c r="AJ621" s="26">
        <v>0.97286405158516898</v>
      </c>
      <c r="AK621" s="26">
        <v>0.95728121757177398</v>
      </c>
      <c r="AL621" s="26">
        <v>0.95356818697526702</v>
      </c>
      <c r="AM621" s="25">
        <v>0.99</v>
      </c>
      <c r="AN621" s="30">
        <v>1</v>
      </c>
      <c r="AO621" s="30">
        <v>1</v>
      </c>
      <c r="AP621" s="30">
        <v>1</v>
      </c>
      <c r="AQ621" s="30">
        <v>1</v>
      </c>
      <c r="AR621" s="50">
        <v>0.05</v>
      </c>
      <c r="AS621" s="34">
        <v>0</v>
      </c>
      <c r="AT621" s="34">
        <v>4.5454545454545497E-2</v>
      </c>
      <c r="AU621" s="34">
        <v>0</v>
      </c>
      <c r="AV621" s="34">
        <v>1.26582278481013E-2</v>
      </c>
      <c r="AW621" s="10"/>
      <c r="AX621" s="8"/>
    </row>
    <row r="622" spans="1:50">
      <c r="A622" s="7"/>
      <c r="B622" s="10"/>
      <c r="C622" s="45" t="s">
        <v>396</v>
      </c>
      <c r="D622" s="23" t="s">
        <v>19</v>
      </c>
      <c r="E622" s="46" t="s">
        <v>668</v>
      </c>
      <c r="F622" s="46" t="s">
        <v>668</v>
      </c>
      <c r="G622" s="46" t="s">
        <v>668</v>
      </c>
      <c r="H622" s="46" t="s">
        <v>668</v>
      </c>
      <c r="I622" s="25">
        <v>0.9</v>
      </c>
      <c r="J622" s="26">
        <v>0.98148148148148195</v>
      </c>
      <c r="K622" s="26">
        <v>0.98076923076923095</v>
      </c>
      <c r="L622" s="27">
        <v>0.98076923076923095</v>
      </c>
      <c r="M622" s="26">
        <v>0.97288135593220304</v>
      </c>
      <c r="N622" s="28">
        <v>0.9</v>
      </c>
      <c r="O622" s="26">
        <v>0.97221507589400602</v>
      </c>
      <c r="P622" s="26">
        <v>0.96934934576088905</v>
      </c>
      <c r="Q622" s="26">
        <v>0.98390064397424104</v>
      </c>
      <c r="R622" s="26">
        <v>0.97256155754915097</v>
      </c>
      <c r="S622" s="28">
        <v>0.9</v>
      </c>
      <c r="T622" s="26">
        <v>0.85850270131206596</v>
      </c>
      <c r="U622" s="26">
        <v>0.83599211328195</v>
      </c>
      <c r="V622" s="26">
        <v>0.93882244710211604</v>
      </c>
      <c r="W622" s="26">
        <v>0.87989120061080395</v>
      </c>
      <c r="X622" s="28">
        <v>0.92</v>
      </c>
      <c r="Y622" s="28">
        <v>0.94396984924623095</v>
      </c>
      <c r="Z622" s="28">
        <v>0.87599517490953005</v>
      </c>
      <c r="AA622" s="28">
        <v>0.92072420460537896</v>
      </c>
      <c r="AB622" s="28">
        <v>0.92014762623720803</v>
      </c>
      <c r="AC622" s="28">
        <v>0.92</v>
      </c>
      <c r="AD622" s="26">
        <v>0.99310612680842802</v>
      </c>
      <c r="AE622" s="26">
        <v>0.99602173491170198</v>
      </c>
      <c r="AF622" s="26">
        <v>0.93093558638865204</v>
      </c>
      <c r="AG622" s="26">
        <v>0.98164636188931398</v>
      </c>
      <c r="AH622" s="28">
        <v>0.92</v>
      </c>
      <c r="AI622" s="26">
        <v>0.95527318932655703</v>
      </c>
      <c r="AJ622" s="26">
        <v>0.92218338815789502</v>
      </c>
      <c r="AK622" s="26">
        <v>0.93644337104359998</v>
      </c>
      <c r="AL622" s="26">
        <v>0.941290668094792</v>
      </c>
      <c r="AM622" s="25">
        <v>0.99</v>
      </c>
      <c r="AN622" s="30">
        <v>1</v>
      </c>
      <c r="AO622" s="30">
        <v>1</v>
      </c>
      <c r="AP622" s="30">
        <v>1</v>
      </c>
      <c r="AQ622" s="30">
        <v>1</v>
      </c>
      <c r="AR622" s="50">
        <v>0.05</v>
      </c>
      <c r="AS622" s="34">
        <v>9.8039215686274495E-2</v>
      </c>
      <c r="AT622" s="34">
        <v>8.7719298245614002E-2</v>
      </c>
      <c r="AU622" s="34">
        <v>3.2258064516128997E-2</v>
      </c>
      <c r="AV622" s="34">
        <v>5.9016393442623001E-2</v>
      </c>
      <c r="AW622" s="10"/>
      <c r="AX622" s="8"/>
    </row>
    <row r="623" spans="1:50">
      <c r="A623" s="7"/>
      <c r="B623" s="10"/>
      <c r="C623" s="45" t="s">
        <v>396</v>
      </c>
      <c r="D623" s="23" t="s">
        <v>19</v>
      </c>
      <c r="E623" s="46" t="s">
        <v>669</v>
      </c>
      <c r="F623" s="46" t="s">
        <v>669</v>
      </c>
      <c r="G623" s="46" t="s">
        <v>669</v>
      </c>
      <c r="H623" s="46" t="s">
        <v>669</v>
      </c>
      <c r="I623" s="25">
        <v>0.9</v>
      </c>
      <c r="J623" s="26">
        <v>1</v>
      </c>
      <c r="K623" s="26">
        <v>1</v>
      </c>
      <c r="L623" s="27">
        <v>1</v>
      </c>
      <c r="M623" s="26">
        <v>0.99659863945578198</v>
      </c>
      <c r="N623" s="28">
        <v>0.9</v>
      </c>
      <c r="O623" s="26">
        <v>0.98655085458111502</v>
      </c>
      <c r="P623" s="26">
        <v>0.97572279849922705</v>
      </c>
      <c r="Q623" s="26">
        <v>0.97889305816135097</v>
      </c>
      <c r="R623" s="26">
        <v>0.98383872042652498</v>
      </c>
      <c r="S623" s="28">
        <v>0.9</v>
      </c>
      <c r="T623" s="26">
        <v>0.97282151863266997</v>
      </c>
      <c r="U623" s="26">
        <v>0.97329507834914997</v>
      </c>
      <c r="V623" s="26">
        <v>0.97138836772983095</v>
      </c>
      <c r="W623" s="26">
        <v>0.97200933022325897</v>
      </c>
      <c r="X623" s="28">
        <v>0.92</v>
      </c>
      <c r="Y623" s="28">
        <v>0.96997350603473698</v>
      </c>
      <c r="Z623" s="28">
        <v>0.98979285499849901</v>
      </c>
      <c r="AA623" s="28">
        <v>0.98491608243042295</v>
      </c>
      <c r="AB623" s="28">
        <v>0.98311517687703798</v>
      </c>
      <c r="AC623" s="28">
        <v>0.92</v>
      </c>
      <c r="AD623" s="26">
        <v>0.99573694082873898</v>
      </c>
      <c r="AE623" s="26">
        <v>0.98860600774137297</v>
      </c>
      <c r="AF623" s="26">
        <v>0.98592989488322602</v>
      </c>
      <c r="AG623" s="26">
        <v>0.99193989569276797</v>
      </c>
      <c r="AH623" s="28">
        <v>0.92</v>
      </c>
      <c r="AI623" s="26">
        <v>0.97933706414119703</v>
      </c>
      <c r="AJ623" s="26">
        <v>0.99212398373983701</v>
      </c>
      <c r="AK623" s="26">
        <v>0.98874926943307995</v>
      </c>
      <c r="AL623" s="26">
        <v>0.98800269485903802</v>
      </c>
      <c r="AM623" s="25">
        <v>0.99</v>
      </c>
      <c r="AN623" s="30">
        <v>1</v>
      </c>
      <c r="AO623" s="30">
        <v>1</v>
      </c>
      <c r="AP623" s="30">
        <v>1</v>
      </c>
      <c r="AQ623" s="30">
        <v>1</v>
      </c>
      <c r="AR623" s="50">
        <v>0.05</v>
      </c>
      <c r="AS623" s="34">
        <v>6.2305295950155796E-3</v>
      </c>
      <c r="AT623" s="34">
        <v>2.92397660818713E-3</v>
      </c>
      <c r="AU623" s="34">
        <v>3.0030030030029999E-3</v>
      </c>
      <c r="AV623" s="34">
        <v>4.43213296398892E-3</v>
      </c>
      <c r="AW623" s="10"/>
      <c r="AX623" s="8"/>
    </row>
    <row r="624" spans="1:50">
      <c r="A624" s="7"/>
      <c r="B624" s="10"/>
      <c r="C624" s="45" t="s">
        <v>396</v>
      </c>
      <c r="D624" s="23" t="s">
        <v>19</v>
      </c>
      <c r="E624" s="46" t="s">
        <v>670</v>
      </c>
      <c r="F624" s="46" t="s">
        <v>670</v>
      </c>
      <c r="G624" s="46" t="s">
        <v>670</v>
      </c>
      <c r="H624" s="46" t="s">
        <v>670</v>
      </c>
      <c r="I624" s="25">
        <v>0.9</v>
      </c>
      <c r="J624" s="26">
        <v>1</v>
      </c>
      <c r="K624" s="26">
        <v>1</v>
      </c>
      <c r="L624" s="27">
        <v>1</v>
      </c>
      <c r="M624" s="26">
        <v>1</v>
      </c>
      <c r="N624" s="28">
        <v>0.9</v>
      </c>
      <c r="O624" s="26">
        <v>0.98323516085183504</v>
      </c>
      <c r="P624" s="26">
        <v>0.98645320197044295</v>
      </c>
      <c r="Q624" s="26">
        <v>0.97983870967741904</v>
      </c>
      <c r="R624" s="26">
        <v>0.98672079844371097</v>
      </c>
      <c r="S624" s="28">
        <v>0.9</v>
      </c>
      <c r="T624" s="26">
        <v>0.95061169007702795</v>
      </c>
      <c r="U624" s="26">
        <v>0.96644088669950701</v>
      </c>
      <c r="V624" s="26">
        <v>0.96290322580645205</v>
      </c>
      <c r="W624" s="26">
        <v>0.95940116721644297</v>
      </c>
      <c r="X624" s="28">
        <v>0.92</v>
      </c>
      <c r="Y624" s="28">
        <v>0.96001568012544103</v>
      </c>
      <c r="Z624" s="28">
        <v>0.98607242339832901</v>
      </c>
      <c r="AA624" s="28">
        <v>0.97975219099425803</v>
      </c>
      <c r="AB624" s="28">
        <v>0.97581357429173199</v>
      </c>
      <c r="AC624" s="28">
        <v>0.92</v>
      </c>
      <c r="AD624" s="26">
        <v>0.99201065246338205</v>
      </c>
      <c r="AE624" s="26">
        <v>0.988924050632911</v>
      </c>
      <c r="AF624" s="26">
        <v>0.99148418491484203</v>
      </c>
      <c r="AG624" s="26">
        <v>0.99267306720565895</v>
      </c>
      <c r="AH624" s="28">
        <v>0.92</v>
      </c>
      <c r="AI624" s="26">
        <v>0.96868432114333802</v>
      </c>
      <c r="AJ624" s="26">
        <v>0.98751300728407898</v>
      </c>
      <c r="AK624" s="26">
        <v>0.98395604395604397</v>
      </c>
      <c r="AL624" s="26">
        <v>0.98192158487439296</v>
      </c>
      <c r="AM624" s="25">
        <v>0.99</v>
      </c>
      <c r="AN624" s="30">
        <v>1</v>
      </c>
      <c r="AO624" s="30">
        <v>1</v>
      </c>
      <c r="AP624" s="30">
        <v>1</v>
      </c>
      <c r="AQ624" s="30">
        <v>1</v>
      </c>
      <c r="AR624" s="50">
        <v>0.05</v>
      </c>
      <c r="AS624" s="34">
        <v>0</v>
      </c>
      <c r="AT624" s="34">
        <v>0.04</v>
      </c>
      <c r="AU624" s="34">
        <v>0</v>
      </c>
      <c r="AV624" s="34">
        <v>5.1724137931034503E-2</v>
      </c>
      <c r="AW624" s="10"/>
      <c r="AX624" s="8"/>
    </row>
    <row r="625" spans="1:50">
      <c r="A625" s="7"/>
      <c r="B625" s="10"/>
      <c r="C625" s="45" t="s">
        <v>396</v>
      </c>
      <c r="D625" s="23" t="s">
        <v>19</v>
      </c>
      <c r="E625" s="46" t="s">
        <v>671</v>
      </c>
      <c r="F625" s="46" t="s">
        <v>671</v>
      </c>
      <c r="G625" s="46" t="s">
        <v>671</v>
      </c>
      <c r="H625" s="46" t="s">
        <v>671</v>
      </c>
      <c r="I625" s="25">
        <v>0.9</v>
      </c>
      <c r="J625" s="26">
        <v>0.84126984126984095</v>
      </c>
      <c r="K625" s="26">
        <v>0.78461538461538505</v>
      </c>
      <c r="L625" s="27">
        <v>0.75</v>
      </c>
      <c r="M625" s="26">
        <v>0.79329608938547502</v>
      </c>
      <c r="N625" s="28">
        <v>0.9</v>
      </c>
      <c r="O625" s="26">
        <v>0.97363580625383195</v>
      </c>
      <c r="P625" s="26">
        <v>0.96840179610843202</v>
      </c>
      <c r="Q625" s="26">
        <v>0.98250285279574001</v>
      </c>
      <c r="R625" s="26">
        <v>0.97375207986688805</v>
      </c>
      <c r="S625" s="28">
        <v>0.9</v>
      </c>
      <c r="T625" s="26">
        <v>0.94951972205191104</v>
      </c>
      <c r="U625" s="26">
        <v>0.91335439880259395</v>
      </c>
      <c r="V625" s="26">
        <v>0.95359452263218003</v>
      </c>
      <c r="W625" s="26">
        <v>0.93585690515806996</v>
      </c>
      <c r="X625" s="28">
        <v>0.92</v>
      </c>
      <c r="Y625" s="28">
        <v>0.871828236824984</v>
      </c>
      <c r="Z625" s="28">
        <v>0.89219826628139598</v>
      </c>
      <c r="AA625" s="28">
        <v>0.88010627698439103</v>
      </c>
      <c r="AB625" s="28">
        <v>0.874182238768208</v>
      </c>
      <c r="AC625" s="28">
        <v>0.92</v>
      </c>
      <c r="AD625" s="26">
        <v>0.99469917290596699</v>
      </c>
      <c r="AE625" s="26">
        <v>0.95478041664896396</v>
      </c>
      <c r="AF625" s="26">
        <v>0.96966584817052104</v>
      </c>
      <c r="AG625" s="26">
        <v>0.96689361152380304</v>
      </c>
      <c r="AH625" s="28">
        <v>0.92</v>
      </c>
      <c r="AI625" s="26">
        <v>0.92718855218855201</v>
      </c>
      <c r="AJ625" s="26">
        <v>0.94321316465328597</v>
      </c>
      <c r="AK625" s="26">
        <v>0.913133880097031</v>
      </c>
      <c r="AL625" s="26">
        <v>0.923221191028616</v>
      </c>
      <c r="AM625" s="25">
        <v>0.99</v>
      </c>
      <c r="AN625" s="30">
        <v>1</v>
      </c>
      <c r="AO625" s="30">
        <v>1</v>
      </c>
      <c r="AP625" s="30">
        <v>1</v>
      </c>
      <c r="AQ625" s="30">
        <v>1</v>
      </c>
      <c r="AR625" s="50">
        <v>0.05</v>
      </c>
      <c r="AS625" s="34">
        <v>4.7619047619047603E-2</v>
      </c>
      <c r="AT625" s="34">
        <v>4.3478260869565202E-2</v>
      </c>
      <c r="AU625" s="34">
        <v>0.10344827586206901</v>
      </c>
      <c r="AV625" s="34">
        <v>5.32544378698225E-2</v>
      </c>
      <c r="AW625" s="10"/>
      <c r="AX625" s="8"/>
    </row>
    <row r="626" spans="1:50">
      <c r="A626" s="7"/>
      <c r="B626" s="10"/>
      <c r="C626" s="45" t="s">
        <v>396</v>
      </c>
      <c r="D626" s="23" t="s">
        <v>19</v>
      </c>
      <c r="E626" s="46" t="s">
        <v>672</v>
      </c>
      <c r="F626" s="46" t="s">
        <v>672</v>
      </c>
      <c r="G626" s="46" t="s">
        <v>672</v>
      </c>
      <c r="H626" s="46" t="s">
        <v>672</v>
      </c>
      <c r="I626" s="25">
        <v>0.9</v>
      </c>
      <c r="J626" s="26">
        <v>0.91803278688524603</v>
      </c>
      <c r="K626" s="26">
        <v>0.95</v>
      </c>
      <c r="L626" s="27">
        <v>0.96428571428571397</v>
      </c>
      <c r="M626" s="26">
        <v>0.93690851735015801</v>
      </c>
      <c r="N626" s="28">
        <v>0.9</v>
      </c>
      <c r="O626" s="26">
        <v>0.98207959991664895</v>
      </c>
      <c r="P626" s="26">
        <v>0.97863950049293502</v>
      </c>
      <c r="Q626" s="26">
        <v>0.95451713395638604</v>
      </c>
      <c r="R626" s="26">
        <v>0.94641805691854797</v>
      </c>
      <c r="S626" s="28">
        <v>0.9</v>
      </c>
      <c r="T626" s="26">
        <v>0.93707022296311704</v>
      </c>
      <c r="U626" s="26">
        <v>0.910121590535656</v>
      </c>
      <c r="V626" s="26">
        <v>0.934579439252336</v>
      </c>
      <c r="W626" s="26">
        <v>0.90751717369970597</v>
      </c>
      <c r="X626" s="28">
        <v>0.92</v>
      </c>
      <c r="Y626" s="28">
        <v>0.94902482269503496</v>
      </c>
      <c r="Z626" s="28">
        <v>0.94416817359855298</v>
      </c>
      <c r="AA626" s="28">
        <v>0.92877164056059403</v>
      </c>
      <c r="AB626" s="28">
        <v>0.94017602283539503</v>
      </c>
      <c r="AC626" s="28">
        <v>0.92</v>
      </c>
      <c r="AD626" s="26">
        <v>0.99730015481629697</v>
      </c>
      <c r="AE626" s="26">
        <v>0.87893614736874404</v>
      </c>
      <c r="AF626" s="26">
        <v>0.938096109421102</v>
      </c>
      <c r="AG626" s="26">
        <v>0.95541317246776103</v>
      </c>
      <c r="AH626" s="28">
        <v>0.92</v>
      </c>
      <c r="AI626" s="26">
        <v>0.96446210006441901</v>
      </c>
      <c r="AJ626" s="26">
        <v>0.96415668378018604</v>
      </c>
      <c r="AK626" s="26">
        <v>0.94601874797974395</v>
      </c>
      <c r="AL626" s="26">
        <v>0.95676602791577903</v>
      </c>
      <c r="AM626" s="25">
        <v>0.99</v>
      </c>
      <c r="AN626" s="30">
        <v>1</v>
      </c>
      <c r="AO626" s="30">
        <v>1</v>
      </c>
      <c r="AP626" s="30">
        <v>1</v>
      </c>
      <c r="AQ626" s="30">
        <v>1</v>
      </c>
      <c r="AR626" s="50">
        <v>0.05</v>
      </c>
      <c r="AS626" s="34">
        <v>0</v>
      </c>
      <c r="AT626" s="34">
        <v>5.2631578947368397E-2</v>
      </c>
      <c r="AU626" s="34">
        <v>0.1</v>
      </c>
      <c r="AV626" s="34">
        <v>3.4825870646766198E-2</v>
      </c>
      <c r="AW626" s="10"/>
      <c r="AX626" s="8"/>
    </row>
    <row r="627" spans="1:50">
      <c r="A627" s="7"/>
      <c r="B627" s="10"/>
      <c r="C627" s="45" t="s">
        <v>396</v>
      </c>
      <c r="D627" s="23" t="s">
        <v>19</v>
      </c>
      <c r="E627" s="46" t="s">
        <v>673</v>
      </c>
      <c r="F627" s="46" t="s">
        <v>673</v>
      </c>
      <c r="G627" s="46" t="s">
        <v>673</v>
      </c>
      <c r="H627" s="46" t="s">
        <v>673</v>
      </c>
      <c r="I627" s="25">
        <v>0.9</v>
      </c>
      <c r="J627" s="26">
        <v>0.93023255813953498</v>
      </c>
      <c r="K627" s="26">
        <v>1</v>
      </c>
      <c r="L627" s="27">
        <v>0.97142857142857097</v>
      </c>
      <c r="M627" s="26">
        <v>0.96</v>
      </c>
      <c r="N627" s="28">
        <v>0.9</v>
      </c>
      <c r="O627" s="26">
        <v>0.96949052132701397</v>
      </c>
      <c r="P627" s="26">
        <v>0.97906566769502001</v>
      </c>
      <c r="Q627" s="26">
        <v>0.96645161290322601</v>
      </c>
      <c r="R627" s="26">
        <v>0.97723235911512996</v>
      </c>
      <c r="S627" s="28">
        <v>0.9</v>
      </c>
      <c r="T627" s="26">
        <v>0.93513033175355498</v>
      </c>
      <c r="U627" s="26">
        <v>0.95041868664609996</v>
      </c>
      <c r="V627" s="26">
        <v>0.95096774193548395</v>
      </c>
      <c r="W627" s="26">
        <v>0.95134291404273597</v>
      </c>
      <c r="X627" s="28">
        <v>0.92</v>
      </c>
      <c r="Y627" s="28">
        <v>0.97412677878395904</v>
      </c>
      <c r="Z627" s="28">
        <v>0.96383763837638403</v>
      </c>
      <c r="AA627" s="28">
        <v>0.97250361794500695</v>
      </c>
      <c r="AB627" s="28">
        <v>0.97233459480621198</v>
      </c>
      <c r="AC627" s="28">
        <v>0.92</v>
      </c>
      <c r="AD627" s="26">
        <v>0.99732977303070802</v>
      </c>
      <c r="AE627" s="26">
        <v>0.91741472172351901</v>
      </c>
      <c r="AF627" s="26">
        <v>0.99302649930264997</v>
      </c>
      <c r="AG627" s="26">
        <v>0.98433487416538301</v>
      </c>
      <c r="AH627" s="28">
        <v>0.92</v>
      </c>
      <c r="AI627" s="26">
        <v>0.97907354733847995</v>
      </c>
      <c r="AJ627" s="26">
        <v>0.98405969136849203</v>
      </c>
      <c r="AK627" s="26">
        <v>0.98226466575716198</v>
      </c>
      <c r="AL627" s="26">
        <v>0.98426486836590799</v>
      </c>
      <c r="AM627" s="25">
        <v>0.99</v>
      </c>
      <c r="AN627" s="30">
        <v>1</v>
      </c>
      <c r="AO627" s="30">
        <v>1</v>
      </c>
      <c r="AP627" s="30">
        <v>1</v>
      </c>
      <c r="AQ627" s="30">
        <v>1</v>
      </c>
      <c r="AR627" s="50">
        <v>0.05</v>
      </c>
      <c r="AS627" s="34">
        <v>5.8823529411764698E-2</v>
      </c>
      <c r="AT627" s="34">
        <v>0</v>
      </c>
      <c r="AU627" s="34">
        <v>0</v>
      </c>
      <c r="AV627" s="34">
        <v>3.4883720930232599E-2</v>
      </c>
      <c r="AW627" s="10"/>
      <c r="AX627" s="8"/>
    </row>
    <row r="628" spans="1:50">
      <c r="A628" s="7"/>
      <c r="B628" s="10"/>
      <c r="C628" s="45" t="s">
        <v>396</v>
      </c>
      <c r="D628" s="23" t="s">
        <v>19</v>
      </c>
      <c r="E628" s="46" t="s">
        <v>674</v>
      </c>
      <c r="F628" s="46" t="s">
        <v>674</v>
      </c>
      <c r="G628" s="46" t="s">
        <v>674</v>
      </c>
      <c r="H628" s="46" t="s">
        <v>674</v>
      </c>
      <c r="I628" s="25">
        <v>0.9</v>
      </c>
      <c r="J628" s="26">
        <v>0.91588785046729004</v>
      </c>
      <c r="K628" s="26">
        <v>0.93805309734513298</v>
      </c>
      <c r="L628" s="27">
        <v>0.83516483516483497</v>
      </c>
      <c r="M628" s="26">
        <v>0.89802631578947401</v>
      </c>
      <c r="N628" s="28">
        <v>0.9</v>
      </c>
      <c r="O628" s="26">
        <v>0.97505264863113605</v>
      </c>
      <c r="P628" s="26">
        <v>0.97165165165165202</v>
      </c>
      <c r="Q628" s="26">
        <v>0.93476144109055503</v>
      </c>
      <c r="R628" s="26">
        <v>0.96760010622916004</v>
      </c>
      <c r="S628" s="28">
        <v>0.9</v>
      </c>
      <c r="T628" s="26">
        <v>0.769317997732059</v>
      </c>
      <c r="U628" s="26">
        <v>0.70822822822822795</v>
      </c>
      <c r="V628" s="26">
        <v>0.79487179487179505</v>
      </c>
      <c r="W628" s="26">
        <v>0.77134173330579203</v>
      </c>
      <c r="X628" s="28">
        <v>0.92</v>
      </c>
      <c r="Y628" s="28">
        <v>0.91370200774920796</v>
      </c>
      <c r="Z628" s="28">
        <v>0.94059766763848396</v>
      </c>
      <c r="AA628" s="28">
        <v>0.94347295648637697</v>
      </c>
      <c r="AB628" s="28">
        <v>0.93226356148821399</v>
      </c>
      <c r="AC628" s="28">
        <v>0.92</v>
      </c>
      <c r="AD628" s="26">
        <v>0.99897645854657102</v>
      </c>
      <c r="AE628" s="26">
        <v>0.99795081967213095</v>
      </c>
      <c r="AF628" s="26">
        <v>0.99933222036727898</v>
      </c>
      <c r="AG628" s="26">
        <v>0.99851264253842298</v>
      </c>
      <c r="AH628" s="28">
        <v>0.92</v>
      </c>
      <c r="AI628" s="26">
        <v>0.94510369302428698</v>
      </c>
      <c r="AJ628" s="26">
        <v>0.96884031791907499</v>
      </c>
      <c r="AK628" s="26">
        <v>0.96390543223244896</v>
      </c>
      <c r="AL628" s="26">
        <v>0.96311270423474504</v>
      </c>
      <c r="AM628" s="25">
        <v>0.99</v>
      </c>
      <c r="AN628" s="30">
        <v>1</v>
      </c>
      <c r="AO628" s="30">
        <v>1</v>
      </c>
      <c r="AP628" s="30">
        <v>1</v>
      </c>
      <c r="AQ628" s="30">
        <v>1</v>
      </c>
      <c r="AR628" s="50">
        <v>0.05</v>
      </c>
      <c r="AS628" s="34">
        <v>0.125</v>
      </c>
      <c r="AT628" s="34">
        <v>6.4516129032258104E-2</v>
      </c>
      <c r="AU628" s="34">
        <v>0</v>
      </c>
      <c r="AV628" s="34">
        <v>8.59375E-2</v>
      </c>
      <c r="AW628" s="10"/>
      <c r="AX628" s="8"/>
    </row>
    <row r="629" spans="1:50">
      <c r="A629" s="7"/>
      <c r="B629" s="10"/>
      <c r="C629" s="45" t="s">
        <v>396</v>
      </c>
      <c r="D629" s="23" t="s">
        <v>19</v>
      </c>
      <c r="E629" s="46" t="s">
        <v>675</v>
      </c>
      <c r="F629" s="46" t="s">
        <v>675</v>
      </c>
      <c r="G629" s="46" t="s">
        <v>675</v>
      </c>
      <c r="H629" s="46" t="s">
        <v>675</v>
      </c>
      <c r="I629" s="25">
        <v>0.9</v>
      </c>
      <c r="J629" s="26">
        <v>0.73684210526315796</v>
      </c>
      <c r="K629" s="26">
        <v>0.82022471910112404</v>
      </c>
      <c r="L629" s="27">
        <v>0.83098591549295797</v>
      </c>
      <c r="M629" s="26">
        <v>0.78901098901098898</v>
      </c>
      <c r="N629" s="28">
        <v>0.9</v>
      </c>
      <c r="O629" s="26">
        <v>0.90664100096246403</v>
      </c>
      <c r="P629" s="26">
        <v>0.93243574051407596</v>
      </c>
      <c r="Q629" s="26">
        <v>0.87448840381991799</v>
      </c>
      <c r="R629" s="26">
        <v>0.89035753624482705</v>
      </c>
      <c r="S629" s="28">
        <v>0.9</v>
      </c>
      <c r="T629" s="26">
        <v>0.58180943214629499</v>
      </c>
      <c r="U629" s="26">
        <v>0.52362301101591202</v>
      </c>
      <c r="V629" s="26">
        <v>0.72237380627558001</v>
      </c>
      <c r="W629" s="26">
        <v>0.55238010181298602</v>
      </c>
      <c r="X629" s="28">
        <v>0.92</v>
      </c>
      <c r="Y629" s="28">
        <v>0.81880064829821697</v>
      </c>
      <c r="Z629" s="28">
        <v>0.89422744555824396</v>
      </c>
      <c r="AA629" s="28">
        <v>0.87460261391734395</v>
      </c>
      <c r="AB629" s="28">
        <v>0.834564541213064</v>
      </c>
      <c r="AC629" s="28">
        <v>0.92</v>
      </c>
      <c r="AD629" s="26">
        <v>0.99868766404199505</v>
      </c>
      <c r="AE629" s="26">
        <v>0.96268962689626902</v>
      </c>
      <c r="AF629" s="26">
        <v>0.99946369194465301</v>
      </c>
      <c r="AG629" s="26">
        <v>0.97142524181330803</v>
      </c>
      <c r="AH629" s="28">
        <v>0.92</v>
      </c>
      <c r="AI629" s="26">
        <v>0.87972103004291802</v>
      </c>
      <c r="AJ629" s="26">
        <v>0.94134128705712194</v>
      </c>
      <c r="AK629" s="26">
        <v>0.90855457227138603</v>
      </c>
      <c r="AL629" s="26">
        <v>0.89442982724510001</v>
      </c>
      <c r="AM629" s="25">
        <v>0.99</v>
      </c>
      <c r="AN629" s="30">
        <v>1</v>
      </c>
      <c r="AO629" s="30">
        <v>1</v>
      </c>
      <c r="AP629" s="30">
        <v>1</v>
      </c>
      <c r="AQ629" s="30">
        <v>1</v>
      </c>
      <c r="AR629" s="50">
        <v>0.05</v>
      </c>
      <c r="AS629" s="34">
        <v>1.6949152542372899E-2</v>
      </c>
      <c r="AT629" s="34">
        <v>2.7777777777777801E-2</v>
      </c>
      <c r="AU629" s="34">
        <v>2.0833333333333301E-2</v>
      </c>
      <c r="AV629" s="34">
        <v>1.9736842105263198E-2</v>
      </c>
      <c r="AW629" s="10"/>
      <c r="AX629" s="8"/>
    </row>
    <row r="630" spans="1:50">
      <c r="A630" s="7"/>
      <c r="B630" s="10"/>
      <c r="C630" s="45" t="s">
        <v>396</v>
      </c>
      <c r="D630" s="23" t="s">
        <v>19</v>
      </c>
      <c r="E630" s="46" t="s">
        <v>676</v>
      </c>
      <c r="F630" s="46" t="s">
        <v>676</v>
      </c>
      <c r="G630" s="46" t="s">
        <v>676</v>
      </c>
      <c r="H630" s="46" t="s">
        <v>676</v>
      </c>
      <c r="I630" s="25">
        <v>0.9</v>
      </c>
      <c r="J630" s="26">
        <v>0.85714285714285698</v>
      </c>
      <c r="K630" s="26">
        <v>0.86301369863013699</v>
      </c>
      <c r="L630" s="27">
        <v>0.77049180327868805</v>
      </c>
      <c r="M630" s="26">
        <v>0.82309582309582296</v>
      </c>
      <c r="N630" s="28">
        <v>0.9</v>
      </c>
      <c r="O630" s="26">
        <v>0.97312383708910499</v>
      </c>
      <c r="P630" s="26">
        <v>0.97839506172839497</v>
      </c>
      <c r="Q630" s="26">
        <v>0.98203330411919398</v>
      </c>
      <c r="R630" s="26">
        <v>0.97467177446349496</v>
      </c>
      <c r="S630" s="28">
        <v>0.9</v>
      </c>
      <c r="T630" s="26">
        <v>0.70953070084763303</v>
      </c>
      <c r="U630" s="26">
        <v>0.66313932980599599</v>
      </c>
      <c r="V630" s="26">
        <v>0.78834355828220903</v>
      </c>
      <c r="W630" s="26">
        <v>0.73050172946033398</v>
      </c>
      <c r="X630" s="28">
        <v>0.92</v>
      </c>
      <c r="Y630" s="28">
        <v>0.91670172486327295</v>
      </c>
      <c r="Z630" s="28">
        <v>0.92778511668868302</v>
      </c>
      <c r="AA630" s="28">
        <v>0.92679558011049701</v>
      </c>
      <c r="AB630" s="28">
        <v>0.91933310879083896</v>
      </c>
      <c r="AC630" s="28">
        <v>0.92</v>
      </c>
      <c r="AD630" s="26">
        <v>0.99532875022034195</v>
      </c>
      <c r="AE630" s="26">
        <v>0.984674636925299</v>
      </c>
      <c r="AF630" s="26">
        <v>0.96652999748974999</v>
      </c>
      <c r="AG630" s="26">
        <v>0.968815060908084</v>
      </c>
      <c r="AH630" s="28">
        <v>0.92</v>
      </c>
      <c r="AI630" s="26">
        <v>0.94289674289674297</v>
      </c>
      <c r="AJ630" s="26">
        <v>0.95252258206653495</v>
      </c>
      <c r="AK630" s="26">
        <v>0.94614003590664297</v>
      </c>
      <c r="AL630" s="26">
        <v>0.94983881366860101</v>
      </c>
      <c r="AM630" s="25">
        <v>0.99</v>
      </c>
      <c r="AN630" s="30">
        <v>1</v>
      </c>
      <c r="AO630" s="30">
        <v>1</v>
      </c>
      <c r="AP630" s="30">
        <v>1</v>
      </c>
      <c r="AQ630" s="30">
        <v>1</v>
      </c>
      <c r="AR630" s="50">
        <v>0.05</v>
      </c>
      <c r="AS630" s="34">
        <v>0.11764705882352899</v>
      </c>
      <c r="AT630" s="34">
        <v>0</v>
      </c>
      <c r="AU630" s="34">
        <v>4.7619047619047603E-2</v>
      </c>
      <c r="AV630" s="34">
        <v>0.08</v>
      </c>
      <c r="AW630" s="10"/>
      <c r="AX630" s="8"/>
    </row>
    <row r="631" spans="1:50">
      <c r="A631" s="7"/>
      <c r="B631" s="10"/>
      <c r="C631" s="45" t="s">
        <v>396</v>
      </c>
      <c r="D631" s="23" t="s">
        <v>19</v>
      </c>
      <c r="E631" s="46" t="s">
        <v>677</v>
      </c>
      <c r="F631" s="46" t="s">
        <v>677</v>
      </c>
      <c r="G631" s="46" t="s">
        <v>677</v>
      </c>
      <c r="H631" s="46" t="s">
        <v>677</v>
      </c>
      <c r="I631" s="25">
        <v>0.9</v>
      </c>
      <c r="J631" s="26">
        <v>0.92500000000000004</v>
      </c>
      <c r="K631" s="26">
        <v>0.94117647058823495</v>
      </c>
      <c r="L631" s="27">
        <v>0.91044776119403004</v>
      </c>
      <c r="M631" s="26">
        <v>0.92324561403508798</v>
      </c>
      <c r="N631" s="28">
        <v>0.9</v>
      </c>
      <c r="O631" s="26">
        <v>0.94560047562425698</v>
      </c>
      <c r="P631" s="26">
        <v>0.61894570849290398</v>
      </c>
      <c r="Q631" s="26">
        <v>0.95336159903089002</v>
      </c>
      <c r="R631" s="26">
        <v>0.879610432125709</v>
      </c>
      <c r="S631" s="28">
        <v>0.9</v>
      </c>
      <c r="T631" s="26">
        <v>0.87395957193816898</v>
      </c>
      <c r="U631" s="26">
        <v>0.76672674025681498</v>
      </c>
      <c r="V631" s="26">
        <v>0.86674742580254405</v>
      </c>
      <c r="W631" s="26">
        <v>0.83437909209951999</v>
      </c>
      <c r="X631" s="28">
        <v>0.92</v>
      </c>
      <c r="Y631" s="28">
        <v>0.91693917593198204</v>
      </c>
      <c r="Z631" s="28">
        <v>0.94834571235651599</v>
      </c>
      <c r="AA631" s="28">
        <v>0.91963661774982497</v>
      </c>
      <c r="AB631" s="28">
        <v>0.93260926459042104</v>
      </c>
      <c r="AC631" s="28">
        <v>0.92</v>
      </c>
      <c r="AD631" s="26">
        <v>0.99750467872738602</v>
      </c>
      <c r="AE631" s="26">
        <v>0.98851308232291002</v>
      </c>
      <c r="AF631" s="26">
        <v>0.99842436974789905</v>
      </c>
      <c r="AG631" s="26">
        <v>0.99368380137984602</v>
      </c>
      <c r="AH631" s="28">
        <v>0.92</v>
      </c>
      <c r="AI631" s="26">
        <v>0.95525132815692704</v>
      </c>
      <c r="AJ631" s="26">
        <v>0.97669706180344495</v>
      </c>
      <c r="AK631" s="26">
        <v>0.94565217391304301</v>
      </c>
      <c r="AL631" s="26">
        <v>0.96604427333974996</v>
      </c>
      <c r="AM631" s="25">
        <v>0.99</v>
      </c>
      <c r="AN631" s="30">
        <v>1</v>
      </c>
      <c r="AO631" s="30">
        <v>1</v>
      </c>
      <c r="AP631" s="30">
        <v>1</v>
      </c>
      <c r="AQ631" s="30">
        <v>1</v>
      </c>
      <c r="AR631" s="50">
        <v>0.05</v>
      </c>
      <c r="AS631" s="34">
        <v>7.69230769230769E-2</v>
      </c>
      <c r="AT631" s="34">
        <v>0</v>
      </c>
      <c r="AU631" s="34">
        <v>9.5238095238095205E-2</v>
      </c>
      <c r="AV631" s="34">
        <v>7.0063694267515894E-2</v>
      </c>
      <c r="AW631" s="10"/>
      <c r="AX631" s="8"/>
    </row>
    <row r="632" spans="1:50">
      <c r="A632" s="7"/>
      <c r="B632" s="10"/>
      <c r="C632" s="45" t="s">
        <v>396</v>
      </c>
      <c r="D632" s="23" t="s">
        <v>19</v>
      </c>
      <c r="E632" s="46" t="s">
        <v>678</v>
      </c>
      <c r="F632" s="46" t="s">
        <v>678</v>
      </c>
      <c r="G632" s="46" t="s">
        <v>678</v>
      </c>
      <c r="H632" s="46" t="s">
        <v>678</v>
      </c>
      <c r="I632" s="25">
        <v>0.9</v>
      </c>
      <c r="J632" s="26">
        <v>1</v>
      </c>
      <c r="K632" s="26">
        <v>1</v>
      </c>
      <c r="L632" s="27">
        <v>1</v>
      </c>
      <c r="M632" s="26">
        <v>0.99576271186440701</v>
      </c>
      <c r="N632" s="28">
        <v>0.9</v>
      </c>
      <c r="O632" s="26">
        <v>0.984530766586456</v>
      </c>
      <c r="P632" s="26">
        <v>0.99166034874905196</v>
      </c>
      <c r="Q632" s="26">
        <v>1</v>
      </c>
      <c r="R632" s="26">
        <v>0.98769306504215104</v>
      </c>
      <c r="S632" s="28">
        <v>0.9</v>
      </c>
      <c r="T632" s="26">
        <v>0.94774836713647304</v>
      </c>
      <c r="U632" s="26">
        <v>0.95223654283548098</v>
      </c>
      <c r="V632" s="26">
        <v>0.95507947477539701</v>
      </c>
      <c r="W632" s="26">
        <v>0.95741800504584296</v>
      </c>
      <c r="X632" s="28">
        <v>0.92</v>
      </c>
      <c r="Y632" s="28">
        <v>0.96877439500390305</v>
      </c>
      <c r="Z632" s="28">
        <v>0.97658610271903301</v>
      </c>
      <c r="AA632" s="28">
        <v>0.97157190635451496</v>
      </c>
      <c r="AB632" s="28">
        <v>0.96981768040447403</v>
      </c>
      <c r="AC632" s="28">
        <v>0.92</v>
      </c>
      <c r="AD632" s="26">
        <v>0.99397590361445798</v>
      </c>
      <c r="AE632" s="26">
        <v>0.97515527950310599</v>
      </c>
      <c r="AF632" s="26">
        <v>0.98895027624309395</v>
      </c>
      <c r="AG632" s="26">
        <v>0.98366394399066504</v>
      </c>
      <c r="AH632" s="28">
        <v>0.92</v>
      </c>
      <c r="AI632" s="26">
        <v>0.98162729658792602</v>
      </c>
      <c r="AJ632" s="26">
        <v>0.98466199583412195</v>
      </c>
      <c r="AK632" s="26">
        <v>0.98108210367007198</v>
      </c>
      <c r="AL632" s="26">
        <v>0.98336259877085197</v>
      </c>
      <c r="AM632" s="25">
        <v>0.99</v>
      </c>
      <c r="AN632" s="30">
        <v>1</v>
      </c>
      <c r="AO632" s="30">
        <v>1</v>
      </c>
      <c r="AP632" s="30">
        <v>1</v>
      </c>
      <c r="AQ632" s="30">
        <v>1</v>
      </c>
      <c r="AR632" s="50">
        <v>0.05</v>
      </c>
      <c r="AS632" s="34">
        <v>0</v>
      </c>
      <c r="AT632" s="34">
        <v>5.5555555555555601E-2</v>
      </c>
      <c r="AU632" s="34">
        <v>0</v>
      </c>
      <c r="AV632" s="34">
        <v>4.2253521126760597E-2</v>
      </c>
      <c r="AW632" s="10"/>
      <c r="AX632" s="8"/>
    </row>
    <row r="633" spans="1:50">
      <c r="A633" s="7"/>
      <c r="B633" s="10"/>
      <c r="C633" s="45" t="s">
        <v>396</v>
      </c>
      <c r="D633" s="23" t="s">
        <v>19</v>
      </c>
      <c r="E633" s="46" t="s">
        <v>679</v>
      </c>
      <c r="F633" s="46" t="s">
        <v>679</v>
      </c>
      <c r="G633" s="46" t="s">
        <v>679</v>
      </c>
      <c r="H633" s="46" t="s">
        <v>679</v>
      </c>
      <c r="I633" s="25">
        <v>0.9</v>
      </c>
      <c r="J633" s="26">
        <v>0.81818181818181801</v>
      </c>
      <c r="K633" s="26">
        <v>0.80392156862745101</v>
      </c>
      <c r="L633" s="27">
        <v>0.72839506172839497</v>
      </c>
      <c r="M633" s="26">
        <v>0.77978339350180503</v>
      </c>
      <c r="N633" s="28">
        <v>0.9</v>
      </c>
      <c r="O633" s="26">
        <v>0.98721610227118195</v>
      </c>
      <c r="P633" s="26">
        <v>0.98788945243763604</v>
      </c>
      <c r="Q633" s="26">
        <v>0.98098342841619102</v>
      </c>
      <c r="R633" s="26">
        <v>0.978766281641681</v>
      </c>
      <c r="S633" s="28">
        <v>0.9</v>
      </c>
      <c r="T633" s="26">
        <v>0.70909832721338195</v>
      </c>
      <c r="U633" s="26">
        <v>0.609460718352137</v>
      </c>
      <c r="V633" s="26">
        <v>0.77669111654441703</v>
      </c>
      <c r="W633" s="26">
        <v>0.69306955025804895</v>
      </c>
      <c r="X633" s="28">
        <v>0.92</v>
      </c>
      <c r="Y633" s="28">
        <v>0.88657616892910995</v>
      </c>
      <c r="Z633" s="28">
        <v>0.89688777114115104</v>
      </c>
      <c r="AA633" s="28">
        <v>0.87418045582266601</v>
      </c>
      <c r="AB633" s="28">
        <v>0.88542344794934003</v>
      </c>
      <c r="AC633" s="28">
        <v>0.92</v>
      </c>
      <c r="AD633" s="26">
        <v>0.99216454456415304</v>
      </c>
      <c r="AE633" s="26">
        <v>0.99449035812672204</v>
      </c>
      <c r="AF633" s="26">
        <v>0.99209932279909696</v>
      </c>
      <c r="AG633" s="26">
        <v>0.99425587467362897</v>
      </c>
      <c r="AH633" s="28">
        <v>0.92</v>
      </c>
      <c r="AI633" s="26">
        <v>0.94422572178477704</v>
      </c>
      <c r="AJ633" s="26">
        <v>0.95858310626703003</v>
      </c>
      <c r="AK633" s="26">
        <v>0.92927679349404602</v>
      </c>
      <c r="AL633" s="26">
        <v>0.95048267240780604</v>
      </c>
      <c r="AM633" s="25">
        <v>0.99</v>
      </c>
      <c r="AN633" s="30">
        <v>1</v>
      </c>
      <c r="AO633" s="30">
        <v>1</v>
      </c>
      <c r="AP633" s="30">
        <v>1</v>
      </c>
      <c r="AQ633" s="30">
        <v>1</v>
      </c>
      <c r="AR633" s="50">
        <v>0.05</v>
      </c>
      <c r="AS633" s="34">
        <v>0.3</v>
      </c>
      <c r="AT633" s="34">
        <v>0</v>
      </c>
      <c r="AU633" s="34">
        <v>0</v>
      </c>
      <c r="AV633" s="34">
        <v>0.120253164556962</v>
      </c>
      <c r="AW633" s="10"/>
      <c r="AX633" s="8"/>
    </row>
    <row r="634" spans="1:50">
      <c r="A634" s="7"/>
      <c r="B634" s="10"/>
      <c r="C634" s="45" t="s">
        <v>396</v>
      </c>
      <c r="D634" s="23" t="s">
        <v>19</v>
      </c>
      <c r="E634" s="46" t="s">
        <v>680</v>
      </c>
      <c r="F634" s="46" t="s">
        <v>680</v>
      </c>
      <c r="G634" s="46" t="s">
        <v>680</v>
      </c>
      <c r="H634" s="46" t="s">
        <v>680</v>
      </c>
      <c r="I634" s="25">
        <v>0.9</v>
      </c>
      <c r="J634" s="26">
        <v>0.72340425531914898</v>
      </c>
      <c r="K634" s="26">
        <v>0.73076923076923095</v>
      </c>
      <c r="L634" s="27">
        <v>0.73809523809523803</v>
      </c>
      <c r="M634" s="26">
        <v>0.72693726937269398</v>
      </c>
      <c r="N634" s="28">
        <v>0.9</v>
      </c>
      <c r="O634" s="26">
        <v>0.98711502199874301</v>
      </c>
      <c r="P634" s="26">
        <v>0.60222502099076403</v>
      </c>
      <c r="Q634" s="26">
        <v>0.99405155320555205</v>
      </c>
      <c r="R634" s="26">
        <v>0.88259805198187402</v>
      </c>
      <c r="S634" s="28">
        <v>0.9</v>
      </c>
      <c r="T634" s="26">
        <v>0.50691389063482095</v>
      </c>
      <c r="U634" s="26">
        <v>0.45969773299748101</v>
      </c>
      <c r="V634" s="26">
        <v>0.60674157303370801</v>
      </c>
      <c r="W634" s="26">
        <v>0.50476587322256405</v>
      </c>
      <c r="X634" s="28">
        <v>0.92</v>
      </c>
      <c r="Y634" s="28">
        <v>0.91129032258064502</v>
      </c>
      <c r="Z634" s="28">
        <v>0.75928571428571401</v>
      </c>
      <c r="AA634" s="28">
        <v>0.87743950039032004</v>
      </c>
      <c r="AB634" s="28">
        <v>0.84736918393970095</v>
      </c>
      <c r="AC634" s="28">
        <v>0.92</v>
      </c>
      <c r="AD634" s="26">
        <v>0.996345919610231</v>
      </c>
      <c r="AE634" s="26">
        <v>0.99207397622192905</v>
      </c>
      <c r="AF634" s="26">
        <v>0.99733688415446098</v>
      </c>
      <c r="AG634" s="26">
        <v>0.99551478083588196</v>
      </c>
      <c r="AH634" s="28">
        <v>0.92</v>
      </c>
      <c r="AI634" s="26">
        <v>0.90321161460624699</v>
      </c>
      <c r="AJ634" s="26">
        <v>0.88759124087591201</v>
      </c>
      <c r="AK634" s="26">
        <v>0.90121689334287802</v>
      </c>
      <c r="AL634" s="26">
        <v>0.90200735519460595</v>
      </c>
      <c r="AM634" s="25">
        <v>0.99</v>
      </c>
      <c r="AN634" s="30">
        <v>1</v>
      </c>
      <c r="AO634" s="30">
        <v>1</v>
      </c>
      <c r="AP634" s="30">
        <v>1</v>
      </c>
      <c r="AQ634" s="30">
        <v>1</v>
      </c>
      <c r="AR634" s="50">
        <v>0.05</v>
      </c>
      <c r="AS634" s="34">
        <v>0</v>
      </c>
      <c r="AT634" s="34">
        <v>6.25E-2</v>
      </c>
      <c r="AU634" s="34">
        <v>7.1428571428571397E-2</v>
      </c>
      <c r="AV634" s="34">
        <v>6.3157894736842093E-2</v>
      </c>
      <c r="AW634" s="10"/>
      <c r="AX634" s="8"/>
    </row>
    <row r="635" spans="1:50">
      <c r="A635" s="7"/>
      <c r="B635" s="10"/>
      <c r="C635" s="45" t="s">
        <v>396</v>
      </c>
      <c r="D635" s="23" t="s">
        <v>19</v>
      </c>
      <c r="E635" s="46" t="s">
        <v>681</v>
      </c>
      <c r="F635" s="46" t="s">
        <v>681</v>
      </c>
      <c r="G635" s="46" t="s">
        <v>681</v>
      </c>
      <c r="H635" s="46" t="s">
        <v>681</v>
      </c>
      <c r="I635" s="25">
        <v>0.9</v>
      </c>
      <c r="J635" s="26">
        <v>0.97260273972602695</v>
      </c>
      <c r="K635" s="26">
        <v>0.949367088607595</v>
      </c>
      <c r="L635" s="27">
        <v>0.93846153846153801</v>
      </c>
      <c r="M635" s="26">
        <v>0.92636579572446598</v>
      </c>
      <c r="N635" s="28">
        <v>0.9</v>
      </c>
      <c r="O635" s="26">
        <v>0.98450255984502599</v>
      </c>
      <c r="P635" s="26">
        <v>0.94405524419535602</v>
      </c>
      <c r="Q635" s="26">
        <v>0.99070847851335697</v>
      </c>
      <c r="R635" s="26">
        <v>0.97479284345683903</v>
      </c>
      <c r="S635" s="28">
        <v>0.9</v>
      </c>
      <c r="T635" s="26">
        <v>0.85291268852912705</v>
      </c>
      <c r="U635" s="26">
        <v>0.85408326661329104</v>
      </c>
      <c r="V635" s="26">
        <v>0.91608594657375098</v>
      </c>
      <c r="W635" s="26">
        <v>0.89690695996217695</v>
      </c>
      <c r="X635" s="28">
        <v>0.92</v>
      </c>
      <c r="Y635" s="28">
        <v>0.73280000000000001</v>
      </c>
      <c r="Z635" s="28">
        <v>0.74134734239802202</v>
      </c>
      <c r="AA635" s="28">
        <v>0.86860643185298603</v>
      </c>
      <c r="AB635" s="28">
        <v>0.79439766661163402</v>
      </c>
      <c r="AC635" s="28">
        <v>0.92</v>
      </c>
      <c r="AD635" s="26">
        <v>0.97126479018152401</v>
      </c>
      <c r="AE635" s="26">
        <v>0.97762693080279806</v>
      </c>
      <c r="AF635" s="26">
        <v>0.98500989912322101</v>
      </c>
      <c r="AG635" s="26">
        <v>0.97835583306596896</v>
      </c>
      <c r="AH635" s="28">
        <v>0.92</v>
      </c>
      <c r="AI635" s="26">
        <v>0.84239774073061902</v>
      </c>
      <c r="AJ635" s="26">
        <v>0.87143828886705499</v>
      </c>
      <c r="AK635" s="26">
        <v>0.91861678342524999</v>
      </c>
      <c r="AL635" s="26">
        <v>0.89425893882026397</v>
      </c>
      <c r="AM635" s="25">
        <v>0.99</v>
      </c>
      <c r="AN635" s="30">
        <v>1</v>
      </c>
      <c r="AO635" s="30">
        <v>1</v>
      </c>
      <c r="AP635" s="30">
        <v>1</v>
      </c>
      <c r="AQ635" s="30">
        <v>1</v>
      </c>
      <c r="AR635" s="50">
        <v>0.05</v>
      </c>
      <c r="AS635" s="34">
        <v>2.47524752475248E-3</v>
      </c>
      <c r="AT635" s="34">
        <v>4.0816326530612197E-3</v>
      </c>
      <c r="AU635" s="34">
        <v>2.6178010471204199E-3</v>
      </c>
      <c r="AV635" s="34">
        <v>5.4107230693556298E-3</v>
      </c>
      <c r="AW635" s="10"/>
      <c r="AX635" s="8"/>
    </row>
    <row r="636" spans="1:50">
      <c r="A636" s="7"/>
      <c r="B636" s="10"/>
      <c r="C636" s="45" t="s">
        <v>396</v>
      </c>
      <c r="D636" s="23" t="s">
        <v>19</v>
      </c>
      <c r="E636" s="46" t="s">
        <v>682</v>
      </c>
      <c r="F636" s="46" t="s">
        <v>682</v>
      </c>
      <c r="G636" s="46" t="s">
        <v>682</v>
      </c>
      <c r="H636" s="46" t="s">
        <v>682</v>
      </c>
      <c r="I636" s="25">
        <v>0.9</v>
      </c>
      <c r="J636" s="26">
        <v>0.89583333333333304</v>
      </c>
      <c r="K636" s="26">
        <v>0.92929292929292895</v>
      </c>
      <c r="L636" s="27">
        <v>0.95294117647058796</v>
      </c>
      <c r="M636" s="26">
        <v>0.93173431734317302</v>
      </c>
      <c r="N636" s="28">
        <v>0.9</v>
      </c>
      <c r="O636" s="26">
        <v>0.97527972937809004</v>
      </c>
      <c r="P636" s="26">
        <v>0.88283812915924598</v>
      </c>
      <c r="Q636" s="26">
        <v>0.97058014847401697</v>
      </c>
      <c r="R636" s="26">
        <v>0.95579135590428899</v>
      </c>
      <c r="S636" s="28">
        <v>0.9</v>
      </c>
      <c r="T636" s="26">
        <v>0.87561800676554802</v>
      </c>
      <c r="U636" s="26">
        <v>0.88377542412597199</v>
      </c>
      <c r="V636" s="26">
        <v>0.89826780313445098</v>
      </c>
      <c r="W636" s="26">
        <v>0.88610215749476495</v>
      </c>
      <c r="X636" s="28">
        <v>0.92</v>
      </c>
      <c r="Y636" s="28">
        <v>0.83272727272727298</v>
      </c>
      <c r="Z636" s="28">
        <v>0.80274390243902405</v>
      </c>
      <c r="AA636" s="28">
        <v>0.837202636858699</v>
      </c>
      <c r="AB636" s="28">
        <v>0.81841418605889604</v>
      </c>
      <c r="AC636" s="28">
        <v>0.92</v>
      </c>
      <c r="AD636" s="26">
        <v>0.99908424908424898</v>
      </c>
      <c r="AE636" s="26">
        <v>0.99898359227530098</v>
      </c>
      <c r="AF636" s="26">
        <v>0.998089577584377</v>
      </c>
      <c r="AG636" s="26">
        <v>0.99871184206584596</v>
      </c>
      <c r="AH636" s="28">
        <v>0.92</v>
      </c>
      <c r="AI636" s="26">
        <v>0.90362281157913005</v>
      </c>
      <c r="AJ636" s="26">
        <v>0.90467999713323299</v>
      </c>
      <c r="AK636" s="26">
        <v>0.900659464010102</v>
      </c>
      <c r="AL636" s="26">
        <v>0.907550001631375</v>
      </c>
      <c r="AM636" s="25">
        <v>0.99</v>
      </c>
      <c r="AN636" s="30">
        <v>1</v>
      </c>
      <c r="AO636" s="30">
        <v>1</v>
      </c>
      <c r="AP636" s="30">
        <v>1</v>
      </c>
      <c r="AQ636" s="30">
        <v>1</v>
      </c>
      <c r="AR636" s="50">
        <v>0.05</v>
      </c>
      <c r="AS636" s="34">
        <v>2.9411764705882401E-2</v>
      </c>
      <c r="AT636" s="34">
        <v>0</v>
      </c>
      <c r="AU636" s="34">
        <v>0.04</v>
      </c>
      <c r="AV636" s="34">
        <v>2.0512820512820499E-2</v>
      </c>
      <c r="AW636" s="10"/>
      <c r="AX636" s="8"/>
    </row>
    <row r="637" spans="1:50">
      <c r="A637" s="7"/>
      <c r="B637" s="10"/>
      <c r="C637" s="45" t="s">
        <v>396</v>
      </c>
      <c r="D637" s="23" t="s">
        <v>19</v>
      </c>
      <c r="E637" s="46" t="s">
        <v>683</v>
      </c>
      <c r="F637" s="46" t="s">
        <v>683</v>
      </c>
      <c r="G637" s="46" t="s">
        <v>683</v>
      </c>
      <c r="H637" s="46" t="s">
        <v>683</v>
      </c>
      <c r="I637" s="25">
        <v>0.9</v>
      </c>
      <c r="J637" s="26">
        <v>0.81176470588235305</v>
      </c>
      <c r="K637" s="26">
        <v>0.82558139534883701</v>
      </c>
      <c r="L637" s="27">
        <v>0.85915492957746498</v>
      </c>
      <c r="M637" s="26">
        <v>0.83474576271186396</v>
      </c>
      <c r="N637" s="28">
        <v>0.9</v>
      </c>
      <c r="O637" s="26">
        <v>0.91576532284496903</v>
      </c>
      <c r="P637" s="26">
        <v>0.92343919816447295</v>
      </c>
      <c r="Q637" s="26">
        <v>0.88077445652173902</v>
      </c>
      <c r="R637" s="26">
        <v>0.90741924681097197</v>
      </c>
      <c r="S637" s="28">
        <v>0.9</v>
      </c>
      <c r="T637" s="26">
        <v>0.59914782038675796</v>
      </c>
      <c r="U637" s="26">
        <v>0.49764521193092598</v>
      </c>
      <c r="V637" s="26">
        <v>0.72622282608695699</v>
      </c>
      <c r="W637" s="26">
        <v>0.56994550491673501</v>
      </c>
      <c r="X637" s="28">
        <v>0.92</v>
      </c>
      <c r="Y637" s="28">
        <v>0.86688206785137301</v>
      </c>
      <c r="Z637" s="28">
        <v>0.863940782516743</v>
      </c>
      <c r="AA637" s="28">
        <v>0.85050071530758198</v>
      </c>
      <c r="AB637" s="28">
        <v>0.84397816220482802</v>
      </c>
      <c r="AC637" s="28">
        <v>0.92</v>
      </c>
      <c r="AD637" s="26">
        <v>0.99277195518612205</v>
      </c>
      <c r="AE637" s="26">
        <v>0.99403281949278999</v>
      </c>
      <c r="AF637" s="26">
        <v>0.99749247743229696</v>
      </c>
      <c r="AG637" s="26">
        <v>0.99397004473837802</v>
      </c>
      <c r="AH637" s="28">
        <v>0.92</v>
      </c>
      <c r="AI637" s="26">
        <v>0.90870557548092601</v>
      </c>
      <c r="AJ637" s="26">
        <v>0.93625820372201696</v>
      </c>
      <c r="AK637" s="26">
        <v>0.88118466898954695</v>
      </c>
      <c r="AL637" s="26">
        <v>0.91284088781644601</v>
      </c>
      <c r="AM637" s="25">
        <v>0.99</v>
      </c>
      <c r="AN637" s="30">
        <v>1</v>
      </c>
      <c r="AO637" s="30">
        <v>1</v>
      </c>
      <c r="AP637" s="30">
        <v>1</v>
      </c>
      <c r="AQ637" s="30">
        <v>1</v>
      </c>
      <c r="AR637" s="50">
        <v>0.05</v>
      </c>
      <c r="AS637" s="34">
        <v>6.7567567567567597E-3</v>
      </c>
      <c r="AT637" s="34">
        <v>0</v>
      </c>
      <c r="AU637" s="34">
        <v>-5.9829059829059797E-2</v>
      </c>
      <c r="AV637" s="34">
        <v>-7.5630252100840302E-3</v>
      </c>
      <c r="AW637" s="10"/>
      <c r="AX637" s="8"/>
    </row>
    <row r="638" spans="1:50">
      <c r="A638" s="7"/>
      <c r="B638" s="10"/>
      <c r="C638" s="45" t="s">
        <v>396</v>
      </c>
      <c r="D638" s="23" t="s">
        <v>19</v>
      </c>
      <c r="E638" s="46" t="s">
        <v>684</v>
      </c>
      <c r="F638" s="46" t="s">
        <v>684</v>
      </c>
      <c r="G638" s="46" t="s">
        <v>684</v>
      </c>
      <c r="H638" s="46" t="s">
        <v>684</v>
      </c>
      <c r="I638" s="25">
        <v>0.9</v>
      </c>
      <c r="J638" s="26">
        <v>0.33823529411764702</v>
      </c>
      <c r="K638" s="26">
        <v>0.41666666666666702</v>
      </c>
      <c r="L638" s="27">
        <v>0.44827586206896602</v>
      </c>
      <c r="M638" s="26">
        <v>0.40404040404040398</v>
      </c>
      <c r="N638" s="28">
        <v>0.9</v>
      </c>
      <c r="O638" s="26">
        <v>0.40594308738353102</v>
      </c>
      <c r="P638" s="26">
        <v>0.41288944967485203</v>
      </c>
      <c r="Q638" s="26">
        <v>0.49289617486338799</v>
      </c>
      <c r="R638" s="26">
        <v>0.455418629938383</v>
      </c>
      <c r="S638" s="28">
        <v>0.9</v>
      </c>
      <c r="T638" s="26">
        <v>0.39309997481742598</v>
      </c>
      <c r="U638" s="26">
        <v>0.37746287489080799</v>
      </c>
      <c r="V638" s="26">
        <v>0.468579234972678</v>
      </c>
      <c r="W638" s="26">
        <v>0.445270025371511</v>
      </c>
      <c r="X638" s="28">
        <v>0.92</v>
      </c>
      <c r="Y638" s="28">
        <v>0</v>
      </c>
      <c r="Z638" s="28">
        <v>0</v>
      </c>
      <c r="AA638" s="28">
        <v>0</v>
      </c>
      <c r="AB638" s="28">
        <v>0</v>
      </c>
      <c r="AC638" s="28">
        <v>0.92</v>
      </c>
      <c r="AD638" s="26">
        <v>0.99700598802395202</v>
      </c>
      <c r="AE638" s="26">
        <v>0.99197247706421998</v>
      </c>
      <c r="AF638" s="26">
        <v>0.99549549549549599</v>
      </c>
      <c r="AG638" s="26">
        <v>0.994617868675996</v>
      </c>
      <c r="AH638" s="28">
        <v>0.92</v>
      </c>
      <c r="AI638" s="26">
        <v>0.85243841126194098</v>
      </c>
      <c r="AJ638" s="26">
        <v>0.90393013100436703</v>
      </c>
      <c r="AK638" s="26">
        <v>0.84953577280174797</v>
      </c>
      <c r="AL638" s="26">
        <v>0.88048819147250001</v>
      </c>
      <c r="AM638" s="25">
        <v>0.99</v>
      </c>
      <c r="AN638" s="30">
        <v>1</v>
      </c>
      <c r="AO638" s="30">
        <v>1</v>
      </c>
      <c r="AP638" s="30">
        <v>1</v>
      </c>
      <c r="AQ638" s="30">
        <v>1</v>
      </c>
      <c r="AR638" s="50">
        <v>0.05</v>
      </c>
      <c r="AS638" s="34">
        <v>0.08</v>
      </c>
      <c r="AT638" s="34">
        <v>0</v>
      </c>
      <c r="AU638" s="34">
        <v>0.1</v>
      </c>
      <c r="AV638" s="34">
        <v>8.59375E-2</v>
      </c>
      <c r="AW638" s="10"/>
      <c r="AX638" s="8"/>
    </row>
    <row r="639" spans="1:50">
      <c r="A639" s="7"/>
      <c r="B639" s="10"/>
      <c r="C639" s="45" t="s">
        <v>396</v>
      </c>
      <c r="D639" s="23" t="s">
        <v>19</v>
      </c>
      <c r="E639" s="46" t="s">
        <v>685</v>
      </c>
      <c r="F639" s="46" t="s">
        <v>685</v>
      </c>
      <c r="G639" s="46" t="s">
        <v>685</v>
      </c>
      <c r="H639" s="46" t="s">
        <v>685</v>
      </c>
      <c r="I639" s="25">
        <v>0.9</v>
      </c>
      <c r="J639" s="26">
        <v>0.15730337078651699</v>
      </c>
      <c r="K639" s="26">
        <v>0.152941176470588</v>
      </c>
      <c r="L639" s="27">
        <v>0.12676056338028199</v>
      </c>
      <c r="M639" s="26">
        <v>0.14767932489451499</v>
      </c>
      <c r="N639" s="28">
        <v>0.9</v>
      </c>
      <c r="O639" s="26">
        <v>0.68799433360878304</v>
      </c>
      <c r="P639" s="26">
        <v>0.22325754752143101</v>
      </c>
      <c r="Q639" s="26">
        <v>0.45028096750549701</v>
      </c>
      <c r="R639" s="26">
        <v>0.37891617273497002</v>
      </c>
      <c r="S639" s="28">
        <v>0.9</v>
      </c>
      <c r="T639" s="26">
        <v>0.65234328886790205</v>
      </c>
      <c r="U639" s="26">
        <v>0.57771151695862799</v>
      </c>
      <c r="V639" s="26">
        <v>0.71121426826288803</v>
      </c>
      <c r="W639" s="26">
        <v>0.63687552921253199</v>
      </c>
      <c r="X639" s="28">
        <v>0.92</v>
      </c>
      <c r="Y639" s="28">
        <v>0.375</v>
      </c>
      <c r="Z639" s="28">
        <v>0.25</v>
      </c>
      <c r="AA639" s="28">
        <v>0</v>
      </c>
      <c r="AB639" s="28">
        <v>0.35294117647058798</v>
      </c>
      <c r="AC639" s="28">
        <v>0.92</v>
      </c>
      <c r="AD639" s="26">
        <v>0.98274063050580696</v>
      </c>
      <c r="AE639" s="26">
        <v>0.89322664999147305</v>
      </c>
      <c r="AF639" s="26">
        <v>0.78692340017455598</v>
      </c>
      <c r="AG639" s="26">
        <v>0.91218943682091902</v>
      </c>
      <c r="AH639" s="28">
        <v>0.92</v>
      </c>
      <c r="AI639" s="26">
        <v>0.93962264150943398</v>
      </c>
      <c r="AJ639" s="26">
        <v>0.94672627363323103</v>
      </c>
      <c r="AK639" s="26">
        <v>0.94578754578754598</v>
      </c>
      <c r="AL639" s="26">
        <v>0.93709400986013802</v>
      </c>
      <c r="AM639" s="25">
        <v>0.99</v>
      </c>
      <c r="AN639" s="30">
        <v>1</v>
      </c>
      <c r="AO639" s="30">
        <v>1</v>
      </c>
      <c r="AP639" s="30">
        <v>1</v>
      </c>
      <c r="AQ639" s="30">
        <v>1</v>
      </c>
      <c r="AR639" s="50">
        <v>0.05</v>
      </c>
      <c r="AS639" s="34">
        <v>2.7027027027027001E-2</v>
      </c>
      <c r="AT639" s="34">
        <v>3.4482758620689703E-2</v>
      </c>
      <c r="AU639" s="34">
        <v>8.3333333333333301E-2</v>
      </c>
      <c r="AV639" s="34">
        <v>7.5268817204301106E-2</v>
      </c>
      <c r="AW639" s="10"/>
      <c r="AX639" s="8"/>
    </row>
    <row r="640" spans="1:50">
      <c r="A640" s="7"/>
      <c r="B640" s="10"/>
      <c r="C640" s="45" t="s">
        <v>396</v>
      </c>
      <c r="D640" s="23" t="s">
        <v>19</v>
      </c>
      <c r="E640" s="46" t="s">
        <v>686</v>
      </c>
      <c r="F640" s="46" t="s">
        <v>686</v>
      </c>
      <c r="G640" s="46" t="s">
        <v>686</v>
      </c>
      <c r="H640" s="46" t="s">
        <v>686</v>
      </c>
      <c r="I640" s="25">
        <v>0.9</v>
      </c>
      <c r="J640" s="26">
        <v>1</v>
      </c>
      <c r="K640" s="26">
        <v>1</v>
      </c>
      <c r="L640" s="27">
        <v>0.97499999999999998</v>
      </c>
      <c r="M640" s="26">
        <v>0.97802197802197799</v>
      </c>
      <c r="N640" s="28">
        <v>0.9</v>
      </c>
      <c r="O640" s="26">
        <v>0.95480093676815003</v>
      </c>
      <c r="P640" s="26">
        <v>0.96116857194701499</v>
      </c>
      <c r="Q640" s="26">
        <v>0.98454404945904195</v>
      </c>
      <c r="R640" s="26">
        <v>0.96909415400687804</v>
      </c>
      <c r="S640" s="28">
        <v>0.9</v>
      </c>
      <c r="T640" s="26">
        <v>0.80702576112412205</v>
      </c>
      <c r="U640" s="26">
        <v>0.72201052440573399</v>
      </c>
      <c r="V640" s="26">
        <v>0.89386913961875303</v>
      </c>
      <c r="W640" s="26">
        <v>0.785139076306969</v>
      </c>
      <c r="X640" s="28">
        <v>0.92</v>
      </c>
      <c r="Y640" s="28">
        <v>0.929824561403509</v>
      </c>
      <c r="Z640" s="28">
        <v>0.94736842105263197</v>
      </c>
      <c r="AA640" s="28">
        <v>0.93145589798087103</v>
      </c>
      <c r="AB640" s="28">
        <v>0.92463442069741297</v>
      </c>
      <c r="AC640" s="28">
        <v>0.92</v>
      </c>
      <c r="AD640" s="26">
        <v>0.99854651162790697</v>
      </c>
      <c r="AE640" s="26">
        <v>0.99843260188087801</v>
      </c>
      <c r="AF640" s="26">
        <v>0.99910233393177705</v>
      </c>
      <c r="AG640" s="26">
        <v>0.99866529151246697</v>
      </c>
      <c r="AH640" s="28">
        <v>0.92</v>
      </c>
      <c r="AI640" s="26">
        <v>0.95704655902179003</v>
      </c>
      <c r="AJ640" s="26">
        <v>0.96540018279148698</v>
      </c>
      <c r="AK640" s="26">
        <v>0.953451882845188</v>
      </c>
      <c r="AL640" s="26">
        <v>0.95435092724679005</v>
      </c>
      <c r="AM640" s="25">
        <v>0.99</v>
      </c>
      <c r="AN640" s="30">
        <v>1</v>
      </c>
      <c r="AO640" s="30">
        <v>1</v>
      </c>
      <c r="AP640" s="30">
        <v>1</v>
      </c>
      <c r="AQ640" s="30">
        <v>1</v>
      </c>
      <c r="AR640" s="50">
        <v>0.05</v>
      </c>
      <c r="AS640" s="34">
        <v>4.3478260869565202E-2</v>
      </c>
      <c r="AT640" s="34">
        <v>0</v>
      </c>
      <c r="AU640" s="34">
        <v>8.3333333333333301E-2</v>
      </c>
      <c r="AV640" s="34">
        <v>8.1967213114754106E-2</v>
      </c>
      <c r="AW640" s="10"/>
      <c r="AX640" s="8"/>
    </row>
    <row r="641" spans="1:50">
      <c r="A641" s="7"/>
      <c r="B641" s="10"/>
      <c r="C641" s="45" t="s">
        <v>396</v>
      </c>
      <c r="D641" s="23" t="s">
        <v>19</v>
      </c>
      <c r="E641" s="46" t="s">
        <v>687</v>
      </c>
      <c r="F641" s="46" t="s">
        <v>687</v>
      </c>
      <c r="G641" s="46" t="s">
        <v>687</v>
      </c>
      <c r="H641" s="46" t="s">
        <v>687</v>
      </c>
      <c r="I641" s="25">
        <v>0.9</v>
      </c>
      <c r="J641" s="26">
        <v>0.79661016949152497</v>
      </c>
      <c r="K641" s="26">
        <v>0.85245901639344301</v>
      </c>
      <c r="L641" s="27">
        <v>0.77551020408163296</v>
      </c>
      <c r="M641" s="26">
        <v>0.78115501519756803</v>
      </c>
      <c r="N641" s="28">
        <v>0.9</v>
      </c>
      <c r="O641" s="26">
        <v>0.98717655140828897</v>
      </c>
      <c r="P641" s="26">
        <v>0.97770971584141597</v>
      </c>
      <c r="Q641" s="26">
        <v>0.98983650022094605</v>
      </c>
      <c r="R641" s="26">
        <v>0.96679679639393101</v>
      </c>
      <c r="S641" s="28">
        <v>0.9</v>
      </c>
      <c r="T641" s="26">
        <v>0.65445385848408499</v>
      </c>
      <c r="U641" s="26">
        <v>0.60830355623617505</v>
      </c>
      <c r="V641" s="26">
        <v>0.67697746354396804</v>
      </c>
      <c r="W641" s="26">
        <v>0.65142673159737596</v>
      </c>
      <c r="X641" s="28">
        <v>0.92</v>
      </c>
      <c r="Y641" s="28">
        <v>0.86304031083050003</v>
      </c>
      <c r="Z641" s="28">
        <v>0.85416666666666696</v>
      </c>
      <c r="AA641" s="28">
        <v>0.82872928176795602</v>
      </c>
      <c r="AB641" s="28">
        <v>0.851482455345</v>
      </c>
      <c r="AC641" s="28">
        <v>0.92</v>
      </c>
      <c r="AD641" s="26">
        <v>0.98089742314197603</v>
      </c>
      <c r="AE641" s="26">
        <v>0.99204955163169095</v>
      </c>
      <c r="AF641" s="26">
        <v>0.97985042338834305</v>
      </c>
      <c r="AG641" s="26">
        <v>0.98002952580263103</v>
      </c>
      <c r="AH641" s="28">
        <v>0.92</v>
      </c>
      <c r="AI641" s="26">
        <v>0.91570762052877097</v>
      </c>
      <c r="AJ641" s="26">
        <v>0.93427884006584805</v>
      </c>
      <c r="AK641" s="26">
        <v>0.88891498356035703</v>
      </c>
      <c r="AL641" s="26">
        <v>0.92290331568682105</v>
      </c>
      <c r="AM641" s="25">
        <v>0.99</v>
      </c>
      <c r="AN641" s="30">
        <v>1</v>
      </c>
      <c r="AO641" s="30">
        <v>1</v>
      </c>
      <c r="AP641" s="30">
        <v>1</v>
      </c>
      <c r="AQ641" s="30">
        <v>1</v>
      </c>
      <c r="AR641" s="50">
        <v>0.05</v>
      </c>
      <c r="AS641" s="34">
        <v>0</v>
      </c>
      <c r="AT641" s="34">
        <v>0.105263157894737</v>
      </c>
      <c r="AU641" s="34">
        <v>8.3333333333333301E-2</v>
      </c>
      <c r="AV641" s="34">
        <v>9.34579439252336E-2</v>
      </c>
      <c r="AW641" s="10"/>
      <c r="AX641" s="8"/>
    </row>
    <row r="642" spans="1:50">
      <c r="A642" s="7"/>
      <c r="B642" s="10"/>
      <c r="C642" s="64"/>
      <c r="D642" s="65"/>
      <c r="E642" s="65"/>
      <c r="F642" s="38"/>
      <c r="G642" s="38"/>
      <c r="H642" s="65"/>
      <c r="I642" s="66"/>
      <c r="J642" s="67"/>
      <c r="K642" s="67"/>
      <c r="L642" s="27"/>
      <c r="M642" s="67"/>
      <c r="N642" s="43"/>
      <c r="O642" s="67"/>
      <c r="P642" s="67"/>
      <c r="Q642" s="26"/>
      <c r="R642" s="67"/>
      <c r="S642" s="43"/>
      <c r="T642" s="67"/>
      <c r="U642" s="67"/>
      <c r="V642" s="26"/>
      <c r="W642" s="67"/>
      <c r="X642" s="43"/>
      <c r="Y642" s="43"/>
      <c r="Z642" s="43"/>
      <c r="AA642" s="28"/>
      <c r="AB642" s="43"/>
      <c r="AC642" s="67"/>
      <c r="AD642" s="67"/>
      <c r="AE642" s="67"/>
      <c r="AF642" s="26"/>
      <c r="AG642" s="67"/>
      <c r="AH642" s="67"/>
      <c r="AI642" s="67"/>
      <c r="AJ642" s="67"/>
      <c r="AK642" s="26"/>
      <c r="AL642" s="67"/>
      <c r="AM642" s="66"/>
      <c r="AN642" s="66"/>
      <c r="AO642" s="66"/>
      <c r="AP642" s="30"/>
      <c r="AQ642" s="66"/>
      <c r="AR642" s="67"/>
      <c r="AS642" s="66"/>
      <c r="AT642" s="66"/>
      <c r="AU642" s="34"/>
      <c r="AV642" s="66"/>
      <c r="AW642" s="10"/>
      <c r="AX642" s="8"/>
    </row>
    <row r="643" spans="1:50">
      <c r="A643" s="7"/>
      <c r="B643" s="10"/>
      <c r="C643" s="45" t="s">
        <v>688</v>
      </c>
      <c r="D643" s="23" t="s">
        <v>21</v>
      </c>
      <c r="E643" s="68" t="s">
        <v>689</v>
      </c>
      <c r="F643" s="68" t="s">
        <v>689</v>
      </c>
      <c r="G643" s="68" t="s">
        <v>689</v>
      </c>
      <c r="H643" s="68" t="s">
        <v>689</v>
      </c>
      <c r="I643" s="25">
        <v>0.9</v>
      </c>
      <c r="J643" s="26">
        <v>0.96875</v>
      </c>
      <c r="K643" s="26">
        <v>1</v>
      </c>
      <c r="L643" s="27">
        <v>1</v>
      </c>
      <c r="M643" s="26">
        <v>0.99444444444444402</v>
      </c>
      <c r="N643" s="28">
        <v>0.9</v>
      </c>
      <c r="O643" s="26">
        <v>0.97498187092095701</v>
      </c>
      <c r="P643" s="26">
        <v>0.98597331508723896</v>
      </c>
      <c r="Q643" s="26">
        <v>0.97983501374885396</v>
      </c>
      <c r="R643" s="26">
        <v>0.977669384955415</v>
      </c>
      <c r="S643" s="28">
        <v>0.9</v>
      </c>
      <c r="T643" s="26">
        <v>0.95975344452501798</v>
      </c>
      <c r="U643" s="26">
        <v>0.96715703044817003</v>
      </c>
      <c r="V643" s="26">
        <v>0.96975252062328099</v>
      </c>
      <c r="W643" s="26">
        <v>0.96014023321393205</v>
      </c>
      <c r="X643" s="28">
        <v>0.92</v>
      </c>
      <c r="Y643" s="28">
        <v>0.88015564202334595</v>
      </c>
      <c r="Z643" s="28">
        <v>0.939393939393939</v>
      </c>
      <c r="AA643" s="28">
        <v>0.94202898550724601</v>
      </c>
      <c r="AB643" s="28">
        <v>0.91873506159220397</v>
      </c>
      <c r="AC643" s="28">
        <v>0.92</v>
      </c>
      <c r="AD643" s="26">
        <v>0.99718309859154897</v>
      </c>
      <c r="AE643" s="26">
        <v>0.99053627760252405</v>
      </c>
      <c r="AF643" s="26">
        <v>0.99519230769230804</v>
      </c>
      <c r="AG643" s="26">
        <v>0.99377916018662504</v>
      </c>
      <c r="AH643" s="28">
        <v>0.92</v>
      </c>
      <c r="AI643" s="26">
        <v>0.94533762057877802</v>
      </c>
      <c r="AJ643" s="26">
        <v>0.97255871446229902</v>
      </c>
      <c r="AK643" s="26">
        <v>0.97423398328690802</v>
      </c>
      <c r="AL643" s="26">
        <v>0.96142449221485904</v>
      </c>
      <c r="AM643" s="25">
        <v>0.99</v>
      </c>
      <c r="AN643" s="30">
        <v>1</v>
      </c>
      <c r="AO643" s="30">
        <v>1</v>
      </c>
      <c r="AP643" s="30">
        <v>1</v>
      </c>
      <c r="AQ643" s="30">
        <v>1</v>
      </c>
      <c r="AR643" s="50">
        <v>8.1059522893420499E-2</v>
      </c>
      <c r="AS643" s="34">
        <v>0</v>
      </c>
      <c r="AT643" s="34">
        <v>6.25E-2</v>
      </c>
      <c r="AU643" s="34">
        <v>0.22222222222222199</v>
      </c>
      <c r="AV643" s="34">
        <v>4.49438202247191E-2</v>
      </c>
      <c r="AW643" s="10"/>
      <c r="AX643" s="8"/>
    </row>
    <row r="644" spans="1:50">
      <c r="A644" s="7"/>
      <c r="B644" s="10"/>
      <c r="C644" s="45" t="s">
        <v>688</v>
      </c>
      <c r="D644" s="23" t="s">
        <v>21</v>
      </c>
      <c r="E644" s="68" t="s">
        <v>690</v>
      </c>
      <c r="F644" s="68" t="s">
        <v>690</v>
      </c>
      <c r="G644" s="68" t="s">
        <v>690</v>
      </c>
      <c r="H644" s="68" t="s">
        <v>690</v>
      </c>
      <c r="I644" s="25">
        <v>0.9</v>
      </c>
      <c r="J644" s="26">
        <v>1</v>
      </c>
      <c r="K644" s="26">
        <v>1</v>
      </c>
      <c r="L644" s="27">
        <v>1</v>
      </c>
      <c r="M644" s="26">
        <v>1</v>
      </c>
      <c r="N644" s="28">
        <v>0.9</v>
      </c>
      <c r="O644" s="26">
        <v>0.98786302557433903</v>
      </c>
      <c r="P644" s="26">
        <v>0.98897838066977495</v>
      </c>
      <c r="Q644" s="26">
        <v>0.98600645855758895</v>
      </c>
      <c r="R644" s="26">
        <v>0.98165304268846498</v>
      </c>
      <c r="S644" s="28">
        <v>0.9</v>
      </c>
      <c r="T644" s="26">
        <v>0.95925444299956697</v>
      </c>
      <c r="U644" s="26">
        <v>0.95633743111487901</v>
      </c>
      <c r="V644" s="26">
        <v>0.95694294940796598</v>
      </c>
      <c r="W644" s="26">
        <v>0.95467756584922803</v>
      </c>
      <c r="X644" s="28">
        <v>0.92</v>
      </c>
      <c r="Y644" s="28">
        <v>0.96903096903096897</v>
      </c>
      <c r="Z644" s="28">
        <v>0.96300102774922902</v>
      </c>
      <c r="AA644" s="28">
        <v>0.967741935483871</v>
      </c>
      <c r="AB644" s="28">
        <v>0.96506076388888895</v>
      </c>
      <c r="AC644" s="28">
        <v>0.92</v>
      </c>
      <c r="AD644" s="26">
        <v>0.99930337861372298</v>
      </c>
      <c r="AE644" s="26">
        <v>0.99124726477024105</v>
      </c>
      <c r="AF644" s="26">
        <v>0.98886059834500295</v>
      </c>
      <c r="AG644" s="26">
        <v>0.99100834938985205</v>
      </c>
      <c r="AH644" s="28">
        <v>0.92</v>
      </c>
      <c r="AI644" s="26">
        <v>0.98519190087639796</v>
      </c>
      <c r="AJ644" s="26">
        <v>0.97989195678271301</v>
      </c>
      <c r="AK644" s="26">
        <v>0.97766749379652595</v>
      </c>
      <c r="AL644" s="26">
        <v>0.98086155027843602</v>
      </c>
      <c r="AM644" s="25">
        <v>0.99</v>
      </c>
      <c r="AN644" s="30">
        <v>1</v>
      </c>
      <c r="AO644" s="30">
        <v>1</v>
      </c>
      <c r="AP644" s="30">
        <v>1</v>
      </c>
      <c r="AQ644" s="30">
        <v>1</v>
      </c>
      <c r="AR644" s="50">
        <v>8.1059522893420499E-2</v>
      </c>
      <c r="AS644" s="34">
        <v>0</v>
      </c>
      <c r="AT644" s="34">
        <v>0.2</v>
      </c>
      <c r="AU644" s="34">
        <v>0.25</v>
      </c>
      <c r="AV644" s="34">
        <v>5.8823529411764698E-2</v>
      </c>
      <c r="AW644" s="10"/>
      <c r="AX644" s="8"/>
    </row>
    <row r="645" spans="1:50">
      <c r="A645" s="7"/>
      <c r="B645" s="10"/>
      <c r="C645" s="45" t="s">
        <v>688</v>
      </c>
      <c r="D645" s="23" t="s">
        <v>21</v>
      </c>
      <c r="E645" s="68" t="s">
        <v>691</v>
      </c>
      <c r="F645" s="68" t="s">
        <v>691</v>
      </c>
      <c r="G645" s="68" t="s">
        <v>691</v>
      </c>
      <c r="H645" s="68" t="s">
        <v>691</v>
      </c>
      <c r="I645" s="25">
        <v>0.9</v>
      </c>
      <c r="J645" s="26">
        <v>1</v>
      </c>
      <c r="K645" s="26">
        <v>1</v>
      </c>
      <c r="L645" s="27">
        <v>1</v>
      </c>
      <c r="M645" s="26">
        <v>0.99215686274509796</v>
      </c>
      <c r="N645" s="28">
        <v>0.9</v>
      </c>
      <c r="O645" s="26">
        <v>0.971436814772072</v>
      </c>
      <c r="P645" s="26">
        <v>0.97459165154265004</v>
      </c>
      <c r="Q645" s="26">
        <v>0.97910863509749302</v>
      </c>
      <c r="R645" s="26">
        <v>0.96598202824133494</v>
      </c>
      <c r="S645" s="28">
        <v>0.9</v>
      </c>
      <c r="T645" s="26">
        <v>0.93017888055395304</v>
      </c>
      <c r="U645" s="26">
        <v>0.93025667617319197</v>
      </c>
      <c r="V645" s="26">
        <v>0.93314763231197795</v>
      </c>
      <c r="W645" s="26">
        <v>0.92484537285564195</v>
      </c>
      <c r="X645" s="28">
        <v>0.92</v>
      </c>
      <c r="Y645" s="28">
        <v>0.68521954236239901</v>
      </c>
      <c r="Z645" s="28">
        <v>0.70260989010988995</v>
      </c>
      <c r="AA645" s="28">
        <v>0.46933962264150902</v>
      </c>
      <c r="AB645" s="28">
        <v>0.67931526390870201</v>
      </c>
      <c r="AC645" s="28">
        <v>0.92</v>
      </c>
      <c r="AD645" s="26">
        <v>1</v>
      </c>
      <c r="AE645" s="26">
        <v>0.95402298850574696</v>
      </c>
      <c r="AF645" s="26">
        <v>1</v>
      </c>
      <c r="AG645" s="26">
        <v>0.97976391231028703</v>
      </c>
      <c r="AH645" s="28">
        <v>0.92</v>
      </c>
      <c r="AI645" s="26">
        <v>0.88097580169191403</v>
      </c>
      <c r="AJ645" s="26">
        <v>0.89591567852437404</v>
      </c>
      <c r="AK645" s="26">
        <v>0.84462365591397803</v>
      </c>
      <c r="AL645" s="26">
        <v>0.88091097308488597</v>
      </c>
      <c r="AM645" s="25">
        <v>0.99</v>
      </c>
      <c r="AN645" s="30">
        <v>1</v>
      </c>
      <c r="AO645" s="30">
        <v>1</v>
      </c>
      <c r="AP645" s="30">
        <v>1</v>
      </c>
      <c r="AQ645" s="30">
        <v>1</v>
      </c>
      <c r="AR645" s="50">
        <v>8.1059522893420499E-2</v>
      </c>
      <c r="AS645" s="34">
        <v>0.11111111111111099</v>
      </c>
      <c r="AT645" s="34">
        <v>0</v>
      </c>
      <c r="AU645" s="34">
        <v>0</v>
      </c>
      <c r="AV645" s="34">
        <v>4.7058823529411799E-2</v>
      </c>
      <c r="AW645" s="10"/>
      <c r="AX645" s="8"/>
    </row>
    <row r="646" spans="1:50">
      <c r="A646" s="7"/>
      <c r="B646" s="10"/>
      <c r="C646" s="45" t="s">
        <v>688</v>
      </c>
      <c r="D646" s="23" t="s">
        <v>21</v>
      </c>
      <c r="E646" s="68" t="s">
        <v>692</v>
      </c>
      <c r="F646" s="68" t="s">
        <v>692</v>
      </c>
      <c r="G646" s="68" t="s">
        <v>692</v>
      </c>
      <c r="H646" s="68" t="s">
        <v>692</v>
      </c>
      <c r="I646" s="25">
        <v>0.9</v>
      </c>
      <c r="J646" s="26">
        <v>0.88888888888888895</v>
      </c>
      <c r="K646" s="26">
        <v>0.88888888888888895</v>
      </c>
      <c r="L646" s="27">
        <v>0.89743589743589702</v>
      </c>
      <c r="M646" s="26">
        <v>0.89370078740157499</v>
      </c>
      <c r="N646" s="28">
        <v>0.9</v>
      </c>
      <c r="O646" s="26">
        <v>0.985721982758621</v>
      </c>
      <c r="P646" s="26">
        <v>0.98084008843036097</v>
      </c>
      <c r="Q646" s="26">
        <v>0.98309329993738304</v>
      </c>
      <c r="R646" s="26">
        <v>0.97983283904017304</v>
      </c>
      <c r="S646" s="28">
        <v>0.9</v>
      </c>
      <c r="T646" s="26">
        <v>0.95204741379310298</v>
      </c>
      <c r="U646" s="26">
        <v>0.94620486366986001</v>
      </c>
      <c r="V646" s="26">
        <v>0.96305572949279905</v>
      </c>
      <c r="W646" s="26">
        <v>0.95071447829603695</v>
      </c>
      <c r="X646" s="28">
        <v>0.92</v>
      </c>
      <c r="Y646" s="28">
        <v>0.92598684210526305</v>
      </c>
      <c r="Z646" s="28">
        <v>0.91533742331288304</v>
      </c>
      <c r="AA646" s="28">
        <v>0.89688249400479603</v>
      </c>
      <c r="AB646" s="28">
        <v>0.91675284384694899</v>
      </c>
      <c r="AC646" s="28">
        <v>0.92</v>
      </c>
      <c r="AD646" s="26">
        <v>1</v>
      </c>
      <c r="AE646" s="26">
        <v>1</v>
      </c>
      <c r="AF646" s="26">
        <v>1</v>
      </c>
      <c r="AG646" s="26">
        <v>0.99166666666666703</v>
      </c>
      <c r="AH646" s="28">
        <v>0.92</v>
      </c>
      <c r="AI646" s="26">
        <v>0.96188583815028905</v>
      </c>
      <c r="AJ646" s="26">
        <v>0.96124166958961799</v>
      </c>
      <c r="AK646" s="26">
        <v>0.963257199602781</v>
      </c>
      <c r="AL646" s="26">
        <v>0.96043069664802305</v>
      </c>
      <c r="AM646" s="25">
        <v>0.99</v>
      </c>
      <c r="AN646" s="30">
        <v>1</v>
      </c>
      <c r="AO646" s="30">
        <v>1</v>
      </c>
      <c r="AP646" s="30">
        <v>1</v>
      </c>
      <c r="AQ646" s="30">
        <v>1</v>
      </c>
      <c r="AR646" s="50">
        <v>8.1059522893420499E-2</v>
      </c>
      <c r="AS646" s="34">
        <v>0.1</v>
      </c>
      <c r="AT646" s="34">
        <v>0</v>
      </c>
      <c r="AU646" s="34">
        <v>0</v>
      </c>
      <c r="AV646" s="34">
        <v>5.1948051948052E-2</v>
      </c>
      <c r="AW646" s="10"/>
      <c r="AX646" s="8"/>
    </row>
    <row r="647" spans="1:50">
      <c r="A647" s="7"/>
      <c r="B647" s="10"/>
      <c r="C647" s="45" t="s">
        <v>688</v>
      </c>
      <c r="D647" s="23" t="s">
        <v>21</v>
      </c>
      <c r="E647" s="68" t="s">
        <v>693</v>
      </c>
      <c r="F647" s="68" t="s">
        <v>693</v>
      </c>
      <c r="G647" s="68" t="s">
        <v>693</v>
      </c>
      <c r="H647" s="68" t="s">
        <v>693</v>
      </c>
      <c r="I647" s="25">
        <v>0.9</v>
      </c>
      <c r="J647" s="26">
        <v>1</v>
      </c>
      <c r="K647" s="26">
        <v>1</v>
      </c>
      <c r="L647" s="27">
        <v>1</v>
      </c>
      <c r="M647" s="26">
        <v>1</v>
      </c>
      <c r="N647" s="28">
        <v>0.9</v>
      </c>
      <c r="O647" s="26">
        <v>0.99241540256709404</v>
      </c>
      <c r="P647" s="26">
        <v>0.99559471365638796</v>
      </c>
      <c r="Q647" s="26">
        <v>0.99304589707927704</v>
      </c>
      <c r="R647" s="26">
        <v>0.99017586416009695</v>
      </c>
      <c r="S647" s="28">
        <v>0.9</v>
      </c>
      <c r="T647" s="26">
        <v>0.96499416569428198</v>
      </c>
      <c r="U647" s="26">
        <v>0.97246696035242297</v>
      </c>
      <c r="V647" s="26">
        <v>0.969401947148818</v>
      </c>
      <c r="W647" s="26">
        <v>0.96895087932080004</v>
      </c>
      <c r="X647" s="28">
        <v>0.92</v>
      </c>
      <c r="Y647" s="28">
        <v>0.94921875</v>
      </c>
      <c r="Z647" s="28">
        <v>0.94516594516594499</v>
      </c>
      <c r="AA647" s="28">
        <v>0.92957746478873204</v>
      </c>
      <c r="AB647" s="28">
        <v>0.95282469423412897</v>
      </c>
      <c r="AC647" s="28">
        <v>0.92</v>
      </c>
      <c r="AD647" s="26">
        <v>1</v>
      </c>
      <c r="AE647" s="26">
        <v>0.99168975069252097</v>
      </c>
      <c r="AF647" s="26">
        <v>0.98726114649681496</v>
      </c>
      <c r="AG647" s="26">
        <v>0.99171842650103503</v>
      </c>
      <c r="AH647" s="28">
        <v>0.92</v>
      </c>
      <c r="AI647" s="26">
        <v>0.97503020539669705</v>
      </c>
      <c r="AJ647" s="26">
        <v>0.98007174172977296</v>
      </c>
      <c r="AK647" s="26">
        <v>0.97639484978540803</v>
      </c>
      <c r="AL647" s="26">
        <v>0.97962328767123297</v>
      </c>
      <c r="AM647" s="25">
        <v>0.99</v>
      </c>
      <c r="AN647" s="30">
        <v>1</v>
      </c>
      <c r="AO647" s="30">
        <v>1</v>
      </c>
      <c r="AP647" s="30">
        <v>1</v>
      </c>
      <c r="AQ647" s="30">
        <v>1</v>
      </c>
      <c r="AR647" s="50">
        <v>8.1059522893420499E-2</v>
      </c>
      <c r="AS647" s="34">
        <v>0.14285714285714299</v>
      </c>
      <c r="AT647" s="34">
        <v>0</v>
      </c>
      <c r="AU647" s="34">
        <v>0</v>
      </c>
      <c r="AV647" s="34">
        <v>5.2631578947368397E-2</v>
      </c>
      <c r="AW647" s="10"/>
      <c r="AX647" s="8"/>
    </row>
    <row r="648" spans="1:50">
      <c r="A648" s="7"/>
      <c r="B648" s="10"/>
      <c r="C648" s="45" t="s">
        <v>688</v>
      </c>
      <c r="D648" s="23" t="s">
        <v>21</v>
      </c>
      <c r="E648" s="68" t="s">
        <v>694</v>
      </c>
      <c r="F648" s="68" t="s">
        <v>694</v>
      </c>
      <c r="G648" s="68" t="s">
        <v>694</v>
      </c>
      <c r="H648" s="68" t="s">
        <v>694</v>
      </c>
      <c r="I648" s="25">
        <v>0.9</v>
      </c>
      <c r="J648" s="26">
        <v>1</v>
      </c>
      <c r="K648" s="26">
        <v>1</v>
      </c>
      <c r="L648" s="27">
        <v>1</v>
      </c>
      <c r="M648" s="26">
        <v>1</v>
      </c>
      <c r="N648" s="28">
        <v>0.9</v>
      </c>
      <c r="O648" s="26">
        <v>0.97514563106796104</v>
      </c>
      <c r="P648" s="26">
        <v>0.981125092524056</v>
      </c>
      <c r="Q648" s="26">
        <v>0.96626054358013103</v>
      </c>
      <c r="R648" s="26">
        <v>0.97823303457106303</v>
      </c>
      <c r="S648" s="28">
        <v>0.9</v>
      </c>
      <c r="T648" s="26">
        <v>0.95689320388349497</v>
      </c>
      <c r="U648" s="26">
        <v>0.95928941524796496</v>
      </c>
      <c r="V648" s="26">
        <v>0.95501405810684203</v>
      </c>
      <c r="W648" s="26">
        <v>0.96198783610755401</v>
      </c>
      <c r="X648" s="28">
        <v>0.92</v>
      </c>
      <c r="Y648" s="28">
        <v>0.94476035743298103</v>
      </c>
      <c r="Z648" s="28">
        <v>0.92757660167130895</v>
      </c>
      <c r="AA648" s="28">
        <v>0.94318181818181801</v>
      </c>
      <c r="AB648" s="28">
        <v>0.940573381431555</v>
      </c>
      <c r="AC648" s="28">
        <v>0.92</v>
      </c>
      <c r="AD648" s="26">
        <v>0.99513973268529798</v>
      </c>
      <c r="AE648" s="26">
        <v>0.98961038961039005</v>
      </c>
      <c r="AF648" s="26">
        <v>0.98933333333333295</v>
      </c>
      <c r="AG648" s="26">
        <v>0.98540669856459295</v>
      </c>
      <c r="AH648" s="28">
        <v>0.92</v>
      </c>
      <c r="AI648" s="26">
        <v>0.96769109535066999</v>
      </c>
      <c r="AJ648" s="26">
        <v>0.96216931216931201</v>
      </c>
      <c r="AK648" s="26">
        <v>0.95842142353770299</v>
      </c>
      <c r="AL648" s="26">
        <v>0.968422830124958</v>
      </c>
      <c r="AM648" s="25">
        <v>0.99</v>
      </c>
      <c r="AN648" s="30">
        <v>1</v>
      </c>
      <c r="AO648" s="30">
        <v>1</v>
      </c>
      <c r="AP648" s="30">
        <v>1</v>
      </c>
      <c r="AQ648" s="30">
        <v>1</v>
      </c>
      <c r="AR648" s="50">
        <v>8.1059522893420499E-2</v>
      </c>
      <c r="AS648" s="34">
        <v>0</v>
      </c>
      <c r="AT648" s="34">
        <v>0</v>
      </c>
      <c r="AU648" s="34">
        <v>0</v>
      </c>
      <c r="AV648" s="34">
        <v>2.66666666666667E-2</v>
      </c>
      <c r="AW648" s="10"/>
      <c r="AX648" s="8"/>
    </row>
    <row r="649" spans="1:50">
      <c r="A649" s="7"/>
      <c r="B649" s="10"/>
      <c r="C649" s="45" t="s">
        <v>688</v>
      </c>
      <c r="D649" s="23" t="s">
        <v>21</v>
      </c>
      <c r="E649" s="68" t="s">
        <v>695</v>
      </c>
      <c r="F649" s="68" t="s">
        <v>695</v>
      </c>
      <c r="G649" s="68" t="s">
        <v>695</v>
      </c>
      <c r="H649" s="68" t="s">
        <v>695</v>
      </c>
      <c r="I649" s="25">
        <v>0.9</v>
      </c>
      <c r="J649" s="26">
        <v>1</v>
      </c>
      <c r="K649" s="26">
        <v>1</v>
      </c>
      <c r="L649" s="27">
        <v>1</v>
      </c>
      <c r="M649" s="26">
        <v>1</v>
      </c>
      <c r="N649" s="28">
        <v>0.9</v>
      </c>
      <c r="O649" s="26">
        <v>0.994054054054054</v>
      </c>
      <c r="P649" s="26">
        <v>0.99353876739562597</v>
      </c>
      <c r="Q649" s="26">
        <v>0.99232736572890001</v>
      </c>
      <c r="R649" s="26">
        <v>0.99054113506379204</v>
      </c>
      <c r="S649" s="28">
        <v>0.9</v>
      </c>
      <c r="T649" s="26">
        <v>0.94918918918918904</v>
      </c>
      <c r="U649" s="26">
        <v>0.96620278330019904</v>
      </c>
      <c r="V649" s="26">
        <v>0.96419437340153502</v>
      </c>
      <c r="W649" s="26">
        <v>0.95468543774746994</v>
      </c>
      <c r="X649" s="28">
        <v>0.92</v>
      </c>
      <c r="Y649" s="28">
        <v>0.85141509433962304</v>
      </c>
      <c r="Z649" s="28">
        <v>0.9272030651341</v>
      </c>
      <c r="AA649" s="28">
        <v>0.914572864321608</v>
      </c>
      <c r="AB649" s="28">
        <v>0.90913824524863296</v>
      </c>
      <c r="AC649" s="28">
        <v>0.92</v>
      </c>
      <c r="AD649" s="26">
        <v>1</v>
      </c>
      <c r="AE649" s="26">
        <v>0.97005988023952106</v>
      </c>
      <c r="AF649" s="26">
        <v>1</v>
      </c>
      <c r="AG649" s="26">
        <v>0.99130434782608701</v>
      </c>
      <c r="AH649" s="28">
        <v>0.92</v>
      </c>
      <c r="AI649" s="26">
        <v>0.94810971089696106</v>
      </c>
      <c r="AJ649" s="26">
        <v>0.97495527728085896</v>
      </c>
      <c r="AK649" s="26">
        <v>0.97043832823649301</v>
      </c>
      <c r="AL649" s="26">
        <v>0.96628779092244599</v>
      </c>
      <c r="AM649" s="25">
        <v>0.99</v>
      </c>
      <c r="AN649" s="30">
        <v>1</v>
      </c>
      <c r="AO649" s="30">
        <v>1</v>
      </c>
      <c r="AP649" s="30">
        <v>1</v>
      </c>
      <c r="AQ649" s="30">
        <v>1</v>
      </c>
      <c r="AR649" s="50">
        <v>8.1059522893420499E-2</v>
      </c>
      <c r="AS649" s="34">
        <v>0</v>
      </c>
      <c r="AT649" s="34">
        <v>0</v>
      </c>
      <c r="AU649" s="34">
        <v>0</v>
      </c>
      <c r="AV649" s="34">
        <v>6.8965517241379296E-2</v>
      </c>
      <c r="AW649" s="10"/>
      <c r="AX649" s="8"/>
    </row>
    <row r="650" spans="1:50">
      <c r="A650" s="7"/>
      <c r="B650" s="10"/>
      <c r="C650" s="45" t="s">
        <v>688</v>
      </c>
      <c r="D650" s="23" t="s">
        <v>21</v>
      </c>
      <c r="E650" s="68" t="s">
        <v>696</v>
      </c>
      <c r="F650" s="68" t="s">
        <v>696</v>
      </c>
      <c r="G650" s="68" t="s">
        <v>696</v>
      </c>
      <c r="H650" s="68" t="s">
        <v>696</v>
      </c>
      <c r="I650" s="25">
        <v>0.9</v>
      </c>
      <c r="J650" s="26">
        <v>0.83870967741935498</v>
      </c>
      <c r="K650" s="26">
        <v>0.83870967741935498</v>
      </c>
      <c r="L650" s="27">
        <v>0.81818181818181801</v>
      </c>
      <c r="M650" s="26">
        <v>0.84049079754601197</v>
      </c>
      <c r="N650" s="28">
        <v>0.9</v>
      </c>
      <c r="O650" s="26">
        <v>0.97859690844233105</v>
      </c>
      <c r="P650" s="26">
        <v>0.98311444652908098</v>
      </c>
      <c r="Q650" s="26">
        <v>0.98690364826941102</v>
      </c>
      <c r="R650" s="26">
        <v>0.97879308933104103</v>
      </c>
      <c r="S650" s="28">
        <v>0.9</v>
      </c>
      <c r="T650" s="26">
        <v>0.96512088783194605</v>
      </c>
      <c r="U650" s="26">
        <v>0.97035647279549697</v>
      </c>
      <c r="V650" s="26">
        <v>0.96538821328344204</v>
      </c>
      <c r="W650" s="26">
        <v>0.96307213624826005</v>
      </c>
      <c r="X650" s="28">
        <v>0.92</v>
      </c>
      <c r="Y650" s="28">
        <v>0.97870528109028998</v>
      </c>
      <c r="Z650" s="28">
        <v>0.97273612463485903</v>
      </c>
      <c r="AA650" s="28">
        <v>0.96013289036544802</v>
      </c>
      <c r="AB650" s="28">
        <v>0.96998268231672102</v>
      </c>
      <c r="AC650" s="28">
        <v>0.92</v>
      </c>
      <c r="AD650" s="26">
        <v>0.98756218905472604</v>
      </c>
      <c r="AE650" s="26">
        <v>0.99395161290322598</v>
      </c>
      <c r="AF650" s="26">
        <v>0.997907949790795</v>
      </c>
      <c r="AG650" s="26">
        <v>0.99366616989567802</v>
      </c>
      <c r="AH650" s="28">
        <v>0.92</v>
      </c>
      <c r="AI650" s="26">
        <v>0.98485258317554802</v>
      </c>
      <c r="AJ650" s="26">
        <v>0.98511099079588504</v>
      </c>
      <c r="AK650" s="26">
        <v>0.98394160583941603</v>
      </c>
      <c r="AL650" s="26">
        <v>0.98311509303928302</v>
      </c>
      <c r="AM650" s="25">
        <v>0.99</v>
      </c>
      <c r="AN650" s="30">
        <v>1</v>
      </c>
      <c r="AO650" s="30">
        <v>1</v>
      </c>
      <c r="AP650" s="30">
        <v>1</v>
      </c>
      <c r="AQ650" s="30">
        <v>1</v>
      </c>
      <c r="AR650" s="50">
        <v>8.1059522893420499E-2</v>
      </c>
      <c r="AS650" s="34">
        <v>0</v>
      </c>
      <c r="AT650" s="34">
        <v>0.11111111111111099</v>
      </c>
      <c r="AU650" s="34">
        <v>0</v>
      </c>
      <c r="AV650" s="34">
        <v>8.1081081081081099E-2</v>
      </c>
      <c r="AW650" s="10"/>
      <c r="AX650" s="8"/>
    </row>
    <row r="651" spans="1:50">
      <c r="A651" s="7"/>
      <c r="B651" s="10"/>
      <c r="C651" s="45" t="s">
        <v>688</v>
      </c>
      <c r="D651" s="23" t="s">
        <v>21</v>
      </c>
      <c r="E651" s="68" t="s">
        <v>697</v>
      </c>
      <c r="F651" s="68" t="s">
        <v>697</v>
      </c>
      <c r="G651" s="68" t="s">
        <v>697</v>
      </c>
      <c r="H651" s="68" t="s">
        <v>697</v>
      </c>
      <c r="I651" s="25">
        <v>0.9</v>
      </c>
      <c r="J651" s="26">
        <v>1</v>
      </c>
      <c r="K651" s="26">
        <v>1</v>
      </c>
      <c r="L651" s="27">
        <v>1</v>
      </c>
      <c r="M651" s="26">
        <v>0.98360655737704905</v>
      </c>
      <c r="N651" s="28">
        <v>0.9</v>
      </c>
      <c r="O651" s="26">
        <v>0.91889151740452901</v>
      </c>
      <c r="P651" s="26">
        <v>0.89614057106997203</v>
      </c>
      <c r="Q651" s="26">
        <v>0.94034797017398497</v>
      </c>
      <c r="R651" s="26">
        <v>0.93416070677324403</v>
      </c>
      <c r="S651" s="28">
        <v>0.9</v>
      </c>
      <c r="T651" s="26">
        <v>0.91753970936127105</v>
      </c>
      <c r="U651" s="26">
        <v>0.90524003765296501</v>
      </c>
      <c r="V651" s="26">
        <v>0.93289146644573295</v>
      </c>
      <c r="W651" s="26">
        <v>0.93051465432618097</v>
      </c>
      <c r="X651" s="28">
        <v>0.92</v>
      </c>
      <c r="Y651" s="28">
        <v>0.76432664756447</v>
      </c>
      <c r="Z651" s="28">
        <v>0.80066170388751001</v>
      </c>
      <c r="AA651" s="28">
        <v>0.82336956521739102</v>
      </c>
      <c r="AB651" s="28">
        <v>0.80313765182186203</v>
      </c>
      <c r="AC651" s="28">
        <v>0.92</v>
      </c>
      <c r="AD651" s="26">
        <v>1</v>
      </c>
      <c r="AE651" s="26">
        <v>1</v>
      </c>
      <c r="AF651" s="26">
        <v>0.993506493506494</v>
      </c>
      <c r="AG651" s="26">
        <v>0.985209531635168</v>
      </c>
      <c r="AH651" s="28">
        <v>0.92</v>
      </c>
      <c r="AI651" s="26">
        <v>0.89988518943742801</v>
      </c>
      <c r="AJ651" s="26">
        <v>0.92085512849670204</v>
      </c>
      <c r="AK651" s="26">
        <v>0.92888888888888899</v>
      </c>
      <c r="AL651" s="26">
        <v>0.92219690966719503</v>
      </c>
      <c r="AM651" s="25">
        <v>0.99</v>
      </c>
      <c r="AN651" s="30">
        <v>1</v>
      </c>
      <c r="AO651" s="30">
        <v>1</v>
      </c>
      <c r="AP651" s="30">
        <v>1</v>
      </c>
      <c r="AQ651" s="30">
        <v>1</v>
      </c>
      <c r="AR651" s="50">
        <v>8.1059522893420499E-2</v>
      </c>
      <c r="AS651" s="34">
        <v>6.6666666666666693E-2</v>
      </c>
      <c r="AT651" s="34">
        <v>0</v>
      </c>
      <c r="AU651" s="34">
        <v>0</v>
      </c>
      <c r="AV651" s="34">
        <v>6.25E-2</v>
      </c>
      <c r="AW651" s="10"/>
      <c r="AX651" s="8"/>
    </row>
    <row r="652" spans="1:50">
      <c r="A652" s="7"/>
      <c r="B652" s="10"/>
      <c r="C652" s="45" t="s">
        <v>688</v>
      </c>
      <c r="D652" s="23" t="s">
        <v>21</v>
      </c>
      <c r="E652" s="68" t="s">
        <v>698</v>
      </c>
      <c r="F652" s="68" t="s">
        <v>698</v>
      </c>
      <c r="G652" s="68" t="s">
        <v>698</v>
      </c>
      <c r="H652" s="68" t="s">
        <v>698</v>
      </c>
      <c r="I652" s="25">
        <v>0.9</v>
      </c>
      <c r="J652" s="26">
        <v>1</v>
      </c>
      <c r="K652" s="26">
        <v>1</v>
      </c>
      <c r="L652" s="27">
        <v>1</v>
      </c>
      <c r="M652" s="26">
        <v>0.99371069182389904</v>
      </c>
      <c r="N652" s="28">
        <v>0.9</v>
      </c>
      <c r="O652" s="26">
        <v>0.943667598881342</v>
      </c>
      <c r="P652" s="26">
        <v>0.93361369780714898</v>
      </c>
      <c r="Q652" s="26">
        <v>0.94283347141673601</v>
      </c>
      <c r="R652" s="26">
        <v>0.94257994969457404</v>
      </c>
      <c r="S652" s="28">
        <v>0.9</v>
      </c>
      <c r="T652" s="26">
        <v>0.923691570115861</v>
      </c>
      <c r="U652" s="26">
        <v>0.91018323820967295</v>
      </c>
      <c r="V652" s="26">
        <v>0.93620546810273397</v>
      </c>
      <c r="W652" s="26">
        <v>0.92123607617678804</v>
      </c>
      <c r="X652" s="28">
        <v>0.92</v>
      </c>
      <c r="Y652" s="28">
        <v>0.85210084033613398</v>
      </c>
      <c r="Z652" s="28">
        <v>0.89343065693430701</v>
      </c>
      <c r="AA652" s="28">
        <v>0.86008230452674905</v>
      </c>
      <c r="AB652" s="28">
        <v>0.86898954703832798</v>
      </c>
      <c r="AC652" s="28">
        <v>0.92</v>
      </c>
      <c r="AD652" s="26">
        <v>0.997609085475194</v>
      </c>
      <c r="AE652" s="26">
        <v>0.99509670389539595</v>
      </c>
      <c r="AF652" s="26">
        <v>0.99831081081081097</v>
      </c>
      <c r="AG652" s="26">
        <v>0.99638893781927096</v>
      </c>
      <c r="AH652" s="28">
        <v>0.92</v>
      </c>
      <c r="AI652" s="26">
        <v>0.94030332365279101</v>
      </c>
      <c r="AJ652" s="26">
        <v>0.95691158156911604</v>
      </c>
      <c r="AK652" s="26">
        <v>0.93857058476078004</v>
      </c>
      <c r="AL652" s="26">
        <v>0.94853466761972804</v>
      </c>
      <c r="AM652" s="25">
        <v>0.99</v>
      </c>
      <c r="AN652" s="30">
        <v>1</v>
      </c>
      <c r="AO652" s="30">
        <v>1</v>
      </c>
      <c r="AP652" s="30">
        <v>1</v>
      </c>
      <c r="AQ652" s="30">
        <v>1</v>
      </c>
      <c r="AR652" s="50">
        <v>8.1059522893420499E-2</v>
      </c>
      <c r="AS652" s="34">
        <v>0</v>
      </c>
      <c r="AT652" s="34">
        <v>0</v>
      </c>
      <c r="AU652" s="34">
        <v>0</v>
      </c>
      <c r="AV652" s="34">
        <v>5.3571428571428603E-2</v>
      </c>
      <c r="AW652" s="10"/>
      <c r="AX652" s="8"/>
    </row>
    <row r="653" spans="1:50">
      <c r="A653" s="7"/>
      <c r="B653" s="10"/>
      <c r="C653" s="45" t="s">
        <v>688</v>
      </c>
      <c r="D653" s="23" t="s">
        <v>21</v>
      </c>
      <c r="E653" s="68" t="s">
        <v>699</v>
      </c>
      <c r="F653" s="68" t="s">
        <v>699</v>
      </c>
      <c r="G653" s="68" t="s">
        <v>699</v>
      </c>
      <c r="H653" s="68" t="s">
        <v>699</v>
      </c>
      <c r="I653" s="25">
        <v>0.9</v>
      </c>
      <c r="J653" s="26">
        <v>0.93846153846153801</v>
      </c>
      <c r="K653" s="26">
        <v>0.97222222222222199</v>
      </c>
      <c r="L653" s="27">
        <v>0.96428571428571397</v>
      </c>
      <c r="M653" s="26">
        <v>0.96124031007751898</v>
      </c>
      <c r="N653" s="28">
        <v>0.9</v>
      </c>
      <c r="O653" s="26">
        <v>0.96942335317053197</v>
      </c>
      <c r="P653" s="26">
        <v>0.97126038781163404</v>
      </c>
      <c r="Q653" s="26">
        <v>0.98194945848375403</v>
      </c>
      <c r="R653" s="26">
        <v>0.97413920496527295</v>
      </c>
      <c r="S653" s="28">
        <v>0.9</v>
      </c>
      <c r="T653" s="26">
        <v>0.956289759901498</v>
      </c>
      <c r="U653" s="26">
        <v>0.94130886426592797</v>
      </c>
      <c r="V653" s="26">
        <v>0.961371841155235</v>
      </c>
      <c r="W653" s="26">
        <v>0.95311807300133</v>
      </c>
      <c r="X653" s="28">
        <v>0.92</v>
      </c>
      <c r="Y653" s="28">
        <v>0.97961165048543697</v>
      </c>
      <c r="Z653" s="28">
        <v>0.97575757575757605</v>
      </c>
      <c r="AA653" s="28">
        <v>0.96578947368421098</v>
      </c>
      <c r="AB653" s="28">
        <v>0.97234401349072497</v>
      </c>
      <c r="AC653" s="28">
        <v>0.92</v>
      </c>
      <c r="AD653" s="26">
        <v>0.98496599451139499</v>
      </c>
      <c r="AE653" s="26">
        <v>0.94999093381686295</v>
      </c>
      <c r="AF653" s="26">
        <v>0.97489463074949601</v>
      </c>
      <c r="AG653" s="26">
        <v>0.96464044758927103</v>
      </c>
      <c r="AH653" s="28">
        <v>0.92</v>
      </c>
      <c r="AI653" s="26">
        <v>0.98848043367779104</v>
      </c>
      <c r="AJ653" s="26">
        <v>0.98745948992532095</v>
      </c>
      <c r="AK653" s="26">
        <v>0.985681411403733</v>
      </c>
      <c r="AL653" s="26">
        <v>0.98754620932064696</v>
      </c>
      <c r="AM653" s="25">
        <v>0.99</v>
      </c>
      <c r="AN653" s="30">
        <v>1</v>
      </c>
      <c r="AO653" s="30">
        <v>1</v>
      </c>
      <c r="AP653" s="30">
        <v>1</v>
      </c>
      <c r="AQ653" s="30">
        <v>1</v>
      </c>
      <c r="AR653" s="50">
        <v>8.1059522893420499E-2</v>
      </c>
      <c r="AS653" s="34">
        <v>0</v>
      </c>
      <c r="AT653" s="34">
        <v>0</v>
      </c>
      <c r="AU653" s="34">
        <v>0</v>
      </c>
      <c r="AV653" s="34">
        <v>3.4482758620689703E-2</v>
      </c>
      <c r="AW653" s="10"/>
      <c r="AX653" s="8"/>
    </row>
    <row r="654" spans="1:50">
      <c r="A654" s="7"/>
      <c r="B654" s="10"/>
      <c r="C654" s="45" t="s">
        <v>688</v>
      </c>
      <c r="D654" s="23" t="s">
        <v>21</v>
      </c>
      <c r="E654" s="68" t="s">
        <v>700</v>
      </c>
      <c r="F654" s="68" t="s">
        <v>700</v>
      </c>
      <c r="G654" s="68" t="s">
        <v>700</v>
      </c>
      <c r="H654" s="68" t="s">
        <v>700</v>
      </c>
      <c r="I654" s="25">
        <v>0.9</v>
      </c>
      <c r="J654" s="26">
        <v>1</v>
      </c>
      <c r="K654" s="26">
        <v>1</v>
      </c>
      <c r="L654" s="27">
        <v>1</v>
      </c>
      <c r="M654" s="26">
        <v>0.99074074074074103</v>
      </c>
      <c r="N654" s="28">
        <v>0.9</v>
      </c>
      <c r="O654" s="26">
        <v>0.97935904399782703</v>
      </c>
      <c r="P654" s="26">
        <v>0.96314831665150102</v>
      </c>
      <c r="Q654" s="26">
        <v>0.946912242686891</v>
      </c>
      <c r="R654" s="26">
        <v>0.95820865749052497</v>
      </c>
      <c r="S654" s="28">
        <v>0.9</v>
      </c>
      <c r="T654" s="26">
        <v>0.91580662683324299</v>
      </c>
      <c r="U654" s="26">
        <v>0.90491355777979998</v>
      </c>
      <c r="V654" s="26">
        <v>0.92524377031419303</v>
      </c>
      <c r="W654" s="26">
        <v>0.90873728306403401</v>
      </c>
      <c r="X654" s="28">
        <v>0.92</v>
      </c>
      <c r="Y654" s="28">
        <v>0.86486486486486502</v>
      </c>
      <c r="Z654" s="28">
        <v>0.81352459016393397</v>
      </c>
      <c r="AA654" s="28">
        <v>0.8125</v>
      </c>
      <c r="AB654" s="28">
        <v>0.81384471468662301</v>
      </c>
      <c r="AC654" s="28">
        <v>0.92</v>
      </c>
      <c r="AD654" s="26">
        <v>0.99401913875598102</v>
      </c>
      <c r="AE654" s="26">
        <v>0.99099930763904898</v>
      </c>
      <c r="AF654" s="26">
        <v>0.99154567175151598</v>
      </c>
      <c r="AG654" s="26">
        <v>0.99458490786551901</v>
      </c>
      <c r="AH654" s="28">
        <v>0.92</v>
      </c>
      <c r="AI654" s="26">
        <v>0.959964412811388</v>
      </c>
      <c r="AJ654" s="26">
        <v>0.94973938942665703</v>
      </c>
      <c r="AK654" s="26">
        <v>0.90854119425547997</v>
      </c>
      <c r="AL654" s="26">
        <v>0.94262699325990496</v>
      </c>
      <c r="AM654" s="25">
        <v>0.99</v>
      </c>
      <c r="AN654" s="30">
        <v>1</v>
      </c>
      <c r="AO654" s="30">
        <v>1</v>
      </c>
      <c r="AP654" s="30">
        <v>1</v>
      </c>
      <c r="AQ654" s="30">
        <v>1</v>
      </c>
      <c r="AR654" s="50">
        <v>8.1059522893420499E-2</v>
      </c>
      <c r="AS654" s="34">
        <v>0</v>
      </c>
      <c r="AT654" s="34">
        <v>0.33333333333333298</v>
      </c>
      <c r="AU654" s="34">
        <v>0.5</v>
      </c>
      <c r="AV654" s="34">
        <v>0.19047619047618999</v>
      </c>
      <c r="AW654" s="10"/>
      <c r="AX654" s="8"/>
    </row>
    <row r="655" spans="1:50">
      <c r="A655" s="7"/>
      <c r="B655" s="10"/>
      <c r="C655" s="45" t="s">
        <v>688</v>
      </c>
      <c r="D655" s="23" t="s">
        <v>21</v>
      </c>
      <c r="E655" s="68" t="s">
        <v>701</v>
      </c>
      <c r="F655" s="68" t="s">
        <v>701</v>
      </c>
      <c r="G655" s="68" t="s">
        <v>701</v>
      </c>
      <c r="H655" s="68" t="s">
        <v>701</v>
      </c>
      <c r="I655" s="25">
        <v>0.9</v>
      </c>
      <c r="J655" s="26">
        <v>1</v>
      </c>
      <c r="K655" s="26">
        <v>0.98275862068965503</v>
      </c>
      <c r="L655" s="27">
        <v>0.97727272727272696</v>
      </c>
      <c r="M655" s="26">
        <v>0.96989966555183904</v>
      </c>
      <c r="N655" s="28">
        <v>0.9</v>
      </c>
      <c r="O655" s="26">
        <v>0.97615979381443296</v>
      </c>
      <c r="P655" s="26">
        <v>0.98540145985401495</v>
      </c>
      <c r="Q655" s="26">
        <v>0.98442569759896204</v>
      </c>
      <c r="R655" s="26">
        <v>0.98236961671391398</v>
      </c>
      <c r="S655" s="28">
        <v>0.9</v>
      </c>
      <c r="T655" s="26">
        <v>0.90120274914089304</v>
      </c>
      <c r="U655" s="26">
        <v>0.88282750672301202</v>
      </c>
      <c r="V655" s="26">
        <v>0.93218689162881196</v>
      </c>
      <c r="W655" s="26">
        <v>0.903071725369889</v>
      </c>
      <c r="X655" s="28">
        <v>0.92</v>
      </c>
      <c r="Y655" s="28">
        <v>0.87417218543046404</v>
      </c>
      <c r="Z655" s="28">
        <v>0.89410939691444602</v>
      </c>
      <c r="AA655" s="28">
        <v>0.88680781758957605</v>
      </c>
      <c r="AB655" s="28">
        <v>0.88257695969533501</v>
      </c>
      <c r="AC655" s="28">
        <v>0.92</v>
      </c>
      <c r="AD655" s="26">
        <v>0.96326328800988903</v>
      </c>
      <c r="AE655" s="26">
        <v>0.99498153316980997</v>
      </c>
      <c r="AF655" s="26">
        <v>0.998771461960267</v>
      </c>
      <c r="AG655" s="26">
        <v>0.97787858143772599</v>
      </c>
      <c r="AH655" s="28">
        <v>0.92</v>
      </c>
      <c r="AI655" s="26">
        <v>0.94433747593208495</v>
      </c>
      <c r="AJ655" s="26">
        <v>0.94331373435851096</v>
      </c>
      <c r="AK655" s="26">
        <v>0.936890951276102</v>
      </c>
      <c r="AL655" s="26">
        <v>0.94463505926388003</v>
      </c>
      <c r="AM655" s="25">
        <v>0.99</v>
      </c>
      <c r="AN655" s="30">
        <v>1</v>
      </c>
      <c r="AO655" s="30">
        <v>1</v>
      </c>
      <c r="AP655" s="30">
        <v>1</v>
      </c>
      <c r="AQ655" s="30">
        <v>1</v>
      </c>
      <c r="AR655" s="50">
        <v>8.1059522893420499E-2</v>
      </c>
      <c r="AS655" s="34">
        <v>0</v>
      </c>
      <c r="AT655" s="34">
        <v>0</v>
      </c>
      <c r="AU655" s="34">
        <v>0.11111111111111099</v>
      </c>
      <c r="AV655" s="34">
        <v>6.5217391304347797E-2</v>
      </c>
      <c r="AW655" s="10"/>
      <c r="AX655" s="8"/>
    </row>
    <row r="656" spans="1:50">
      <c r="A656" s="7"/>
      <c r="B656" s="10"/>
      <c r="C656" s="45" t="s">
        <v>688</v>
      </c>
      <c r="D656" s="23" t="s">
        <v>21</v>
      </c>
      <c r="E656" s="68" t="s">
        <v>702</v>
      </c>
      <c r="F656" s="68" t="s">
        <v>702</v>
      </c>
      <c r="G656" s="68" t="s">
        <v>702</v>
      </c>
      <c r="H656" s="68" t="s">
        <v>702</v>
      </c>
      <c r="I656" s="25">
        <v>0.9</v>
      </c>
      <c r="J656" s="26">
        <v>1</v>
      </c>
      <c r="K656" s="26">
        <v>0.93333333333333302</v>
      </c>
      <c r="L656" s="27">
        <v>0.90909090909090895</v>
      </c>
      <c r="M656" s="26">
        <v>0.924050632911392</v>
      </c>
      <c r="N656" s="28">
        <v>0.9</v>
      </c>
      <c r="O656" s="26">
        <v>0.93866666666666698</v>
      </c>
      <c r="P656" s="26">
        <v>0.97695530726256996</v>
      </c>
      <c r="Q656" s="26">
        <v>0.96441947565543096</v>
      </c>
      <c r="R656" s="26">
        <v>0.97028571428571397</v>
      </c>
      <c r="S656" s="28">
        <v>0.9</v>
      </c>
      <c r="T656" s="26">
        <v>0.86311111111111105</v>
      </c>
      <c r="U656" s="26">
        <v>0.92458100558659195</v>
      </c>
      <c r="V656" s="26">
        <v>0.93632958801498101</v>
      </c>
      <c r="W656" s="26">
        <v>0.93322448979591799</v>
      </c>
      <c r="X656" s="28">
        <v>0.92</v>
      </c>
      <c r="Y656" s="28">
        <v>0.79057591623036605</v>
      </c>
      <c r="Z656" s="28">
        <v>0.92068965517241397</v>
      </c>
      <c r="AA656" s="28">
        <v>0.85714285714285698</v>
      </c>
      <c r="AB656" s="28">
        <v>0.86306001690617096</v>
      </c>
      <c r="AC656" s="28">
        <v>0.92</v>
      </c>
      <c r="AD656" s="26">
        <v>0.99656357388316197</v>
      </c>
      <c r="AE656" s="26">
        <v>0.98159509202453998</v>
      </c>
      <c r="AF656" s="26">
        <v>1</v>
      </c>
      <c r="AG656" s="26">
        <v>0.99527665317139002</v>
      </c>
      <c r="AH656" s="28">
        <v>0.92</v>
      </c>
      <c r="AI656" s="26">
        <v>0.943768996960486</v>
      </c>
      <c r="AJ656" s="26">
        <v>0.97560975609756095</v>
      </c>
      <c r="AK656" s="26">
        <v>0.93075898801597901</v>
      </c>
      <c r="AL656" s="26">
        <v>0.961138478379858</v>
      </c>
      <c r="AM656" s="25">
        <v>0.99</v>
      </c>
      <c r="AN656" s="30">
        <v>1</v>
      </c>
      <c r="AO656" s="30">
        <v>1</v>
      </c>
      <c r="AP656" s="30">
        <v>1</v>
      </c>
      <c r="AQ656" s="30">
        <v>1</v>
      </c>
      <c r="AR656" s="50">
        <v>8.1059522893420499E-2</v>
      </c>
      <c r="AS656" s="34">
        <v>0</v>
      </c>
      <c r="AT656" s="34">
        <v>0</v>
      </c>
      <c r="AU656" s="34">
        <v>0</v>
      </c>
      <c r="AV656" s="34">
        <v>3.3333333333333298E-2</v>
      </c>
      <c r="AW656" s="10"/>
      <c r="AX656" s="8"/>
    </row>
    <row r="657" spans="1:50">
      <c r="A657" s="7"/>
      <c r="B657" s="10"/>
      <c r="C657" s="45" t="s">
        <v>688</v>
      </c>
      <c r="D657" s="23" t="s">
        <v>21</v>
      </c>
      <c r="E657" s="68" t="s">
        <v>703</v>
      </c>
      <c r="F657" s="68" t="s">
        <v>703</v>
      </c>
      <c r="G657" s="68" t="s">
        <v>703</v>
      </c>
      <c r="H657" s="68" t="s">
        <v>703</v>
      </c>
      <c r="I657" s="25">
        <v>0.9</v>
      </c>
      <c r="J657" s="26">
        <v>0.96969696969696995</v>
      </c>
      <c r="K657" s="26">
        <v>1</v>
      </c>
      <c r="L657" s="27">
        <v>0.96</v>
      </c>
      <c r="M657" s="26">
        <v>0.96842105263157896</v>
      </c>
      <c r="N657" s="28">
        <v>0.9</v>
      </c>
      <c r="O657" s="26">
        <v>0.84841363102232703</v>
      </c>
      <c r="P657" s="26">
        <v>0.66263484798953898</v>
      </c>
      <c r="Q657" s="26">
        <v>0.97283406754772395</v>
      </c>
      <c r="R657" s="26">
        <v>0.853494146860589</v>
      </c>
      <c r="S657" s="28">
        <v>0.9</v>
      </c>
      <c r="T657" s="26">
        <v>0.95652173913043503</v>
      </c>
      <c r="U657" s="26">
        <v>0.95586793069630605</v>
      </c>
      <c r="V657" s="26">
        <v>0.96622613803230495</v>
      </c>
      <c r="W657" s="26">
        <v>0.95941823341610499</v>
      </c>
      <c r="X657" s="28">
        <v>0.92</v>
      </c>
      <c r="Y657" s="28">
        <v>0.96840148698884798</v>
      </c>
      <c r="Z657" s="28">
        <v>0.97372060857538001</v>
      </c>
      <c r="AA657" s="28">
        <v>0.96678321678321699</v>
      </c>
      <c r="AB657" s="28">
        <v>0.96424010217113698</v>
      </c>
      <c r="AC657" s="28">
        <v>0.92</v>
      </c>
      <c r="AD657" s="26">
        <v>0.99967997439795198</v>
      </c>
      <c r="AE657" s="26">
        <v>0.99843609022556401</v>
      </c>
      <c r="AF657" s="26">
        <v>0.99931705651357305</v>
      </c>
      <c r="AG657" s="26">
        <v>0.99829218198865899</v>
      </c>
      <c r="AH657" s="28">
        <v>0.92</v>
      </c>
      <c r="AI657" s="26">
        <v>0.98965071151358297</v>
      </c>
      <c r="AJ657" s="26">
        <v>0.98916204070843206</v>
      </c>
      <c r="AK657" s="26">
        <v>0.97984496124030995</v>
      </c>
      <c r="AL657" s="26">
        <v>0.98531971683880704</v>
      </c>
      <c r="AM657" s="25">
        <v>0.99</v>
      </c>
      <c r="AN657" s="30">
        <v>1</v>
      </c>
      <c r="AO657" s="30">
        <v>1</v>
      </c>
      <c r="AP657" s="30">
        <v>1</v>
      </c>
      <c r="AQ657" s="30">
        <v>1</v>
      </c>
      <c r="AR657" s="50">
        <v>8.1059522893420499E-2</v>
      </c>
      <c r="AS657" s="34">
        <v>0.14285714285714299</v>
      </c>
      <c r="AT657" s="34">
        <v>0</v>
      </c>
      <c r="AU657" s="34">
        <v>0</v>
      </c>
      <c r="AV657" s="34">
        <v>4.2553191489361701E-2</v>
      </c>
      <c r="AW657" s="10"/>
      <c r="AX657" s="8"/>
    </row>
    <row r="658" spans="1:50">
      <c r="A658" s="7"/>
      <c r="B658" s="10"/>
      <c r="C658" s="45" t="s">
        <v>688</v>
      </c>
      <c r="D658" s="23" t="s">
        <v>21</v>
      </c>
      <c r="E658" s="68" t="s">
        <v>704</v>
      </c>
      <c r="F658" s="68" t="s">
        <v>704</v>
      </c>
      <c r="G658" s="68" t="s">
        <v>704</v>
      </c>
      <c r="H658" s="68" t="s">
        <v>704</v>
      </c>
      <c r="I658" s="25">
        <v>0.9</v>
      </c>
      <c r="J658" s="26">
        <v>0.90322580645161299</v>
      </c>
      <c r="K658" s="26">
        <v>0.93548387096774199</v>
      </c>
      <c r="L658" s="27">
        <v>0.89473684210526305</v>
      </c>
      <c r="M658" s="26">
        <v>0.92105263157894701</v>
      </c>
      <c r="N658" s="28">
        <v>0.9</v>
      </c>
      <c r="O658" s="26">
        <v>0.91622481442205705</v>
      </c>
      <c r="P658" s="26">
        <v>0.90681214980831604</v>
      </c>
      <c r="Q658" s="26">
        <v>0.95249795249795299</v>
      </c>
      <c r="R658" s="26">
        <v>0.89338308789231702</v>
      </c>
      <c r="S658" s="28">
        <v>0.9</v>
      </c>
      <c r="T658" s="26">
        <v>0.53446447507953299</v>
      </c>
      <c r="U658" s="26">
        <v>0.48687702742553801</v>
      </c>
      <c r="V658" s="26">
        <v>0.60114660114660101</v>
      </c>
      <c r="W658" s="26">
        <v>0.51655893916172502</v>
      </c>
      <c r="X658" s="28">
        <v>0.92</v>
      </c>
      <c r="Y658" s="28">
        <v>0.54597701149425304</v>
      </c>
      <c r="Z658" s="28">
        <v>0.54939106901217905</v>
      </c>
      <c r="AA658" s="28">
        <v>0.50367647058823495</v>
      </c>
      <c r="AB658" s="28">
        <v>0.478550049883605</v>
      </c>
      <c r="AC658" s="28">
        <v>0.92</v>
      </c>
      <c r="AD658" s="26">
        <v>0.99906213364595498</v>
      </c>
      <c r="AE658" s="26">
        <v>0.997644287396938</v>
      </c>
      <c r="AF658" s="26">
        <v>0.99182652210175104</v>
      </c>
      <c r="AG658" s="26">
        <v>0.99297450859950898</v>
      </c>
      <c r="AH658" s="28">
        <v>0.92</v>
      </c>
      <c r="AI658" s="26">
        <v>0.84422560429722504</v>
      </c>
      <c r="AJ658" s="26">
        <v>0.83922518159806303</v>
      </c>
      <c r="AK658" s="26">
        <v>0.69348441926345605</v>
      </c>
      <c r="AL658" s="26">
        <v>0.80651606815785104</v>
      </c>
      <c r="AM658" s="25">
        <v>0.99</v>
      </c>
      <c r="AN658" s="30">
        <v>1</v>
      </c>
      <c r="AO658" s="30">
        <v>1</v>
      </c>
      <c r="AP658" s="30">
        <v>1</v>
      </c>
      <c r="AQ658" s="30">
        <v>1</v>
      </c>
      <c r="AR658" s="50">
        <v>8.1059522893420499E-2</v>
      </c>
      <c r="AS658" s="34">
        <v>-0.25</v>
      </c>
      <c r="AT658" s="34">
        <v>0</v>
      </c>
      <c r="AU658" s="34">
        <v>0.11111111111111099</v>
      </c>
      <c r="AV658" s="34">
        <v>1.85185185185185E-2</v>
      </c>
      <c r="AW658" s="10"/>
      <c r="AX658" s="8"/>
    </row>
    <row r="659" spans="1:50">
      <c r="A659" s="7"/>
      <c r="B659" s="10"/>
      <c r="C659" s="45" t="s">
        <v>688</v>
      </c>
      <c r="D659" s="23" t="s">
        <v>21</v>
      </c>
      <c r="E659" s="68" t="s">
        <v>705</v>
      </c>
      <c r="F659" s="68" t="s">
        <v>705</v>
      </c>
      <c r="G659" s="68" t="s">
        <v>705</v>
      </c>
      <c r="H659" s="68" t="s">
        <v>705</v>
      </c>
      <c r="I659" s="25">
        <v>0.9</v>
      </c>
      <c r="J659" s="26">
        <v>1</v>
      </c>
      <c r="K659" s="26">
        <v>0.91666666666666696</v>
      </c>
      <c r="L659" s="27">
        <v>0.93548387096774199</v>
      </c>
      <c r="M659" s="26">
        <v>0.95673076923076905</v>
      </c>
      <c r="N659" s="28">
        <v>0.9</v>
      </c>
      <c r="O659" s="26">
        <v>0.98473812001387395</v>
      </c>
      <c r="P659" s="26">
        <v>0.90536487837387503</v>
      </c>
      <c r="Q659" s="26">
        <v>0.99195979899497499</v>
      </c>
      <c r="R659" s="26">
        <v>0.970577045022194</v>
      </c>
      <c r="S659" s="28">
        <v>0.9</v>
      </c>
      <c r="T659" s="26">
        <v>0.97398543184183095</v>
      </c>
      <c r="U659" s="26">
        <v>0.90269910029989997</v>
      </c>
      <c r="V659" s="26">
        <v>0.97638190954773896</v>
      </c>
      <c r="W659" s="26">
        <v>0.95789473684210502</v>
      </c>
      <c r="X659" s="28">
        <v>0.92</v>
      </c>
      <c r="Y659" s="28">
        <v>0.97050147492625405</v>
      </c>
      <c r="Z659" s="28">
        <v>0.97890295358649804</v>
      </c>
      <c r="AA659" s="28">
        <v>0.97845373891001297</v>
      </c>
      <c r="AB659" s="28">
        <v>0.97600791491466699</v>
      </c>
      <c r="AC659" s="28">
        <v>0.92</v>
      </c>
      <c r="AD659" s="26">
        <v>0.94720168954593498</v>
      </c>
      <c r="AE659" s="26">
        <v>0.99426468070535901</v>
      </c>
      <c r="AF659" s="26">
        <v>0.95131453408247602</v>
      </c>
      <c r="AG659" s="26">
        <v>0.96394978214888005</v>
      </c>
      <c r="AH659" s="28">
        <v>0.92</v>
      </c>
      <c r="AI659" s="26">
        <v>0.98848961257720402</v>
      </c>
      <c r="AJ659" s="26">
        <v>0.98429982273993399</v>
      </c>
      <c r="AK659" s="26">
        <v>0.98597626752966605</v>
      </c>
      <c r="AL659" s="26">
        <v>0.98698153194065996</v>
      </c>
      <c r="AM659" s="25">
        <v>0.99</v>
      </c>
      <c r="AN659" s="30">
        <v>1</v>
      </c>
      <c r="AO659" s="30">
        <v>1</v>
      </c>
      <c r="AP659" s="30">
        <v>1</v>
      </c>
      <c r="AQ659" s="30">
        <v>1</v>
      </c>
      <c r="AR659" s="50">
        <v>8.1059522893420499E-2</v>
      </c>
      <c r="AS659" s="34">
        <v>-0.33333333333333298</v>
      </c>
      <c r="AT659" s="34">
        <v>0</v>
      </c>
      <c r="AU659" s="34">
        <v>0</v>
      </c>
      <c r="AV659" s="34">
        <v>-2.8571428571428598E-2</v>
      </c>
      <c r="AW659" s="10"/>
      <c r="AX659" s="8"/>
    </row>
    <row r="660" spans="1:50">
      <c r="A660" s="7"/>
      <c r="B660" s="10"/>
      <c r="C660" s="45" t="s">
        <v>688</v>
      </c>
      <c r="D660" s="23" t="s">
        <v>21</v>
      </c>
      <c r="E660" s="68" t="s">
        <v>706</v>
      </c>
      <c r="F660" s="68" t="s">
        <v>706</v>
      </c>
      <c r="G660" s="68" t="s">
        <v>706</v>
      </c>
      <c r="H660" s="68" t="s">
        <v>706</v>
      </c>
      <c r="I660" s="25">
        <v>0.9</v>
      </c>
      <c r="J660" s="26">
        <v>0.95945945945945899</v>
      </c>
      <c r="K660" s="26">
        <v>0.97333333333333305</v>
      </c>
      <c r="L660" s="27">
        <v>0.95161290322580605</v>
      </c>
      <c r="M660" s="26">
        <v>0.96305418719211799</v>
      </c>
      <c r="N660" s="28">
        <v>0.9</v>
      </c>
      <c r="O660" s="26">
        <v>0.97776405188387905</v>
      </c>
      <c r="P660" s="26">
        <v>0.87354260089686098</v>
      </c>
      <c r="Q660" s="26">
        <v>0.97350366690324097</v>
      </c>
      <c r="R660" s="26">
        <v>0.94884255930984895</v>
      </c>
      <c r="S660" s="28">
        <v>0.9</v>
      </c>
      <c r="T660" s="26">
        <v>0.95413835701049998</v>
      </c>
      <c r="U660" s="26">
        <v>0.94319880418535096</v>
      </c>
      <c r="V660" s="26">
        <v>0.96333096758930703</v>
      </c>
      <c r="W660" s="26">
        <v>0.95375988497483799</v>
      </c>
      <c r="X660" s="28">
        <v>0.92</v>
      </c>
      <c r="Y660" s="28">
        <v>0.90954063604240298</v>
      </c>
      <c r="Z660" s="28">
        <v>0.90385722510074795</v>
      </c>
      <c r="AA660" s="28">
        <v>0.89378881987577596</v>
      </c>
      <c r="AB660" s="28">
        <v>0.90260214007782102</v>
      </c>
      <c r="AC660" s="28">
        <v>0.92</v>
      </c>
      <c r="AD660" s="26">
        <v>0.99383188952403401</v>
      </c>
      <c r="AE660" s="26">
        <v>0.97859664299367899</v>
      </c>
      <c r="AF660" s="26">
        <v>0.98319749916266597</v>
      </c>
      <c r="AG660" s="26">
        <v>0.97336190907147102</v>
      </c>
      <c r="AH660" s="28">
        <v>0.92</v>
      </c>
      <c r="AI660" s="26">
        <v>0.96845705599189302</v>
      </c>
      <c r="AJ660" s="26">
        <v>0.96476450349982201</v>
      </c>
      <c r="AK660" s="26">
        <v>0.95718444939201897</v>
      </c>
      <c r="AL660" s="26">
        <v>0.96680305002789702</v>
      </c>
      <c r="AM660" s="25">
        <v>0.99</v>
      </c>
      <c r="AN660" s="30">
        <v>1</v>
      </c>
      <c r="AO660" s="30">
        <v>1</v>
      </c>
      <c r="AP660" s="30">
        <v>1</v>
      </c>
      <c r="AQ660" s="30">
        <v>1</v>
      </c>
      <c r="AR660" s="50">
        <v>8.1059522893420499E-2</v>
      </c>
      <c r="AS660" s="34">
        <v>0.05</v>
      </c>
      <c r="AT660" s="34">
        <v>0</v>
      </c>
      <c r="AU660" s="34">
        <v>0</v>
      </c>
      <c r="AV660" s="34">
        <v>1.86915887850467E-2</v>
      </c>
      <c r="AW660" s="10"/>
      <c r="AX660" s="8"/>
    </row>
    <row r="661" spans="1:50">
      <c r="A661" s="7"/>
      <c r="B661" s="10"/>
      <c r="C661" s="45" t="s">
        <v>688</v>
      </c>
      <c r="D661" s="23" t="s">
        <v>21</v>
      </c>
      <c r="E661" s="68" t="s">
        <v>707</v>
      </c>
      <c r="F661" s="68" t="s">
        <v>707</v>
      </c>
      <c r="G661" s="68" t="s">
        <v>707</v>
      </c>
      <c r="H661" s="68" t="s">
        <v>707</v>
      </c>
      <c r="I661" s="25">
        <v>0.9</v>
      </c>
      <c r="J661" s="26">
        <v>0.96551724137931005</v>
      </c>
      <c r="K661" s="26">
        <v>0.96428571428571397</v>
      </c>
      <c r="L661" s="27">
        <v>0.952380952380952</v>
      </c>
      <c r="M661" s="26">
        <v>0.96753246753246802</v>
      </c>
      <c r="N661" s="28">
        <v>0.9</v>
      </c>
      <c r="O661" s="26">
        <v>0.94635459817729894</v>
      </c>
      <c r="P661" s="26">
        <v>0.87636597385901005</v>
      </c>
      <c r="Q661" s="26">
        <v>0.91255060728744897</v>
      </c>
      <c r="R661" s="26">
        <v>0.82613986386279803</v>
      </c>
      <c r="S661" s="28">
        <v>0.9</v>
      </c>
      <c r="T661" s="26">
        <v>0.94449047224523597</v>
      </c>
      <c r="U661" s="26">
        <v>0.92864795371759201</v>
      </c>
      <c r="V661" s="26">
        <v>0.95303643724696396</v>
      </c>
      <c r="W661" s="26">
        <v>0.945659200669278</v>
      </c>
      <c r="X661" s="28">
        <v>0.92</v>
      </c>
      <c r="Y661" s="28">
        <v>0.95210569777043796</v>
      </c>
      <c r="Z661" s="28">
        <v>0.95707578806170401</v>
      </c>
      <c r="AA661" s="28">
        <v>0.944909344490934</v>
      </c>
      <c r="AB661" s="28">
        <v>0.95434441432443995</v>
      </c>
      <c r="AC661" s="28">
        <v>0.92</v>
      </c>
      <c r="AD661" s="26">
        <v>0.99123409034190202</v>
      </c>
      <c r="AE661" s="26">
        <v>0.98555071480176004</v>
      </c>
      <c r="AF661" s="26">
        <v>0.97367816469198198</v>
      </c>
      <c r="AG661" s="26">
        <v>0.96750454072444203</v>
      </c>
      <c r="AH661" s="28">
        <v>0.92</v>
      </c>
      <c r="AI661" s="26">
        <v>0.97650173754757597</v>
      </c>
      <c r="AJ661" s="26">
        <v>0.97500405778282795</v>
      </c>
      <c r="AK661" s="26">
        <v>0.97238428626993401</v>
      </c>
      <c r="AL661" s="26">
        <v>0.97686491028026201</v>
      </c>
      <c r="AM661" s="25">
        <v>0.99</v>
      </c>
      <c r="AN661" s="30">
        <v>1</v>
      </c>
      <c r="AO661" s="30">
        <v>1</v>
      </c>
      <c r="AP661" s="30">
        <v>1</v>
      </c>
      <c r="AQ661" s="30">
        <v>1</v>
      </c>
      <c r="AR661" s="50">
        <v>8.1059522893420499E-2</v>
      </c>
      <c r="AS661" s="34">
        <v>0</v>
      </c>
      <c r="AT661" s="34">
        <v>0</v>
      </c>
      <c r="AU661" s="34">
        <v>0</v>
      </c>
      <c r="AV661" s="34">
        <v>3.5714285714285698E-2</v>
      </c>
      <c r="AW661" s="10"/>
      <c r="AX661" s="8"/>
    </row>
    <row r="662" spans="1:50">
      <c r="A662" s="7"/>
      <c r="B662" s="10"/>
      <c r="C662" s="45" t="s">
        <v>688</v>
      </c>
      <c r="D662" s="23" t="s">
        <v>21</v>
      </c>
      <c r="E662" s="68" t="s">
        <v>708</v>
      </c>
      <c r="F662" s="68" t="s">
        <v>708</v>
      </c>
      <c r="G662" s="68" t="s">
        <v>708</v>
      </c>
      <c r="H662" s="68" t="s">
        <v>708</v>
      </c>
      <c r="I662" s="25">
        <v>0.9</v>
      </c>
      <c r="J662" s="26">
        <v>1</v>
      </c>
      <c r="K662" s="26">
        <v>1</v>
      </c>
      <c r="L662" s="27">
        <v>1</v>
      </c>
      <c r="M662" s="26">
        <v>0.981566820276498</v>
      </c>
      <c r="N662" s="28">
        <v>0.9</v>
      </c>
      <c r="O662" s="26">
        <v>0.95968010663112302</v>
      </c>
      <c r="P662" s="26">
        <v>0.96780252213576601</v>
      </c>
      <c r="Q662" s="26">
        <v>0.96299212598425199</v>
      </c>
      <c r="R662" s="26">
        <v>0.95317239635995998</v>
      </c>
      <c r="S662" s="28">
        <v>0.9</v>
      </c>
      <c r="T662" s="26">
        <v>0.93402199266911001</v>
      </c>
      <c r="U662" s="26">
        <v>0.92970217332975602</v>
      </c>
      <c r="V662" s="26">
        <v>0.94803149606299197</v>
      </c>
      <c r="W662" s="26">
        <v>0.92441860465116299</v>
      </c>
      <c r="X662" s="28">
        <v>0.92</v>
      </c>
      <c r="Y662" s="28">
        <v>0.91869918699187003</v>
      </c>
      <c r="Z662" s="28">
        <v>0.93911917098445596</v>
      </c>
      <c r="AA662" s="28">
        <v>0.911222780569514</v>
      </c>
      <c r="AB662" s="28">
        <v>0.919179734620024</v>
      </c>
      <c r="AC662" s="28">
        <v>0.92</v>
      </c>
      <c r="AD662" s="26">
        <v>0.999344262295082</v>
      </c>
      <c r="AE662" s="26">
        <v>0.99107711918419406</v>
      </c>
      <c r="AF662" s="26">
        <v>0.99598124581379799</v>
      </c>
      <c r="AG662" s="26">
        <v>0.99315429173249103</v>
      </c>
      <c r="AH662" s="28">
        <v>0.92</v>
      </c>
      <c r="AI662" s="26">
        <v>0.95381637168141598</v>
      </c>
      <c r="AJ662" s="26">
        <v>0.96421426983774206</v>
      </c>
      <c r="AK662" s="26">
        <v>0.95232994108195002</v>
      </c>
      <c r="AL662" s="26">
        <v>0.95433646812957196</v>
      </c>
      <c r="AM662" s="25">
        <v>0.99</v>
      </c>
      <c r="AN662" s="30">
        <v>1</v>
      </c>
      <c r="AO662" s="30">
        <v>1</v>
      </c>
      <c r="AP662" s="30">
        <v>1</v>
      </c>
      <c r="AQ662" s="30">
        <v>1</v>
      </c>
      <c r="AR662" s="50">
        <v>8.1059522893420499E-2</v>
      </c>
      <c r="AS662" s="34">
        <v>5.5555555555555601E-2</v>
      </c>
      <c r="AT662" s="34">
        <v>9.5238095238095205E-2</v>
      </c>
      <c r="AU662" s="34">
        <v>0</v>
      </c>
      <c r="AV662" s="34">
        <v>1.5748031496062999E-2</v>
      </c>
      <c r="AW662" s="10"/>
      <c r="AX662" s="8"/>
    </row>
    <row r="663" spans="1:50">
      <c r="A663" s="7"/>
      <c r="B663" s="10"/>
      <c r="C663" s="45" t="s">
        <v>688</v>
      </c>
      <c r="D663" s="23" t="s">
        <v>21</v>
      </c>
      <c r="E663" s="68" t="s">
        <v>709</v>
      </c>
      <c r="F663" s="68" t="s">
        <v>709</v>
      </c>
      <c r="G663" s="68" t="s">
        <v>709</v>
      </c>
      <c r="H663" s="68" t="s">
        <v>709</v>
      </c>
      <c r="I663" s="25">
        <v>0.9</v>
      </c>
      <c r="J663" s="26">
        <v>0.95833333333333304</v>
      </c>
      <c r="K663" s="26">
        <v>0.92307692307692302</v>
      </c>
      <c r="L663" s="27">
        <v>0.95454545454545503</v>
      </c>
      <c r="M663" s="26">
        <v>0.88652482269503496</v>
      </c>
      <c r="N663" s="28">
        <v>0.9</v>
      </c>
      <c r="O663" s="26">
        <v>0.72127417519908998</v>
      </c>
      <c r="P663" s="26">
        <v>0.79963065558633395</v>
      </c>
      <c r="Q663" s="26">
        <v>0.87933247753530197</v>
      </c>
      <c r="R663" s="26">
        <v>0.79138130860815503</v>
      </c>
      <c r="S663" s="28">
        <v>0.9</v>
      </c>
      <c r="T663" s="26">
        <v>0.91183162684869201</v>
      </c>
      <c r="U663" s="26">
        <v>0.92243767313019398</v>
      </c>
      <c r="V663" s="26">
        <v>0.92811296534017995</v>
      </c>
      <c r="W663" s="26">
        <v>0.91655252344326199</v>
      </c>
      <c r="X663" s="28">
        <v>0.92</v>
      </c>
      <c r="Y663" s="28">
        <v>0.89285714285714302</v>
      </c>
      <c r="Z663" s="28">
        <v>0.90683229813664601</v>
      </c>
      <c r="AA663" s="28">
        <v>0.94382022471910099</v>
      </c>
      <c r="AB663" s="28">
        <v>0.92221682061254295</v>
      </c>
      <c r="AC663" s="28">
        <v>0.92</v>
      </c>
      <c r="AD663" s="26">
        <v>1</v>
      </c>
      <c r="AE663" s="26">
        <v>0.98757763975155299</v>
      </c>
      <c r="AF663" s="26">
        <v>0.99589041095890396</v>
      </c>
      <c r="AG663" s="26">
        <v>0.99354491662183997</v>
      </c>
      <c r="AH663" s="28">
        <v>0.92</v>
      </c>
      <c r="AI663" s="26">
        <v>0.95146088595664502</v>
      </c>
      <c r="AJ663" s="26">
        <v>0.960739901849755</v>
      </c>
      <c r="AK663" s="26">
        <v>0.96563876651982405</v>
      </c>
      <c r="AL663" s="26">
        <v>0.96137859369587797</v>
      </c>
      <c r="AM663" s="25">
        <v>0.99</v>
      </c>
      <c r="AN663" s="30">
        <v>1</v>
      </c>
      <c r="AO663" s="30">
        <v>1</v>
      </c>
      <c r="AP663" s="30">
        <v>1</v>
      </c>
      <c r="AQ663" s="30">
        <v>1</v>
      </c>
      <c r="AR663" s="50">
        <v>8.1059522893420499E-2</v>
      </c>
      <c r="AS663" s="34">
        <v>0</v>
      </c>
      <c r="AT663" s="34">
        <v>0.1</v>
      </c>
      <c r="AU663" s="34">
        <v>0</v>
      </c>
      <c r="AV663" s="34">
        <v>4.5454545454545497E-2</v>
      </c>
      <c r="AW663" s="10"/>
      <c r="AX663" s="8"/>
    </row>
    <row r="664" spans="1:50">
      <c r="A664" s="7"/>
      <c r="B664" s="10"/>
      <c r="C664" s="45" t="s">
        <v>688</v>
      </c>
      <c r="D664" s="23" t="s">
        <v>21</v>
      </c>
      <c r="E664" s="68" t="s">
        <v>710</v>
      </c>
      <c r="F664" s="68" t="s">
        <v>710</v>
      </c>
      <c r="G664" s="68" t="s">
        <v>710</v>
      </c>
      <c r="H664" s="68" t="s">
        <v>710</v>
      </c>
      <c r="I664" s="25">
        <v>0.9</v>
      </c>
      <c r="J664" s="26">
        <v>0.93333333333333302</v>
      </c>
      <c r="K664" s="26">
        <v>0.967741935483871</v>
      </c>
      <c r="L664" s="27">
        <v>0.86206896551724099</v>
      </c>
      <c r="M664" s="26">
        <v>0.93641618497109802</v>
      </c>
      <c r="N664" s="28">
        <v>0.9</v>
      </c>
      <c r="O664" s="26">
        <v>0.818974358974359</v>
      </c>
      <c r="P664" s="26">
        <v>0.66513569937369499</v>
      </c>
      <c r="Q664" s="26">
        <v>0.97956730769230804</v>
      </c>
      <c r="R664" s="26">
        <v>0.84216122172820396</v>
      </c>
      <c r="S664" s="28">
        <v>0.9</v>
      </c>
      <c r="T664" s="26">
        <v>0.91538461538461502</v>
      </c>
      <c r="U664" s="26">
        <v>0.91524008350730701</v>
      </c>
      <c r="V664" s="26">
        <v>0.89423076923076905</v>
      </c>
      <c r="W664" s="26">
        <v>0.90257104194857896</v>
      </c>
      <c r="X664" s="28">
        <v>0.92</v>
      </c>
      <c r="Y664" s="28">
        <v>0.81818181818181801</v>
      </c>
      <c r="Z664" s="28">
        <v>0.91944990176817298</v>
      </c>
      <c r="AA664" s="28">
        <v>0.85517241379310305</v>
      </c>
      <c r="AB664" s="28">
        <v>0.84138236597253002</v>
      </c>
      <c r="AC664" s="28">
        <v>0.92</v>
      </c>
      <c r="AD664" s="26">
        <v>0.99810174639331795</v>
      </c>
      <c r="AE664" s="26">
        <v>0.99318658280922401</v>
      </c>
      <c r="AF664" s="26">
        <v>0.99653078924544702</v>
      </c>
      <c r="AG664" s="26">
        <v>0.99603101347609402</v>
      </c>
      <c r="AH664" s="28">
        <v>0.92</v>
      </c>
      <c r="AI664" s="26">
        <v>0.92633832976445396</v>
      </c>
      <c r="AJ664" s="26">
        <v>0.94800275482093699</v>
      </c>
      <c r="AK664" s="26">
        <v>0.92028413575374901</v>
      </c>
      <c r="AL664" s="26">
        <v>0.92780069819105004</v>
      </c>
      <c r="AM664" s="25">
        <v>0.99</v>
      </c>
      <c r="AN664" s="30">
        <v>1</v>
      </c>
      <c r="AO664" s="30">
        <v>1</v>
      </c>
      <c r="AP664" s="30">
        <v>1</v>
      </c>
      <c r="AQ664" s="30">
        <v>1</v>
      </c>
      <c r="AR664" s="50">
        <v>8.1059522893420499E-2</v>
      </c>
      <c r="AS664" s="34">
        <v>-8.3333333333333301E-2</v>
      </c>
      <c r="AT664" s="34">
        <v>0</v>
      </c>
      <c r="AU664" s="34">
        <v>0</v>
      </c>
      <c r="AV664" s="34">
        <v>3.6363636363636397E-2</v>
      </c>
      <c r="AW664" s="10"/>
      <c r="AX664" s="8"/>
    </row>
    <row r="665" spans="1:50">
      <c r="A665" s="7"/>
      <c r="B665" s="10"/>
      <c r="C665" s="45" t="s">
        <v>688</v>
      </c>
      <c r="D665" s="23" t="s">
        <v>21</v>
      </c>
      <c r="E665" s="68" t="s">
        <v>711</v>
      </c>
      <c r="F665" s="68" t="s">
        <v>711</v>
      </c>
      <c r="G665" s="68" t="s">
        <v>711</v>
      </c>
      <c r="H665" s="68" t="s">
        <v>711</v>
      </c>
      <c r="I665" s="25">
        <v>0.9</v>
      </c>
      <c r="J665" s="26">
        <v>0.96428571428571397</v>
      </c>
      <c r="K665" s="26">
        <v>1</v>
      </c>
      <c r="L665" s="27">
        <v>0.96153846153846201</v>
      </c>
      <c r="M665" s="26">
        <v>0.96385542168674698</v>
      </c>
      <c r="N665" s="28">
        <v>0.9</v>
      </c>
      <c r="O665" s="26">
        <v>0.97715517241379302</v>
      </c>
      <c r="P665" s="26">
        <v>0.97679251818496704</v>
      </c>
      <c r="Q665" s="26">
        <v>0.98526522593320198</v>
      </c>
      <c r="R665" s="26">
        <v>0.97683620476465205</v>
      </c>
      <c r="S665" s="28">
        <v>0.9</v>
      </c>
      <c r="T665" s="26">
        <v>0.92974137931034495</v>
      </c>
      <c r="U665" s="26">
        <v>0.92552822999653594</v>
      </c>
      <c r="V665" s="26">
        <v>0.95284872298624801</v>
      </c>
      <c r="W665" s="26">
        <v>0.93735058939906002</v>
      </c>
      <c r="X665" s="28">
        <v>0.92</v>
      </c>
      <c r="Y665" s="28">
        <v>0.93816631130063999</v>
      </c>
      <c r="Z665" s="28">
        <v>0.91324921135646697</v>
      </c>
      <c r="AA665" s="28">
        <v>0.92156862745098</v>
      </c>
      <c r="AB665" s="28">
        <v>0.91765140324963101</v>
      </c>
      <c r="AC665" s="28">
        <v>0.92</v>
      </c>
      <c r="AD665" s="26">
        <v>0.99492753623188401</v>
      </c>
      <c r="AE665" s="26">
        <v>0.99116161616161602</v>
      </c>
      <c r="AF665" s="26">
        <v>0.94859813084112199</v>
      </c>
      <c r="AG665" s="26">
        <v>0.98348851644941004</v>
      </c>
      <c r="AH665" s="28">
        <v>0.92</v>
      </c>
      <c r="AI665" s="26">
        <v>0.96844747221226202</v>
      </c>
      <c r="AJ665" s="26">
        <v>0.96449872195399</v>
      </c>
      <c r="AK665" s="26">
        <v>0.96213183730715302</v>
      </c>
      <c r="AL665" s="26">
        <v>0.96482242738728996</v>
      </c>
      <c r="AM665" s="25">
        <v>0.99</v>
      </c>
      <c r="AN665" s="30">
        <v>1</v>
      </c>
      <c r="AO665" s="30">
        <v>1</v>
      </c>
      <c r="AP665" s="30">
        <v>1</v>
      </c>
      <c r="AQ665" s="30">
        <v>1</v>
      </c>
      <c r="AR665" s="50">
        <v>8.1059522893420499E-2</v>
      </c>
      <c r="AS665" s="34">
        <v>9.0909090909090898E-2</v>
      </c>
      <c r="AT665" s="34">
        <v>7.1428571428571397E-2</v>
      </c>
      <c r="AU665" s="34">
        <v>0</v>
      </c>
      <c r="AV665" s="34">
        <v>6.3492063492063502E-2</v>
      </c>
      <c r="AW665" s="10"/>
      <c r="AX665" s="8"/>
    </row>
    <row r="666" spans="1:50">
      <c r="A666" s="7"/>
      <c r="B666" s="10"/>
      <c r="C666" s="45" t="s">
        <v>688</v>
      </c>
      <c r="D666" s="23" t="s">
        <v>21</v>
      </c>
      <c r="E666" s="68" t="s">
        <v>712</v>
      </c>
      <c r="F666" s="68" t="s">
        <v>712</v>
      </c>
      <c r="G666" s="68" t="s">
        <v>712</v>
      </c>
      <c r="H666" s="68" t="s">
        <v>712</v>
      </c>
      <c r="I666" s="25">
        <v>0.9</v>
      </c>
      <c r="J666" s="26">
        <v>0.96</v>
      </c>
      <c r="K666" s="26">
        <v>1</v>
      </c>
      <c r="L666" s="27">
        <v>0.96</v>
      </c>
      <c r="M666" s="26">
        <v>0.97333333333333305</v>
      </c>
      <c r="N666" s="28">
        <v>0.9</v>
      </c>
      <c r="O666" s="26">
        <v>0.97810526315789503</v>
      </c>
      <c r="P666" s="26">
        <v>0.98218738867117905</v>
      </c>
      <c r="Q666" s="26">
        <v>0.96728971962616805</v>
      </c>
      <c r="R666" s="26">
        <v>0.97242368693711601</v>
      </c>
      <c r="S666" s="28">
        <v>0.9</v>
      </c>
      <c r="T666" s="26">
        <v>0.93557894736842095</v>
      </c>
      <c r="U666" s="26">
        <v>0.94620591378696095</v>
      </c>
      <c r="V666" s="26">
        <v>0.95420560747663596</v>
      </c>
      <c r="W666" s="26">
        <v>0.94779628596477195</v>
      </c>
      <c r="X666" s="28">
        <v>0.92</v>
      </c>
      <c r="Y666" s="28">
        <v>0.93499043977055496</v>
      </c>
      <c r="Z666" s="28">
        <v>0.94642857142857095</v>
      </c>
      <c r="AA666" s="28">
        <v>0.94541484716157198</v>
      </c>
      <c r="AB666" s="28">
        <v>0.93859011627906996</v>
      </c>
      <c r="AC666" s="28">
        <v>0.92</v>
      </c>
      <c r="AD666" s="26">
        <v>1</v>
      </c>
      <c r="AE666" s="26">
        <v>0.98353909465020595</v>
      </c>
      <c r="AF666" s="26">
        <v>0.99696048632218803</v>
      </c>
      <c r="AG666" s="26">
        <v>0.99672997107282102</v>
      </c>
      <c r="AH666" s="28">
        <v>0.92</v>
      </c>
      <c r="AI666" s="26">
        <v>0.96343566747154197</v>
      </c>
      <c r="AJ666" s="26">
        <v>0.97614942528735604</v>
      </c>
      <c r="AK666" s="26">
        <v>0.97447643979057597</v>
      </c>
      <c r="AL666" s="26">
        <v>0.97516664488302196</v>
      </c>
      <c r="AM666" s="25">
        <v>0.99</v>
      </c>
      <c r="AN666" s="30">
        <v>1</v>
      </c>
      <c r="AO666" s="30">
        <v>1</v>
      </c>
      <c r="AP666" s="30">
        <v>1</v>
      </c>
      <c r="AQ666" s="30">
        <v>1</v>
      </c>
      <c r="AR666" s="50">
        <v>8.1059522893420499E-2</v>
      </c>
      <c r="AS666" s="34">
        <v>0</v>
      </c>
      <c r="AT666" s="34">
        <v>0</v>
      </c>
      <c r="AU666" s="34">
        <v>0</v>
      </c>
      <c r="AV666" s="34">
        <v>5.0847457627118599E-2</v>
      </c>
      <c r="AW666" s="10"/>
      <c r="AX666" s="8"/>
    </row>
    <row r="667" spans="1:50">
      <c r="A667" s="7"/>
      <c r="B667" s="10"/>
      <c r="C667" s="45" t="s">
        <v>688</v>
      </c>
      <c r="D667" s="23" t="s">
        <v>21</v>
      </c>
      <c r="E667" s="68" t="s">
        <v>713</v>
      </c>
      <c r="F667" s="68" t="s">
        <v>713</v>
      </c>
      <c r="G667" s="68" t="s">
        <v>713</v>
      </c>
      <c r="H667" s="68" t="s">
        <v>713</v>
      </c>
      <c r="I667" s="25">
        <v>0.9</v>
      </c>
      <c r="J667" s="26">
        <v>1</v>
      </c>
      <c r="K667" s="26">
        <v>1</v>
      </c>
      <c r="L667" s="27">
        <v>1</v>
      </c>
      <c r="M667" s="26">
        <v>1</v>
      </c>
      <c r="N667" s="28">
        <v>0.9</v>
      </c>
      <c r="O667" s="26">
        <v>0.943768497204867</v>
      </c>
      <c r="P667" s="26">
        <v>0.96260425073984401</v>
      </c>
      <c r="Q667" s="26">
        <v>0.85352862849533995</v>
      </c>
      <c r="R667" s="26">
        <v>0.92902644230769205</v>
      </c>
      <c r="S667" s="28">
        <v>0.9</v>
      </c>
      <c r="T667" s="26">
        <v>0.97303518579414705</v>
      </c>
      <c r="U667" s="26">
        <v>0.97551789077212803</v>
      </c>
      <c r="V667" s="26">
        <v>0.98868175765645805</v>
      </c>
      <c r="W667" s="26">
        <v>0.97698317307692295</v>
      </c>
      <c r="X667" s="28">
        <v>0.92</v>
      </c>
      <c r="Y667" s="28">
        <v>0.94088669950738901</v>
      </c>
      <c r="Z667" s="28">
        <v>0.97547683923705697</v>
      </c>
      <c r="AA667" s="28">
        <v>0.97309417040358703</v>
      </c>
      <c r="AB667" s="28">
        <v>0.96605209247878299</v>
      </c>
      <c r="AC667" s="28">
        <v>0.92</v>
      </c>
      <c r="AD667" s="26">
        <v>0.99893105291288098</v>
      </c>
      <c r="AE667" s="26">
        <v>0.99876816949987701</v>
      </c>
      <c r="AF667" s="26">
        <v>0.99601313320825502</v>
      </c>
      <c r="AG667" s="26">
        <v>0.99732905982905995</v>
      </c>
      <c r="AH667" s="28">
        <v>0.92</v>
      </c>
      <c r="AI667" s="26">
        <v>0.97917808219178104</v>
      </c>
      <c r="AJ667" s="26">
        <v>0.98741855762749897</v>
      </c>
      <c r="AK667" s="26">
        <v>0.98848987108655595</v>
      </c>
      <c r="AL667" s="26">
        <v>0.98634097706879398</v>
      </c>
      <c r="AM667" s="25">
        <v>0.99</v>
      </c>
      <c r="AN667" s="30">
        <v>1</v>
      </c>
      <c r="AO667" s="30">
        <v>1</v>
      </c>
      <c r="AP667" s="30">
        <v>1</v>
      </c>
      <c r="AQ667" s="30">
        <v>1</v>
      </c>
      <c r="AR667" s="50">
        <v>8.1059522893420499E-2</v>
      </c>
      <c r="AS667" s="34">
        <v>6.6666666666666693E-2</v>
      </c>
      <c r="AT667" s="34">
        <v>8.3333333333333301E-2</v>
      </c>
      <c r="AU667" s="34">
        <v>0</v>
      </c>
      <c r="AV667" s="34">
        <v>2.8571428571428598E-2</v>
      </c>
      <c r="AW667" s="10"/>
      <c r="AX667" s="8"/>
    </row>
    <row r="668" spans="1:50">
      <c r="A668" s="7"/>
      <c r="B668" s="10"/>
      <c r="C668" s="45" t="s">
        <v>688</v>
      </c>
      <c r="D668" s="23" t="s">
        <v>21</v>
      </c>
      <c r="E668" s="68" t="s">
        <v>714</v>
      </c>
      <c r="F668" s="68" t="s">
        <v>714</v>
      </c>
      <c r="G668" s="68" t="s">
        <v>714</v>
      </c>
      <c r="H668" s="68" t="s">
        <v>714</v>
      </c>
      <c r="I668" s="25">
        <v>0.9</v>
      </c>
      <c r="J668" s="26">
        <v>0.97297297297297303</v>
      </c>
      <c r="K668" s="26">
        <v>1</v>
      </c>
      <c r="L668" s="27">
        <v>1</v>
      </c>
      <c r="M668" s="26">
        <v>0.99043062200956899</v>
      </c>
      <c r="N668" s="28">
        <v>0.9</v>
      </c>
      <c r="O668" s="26">
        <v>0.99325908558030496</v>
      </c>
      <c r="P668" s="26">
        <v>0.98868360277136302</v>
      </c>
      <c r="Q668" s="26">
        <v>0.99595414699932605</v>
      </c>
      <c r="R668" s="26">
        <v>0.993082457111234</v>
      </c>
      <c r="S668" s="28">
        <v>0.9</v>
      </c>
      <c r="T668" s="26">
        <v>0.95193434935521704</v>
      </c>
      <c r="U668" s="26">
        <v>0.94757505773672102</v>
      </c>
      <c r="V668" s="26">
        <v>0.94807821982467999</v>
      </c>
      <c r="W668" s="26">
        <v>0.95102379634753698</v>
      </c>
      <c r="X668" s="28">
        <v>0.92</v>
      </c>
      <c r="Y668" s="28">
        <v>0.91505216095380004</v>
      </c>
      <c r="Z668" s="28">
        <v>0.91685393258426995</v>
      </c>
      <c r="AA668" s="28">
        <v>0.93672627235213202</v>
      </c>
      <c r="AB668" s="28">
        <v>0.92502558853633599</v>
      </c>
      <c r="AC668" s="28">
        <v>0.92</v>
      </c>
      <c r="AD668" s="26">
        <v>0.99310344827586206</v>
      </c>
      <c r="AE668" s="26">
        <v>0.99834437086092698</v>
      </c>
      <c r="AF668" s="26">
        <v>1</v>
      </c>
      <c r="AG668" s="26">
        <v>0.99714448886350704</v>
      </c>
      <c r="AH668" s="28">
        <v>0.92</v>
      </c>
      <c r="AI668" s="26">
        <v>0.96425073457394705</v>
      </c>
      <c r="AJ668" s="26">
        <v>0.96340996168582405</v>
      </c>
      <c r="AK668" s="26">
        <v>0.96607869742198105</v>
      </c>
      <c r="AL668" s="26">
        <v>0.96815721239139296</v>
      </c>
      <c r="AM668" s="25">
        <v>0.99</v>
      </c>
      <c r="AN668" s="30">
        <v>1</v>
      </c>
      <c r="AO668" s="30">
        <v>1</v>
      </c>
      <c r="AP668" s="30">
        <v>1</v>
      </c>
      <c r="AQ668" s="30">
        <v>1</v>
      </c>
      <c r="AR668" s="50">
        <v>8.1059522893420499E-2</v>
      </c>
      <c r="AS668" s="34">
        <v>6.6666666666666693E-2</v>
      </c>
      <c r="AT668" s="34">
        <v>0</v>
      </c>
      <c r="AU668" s="34">
        <v>0</v>
      </c>
      <c r="AV668" s="34">
        <v>3.7499999999999999E-2</v>
      </c>
      <c r="AW668" s="10"/>
      <c r="AX668" s="8"/>
    </row>
    <row r="669" spans="1:50">
      <c r="A669" s="7"/>
      <c r="B669" s="10"/>
      <c r="C669" s="45" t="s">
        <v>688</v>
      </c>
      <c r="D669" s="23" t="s">
        <v>21</v>
      </c>
      <c r="E669" s="68" t="s">
        <v>715</v>
      </c>
      <c r="F669" s="68" t="s">
        <v>715</v>
      </c>
      <c r="G669" s="68" t="s">
        <v>715</v>
      </c>
      <c r="H669" s="68" t="s">
        <v>715</v>
      </c>
      <c r="I669" s="25">
        <v>0.9</v>
      </c>
      <c r="J669" s="26">
        <v>1</v>
      </c>
      <c r="K669" s="26">
        <v>1</v>
      </c>
      <c r="L669" s="27">
        <v>1</v>
      </c>
      <c r="M669" s="26">
        <v>1</v>
      </c>
      <c r="N669" s="28">
        <v>0.9</v>
      </c>
      <c r="O669" s="26">
        <v>0.98936170212765995</v>
      </c>
      <c r="P669" s="26">
        <v>0.98717263495456997</v>
      </c>
      <c r="Q669" s="26">
        <v>1</v>
      </c>
      <c r="R669" s="26">
        <v>0.98945998698763804</v>
      </c>
      <c r="S669" s="28">
        <v>0.9</v>
      </c>
      <c r="T669" s="26">
        <v>0.94326241134751798</v>
      </c>
      <c r="U669" s="26">
        <v>0.90539818278995199</v>
      </c>
      <c r="V669" s="26">
        <v>0.92939244663382603</v>
      </c>
      <c r="W669" s="26">
        <v>0.93454782042940798</v>
      </c>
      <c r="X669" s="28">
        <v>0.92</v>
      </c>
      <c r="Y669" s="28">
        <v>0.92881355932203402</v>
      </c>
      <c r="Z669" s="28">
        <v>0.94858611825192796</v>
      </c>
      <c r="AA669" s="28">
        <v>0.93890675241157595</v>
      </c>
      <c r="AB669" s="28">
        <v>0.93735083532219599</v>
      </c>
      <c r="AC669" s="28">
        <v>0.92</v>
      </c>
      <c r="AD669" s="26">
        <v>1</v>
      </c>
      <c r="AE669" s="26">
        <v>0.99435028248587598</v>
      </c>
      <c r="AF669" s="26">
        <v>0.99504950495049505</v>
      </c>
      <c r="AG669" s="26">
        <v>0.99453551912568305</v>
      </c>
      <c r="AH669" s="28">
        <v>0.92</v>
      </c>
      <c r="AI669" s="26">
        <v>0.97184750733137804</v>
      </c>
      <c r="AJ669" s="26">
        <v>0.96858407079646003</v>
      </c>
      <c r="AK669" s="26">
        <v>0.95543478260869596</v>
      </c>
      <c r="AL669" s="26">
        <v>0.97115692767866701</v>
      </c>
      <c r="AM669" s="25">
        <v>0.99</v>
      </c>
      <c r="AN669" s="30">
        <v>1</v>
      </c>
      <c r="AO669" s="30">
        <v>1</v>
      </c>
      <c r="AP669" s="30">
        <v>1</v>
      </c>
      <c r="AQ669" s="30">
        <v>1</v>
      </c>
      <c r="AR669" s="50">
        <v>8.1059522893420499E-2</v>
      </c>
      <c r="AS669" s="34">
        <v>0</v>
      </c>
      <c r="AT669" s="34">
        <v>9.0909090909090898E-2</v>
      </c>
      <c r="AU669" s="34">
        <v>0</v>
      </c>
      <c r="AV669" s="34">
        <v>4.08163265306122E-2</v>
      </c>
      <c r="AW669" s="10"/>
      <c r="AX669" s="8"/>
    </row>
    <row r="670" spans="1:50">
      <c r="A670" s="7"/>
      <c r="B670" s="10"/>
      <c r="C670" s="45" t="s">
        <v>688</v>
      </c>
      <c r="D670" s="23" t="s">
        <v>21</v>
      </c>
      <c r="E670" s="68" t="s">
        <v>716</v>
      </c>
      <c r="F670" s="68" t="s">
        <v>716</v>
      </c>
      <c r="G670" s="68" t="s">
        <v>716</v>
      </c>
      <c r="H670" s="68" t="s">
        <v>716</v>
      </c>
      <c r="I670" s="25">
        <v>0.9</v>
      </c>
      <c r="J670" s="26">
        <v>0</v>
      </c>
      <c r="K670" s="26">
        <v>0</v>
      </c>
      <c r="L670" s="27">
        <v>0</v>
      </c>
      <c r="M670" s="26">
        <v>0</v>
      </c>
      <c r="N670" s="28">
        <v>0.9</v>
      </c>
      <c r="O670" s="26">
        <v>0</v>
      </c>
      <c r="P670" s="26">
        <v>0</v>
      </c>
      <c r="Q670" s="26">
        <v>0</v>
      </c>
      <c r="R670" s="26">
        <v>0</v>
      </c>
      <c r="S670" s="28">
        <v>0.9</v>
      </c>
      <c r="T670" s="26">
        <v>0</v>
      </c>
      <c r="U670" s="26">
        <v>0</v>
      </c>
      <c r="V670" s="26">
        <v>0</v>
      </c>
      <c r="W670" s="26">
        <v>0</v>
      </c>
      <c r="X670" s="28">
        <v>0.92</v>
      </c>
      <c r="Y670" s="28">
        <v>0</v>
      </c>
      <c r="Z670" s="28">
        <v>0</v>
      </c>
      <c r="AA670" s="28">
        <v>0</v>
      </c>
      <c r="AB670" s="28">
        <v>0</v>
      </c>
      <c r="AC670" s="28">
        <v>0.92</v>
      </c>
      <c r="AD670" s="26">
        <v>0</v>
      </c>
      <c r="AE670" s="26">
        <v>0</v>
      </c>
      <c r="AF670" s="26">
        <v>0</v>
      </c>
      <c r="AG670" s="26">
        <v>0</v>
      </c>
      <c r="AH670" s="28">
        <v>0.92</v>
      </c>
      <c r="AI670" s="26">
        <v>0</v>
      </c>
      <c r="AJ670" s="26">
        <v>0</v>
      </c>
      <c r="AK670" s="26">
        <v>0</v>
      </c>
      <c r="AL670" s="26">
        <v>0</v>
      </c>
      <c r="AM670" s="25">
        <v>0.99</v>
      </c>
      <c r="AN670" s="30">
        <v>0</v>
      </c>
      <c r="AO670" s="30">
        <v>0</v>
      </c>
      <c r="AP670" s="30">
        <v>0</v>
      </c>
      <c r="AQ670" s="30">
        <v>0</v>
      </c>
      <c r="AR670" s="50">
        <v>8.1059522893420499E-2</v>
      </c>
      <c r="AS670" s="34">
        <v>0</v>
      </c>
      <c r="AT670" s="34">
        <v>0</v>
      </c>
      <c r="AU670" s="34">
        <v>0</v>
      </c>
      <c r="AV670" s="34">
        <v>0</v>
      </c>
      <c r="AW670" s="10"/>
      <c r="AX670" s="8"/>
    </row>
    <row r="671" spans="1:50">
      <c r="A671" s="7"/>
      <c r="B671" s="10"/>
      <c r="C671" s="45" t="s">
        <v>688</v>
      </c>
      <c r="D671" s="23" t="s">
        <v>21</v>
      </c>
      <c r="E671" s="68" t="s">
        <v>717</v>
      </c>
      <c r="F671" s="68" t="s">
        <v>717</v>
      </c>
      <c r="G671" s="68" t="s">
        <v>717</v>
      </c>
      <c r="H671" s="68" t="s">
        <v>717</v>
      </c>
      <c r="I671" s="25">
        <v>0.9</v>
      </c>
      <c r="J671" s="26">
        <v>0.9</v>
      </c>
      <c r="K671" s="26">
        <v>0.96666666666666701</v>
      </c>
      <c r="L671" s="27">
        <v>0.86956521739130399</v>
      </c>
      <c r="M671" s="26">
        <v>0.92638036809815905</v>
      </c>
      <c r="N671" s="28">
        <v>0.9</v>
      </c>
      <c r="O671" s="26">
        <v>0.94834103317933605</v>
      </c>
      <c r="P671" s="26">
        <v>0.93460869565217397</v>
      </c>
      <c r="Q671" s="26">
        <v>0.94721115537848599</v>
      </c>
      <c r="R671" s="26">
        <v>0.94349622009196499</v>
      </c>
      <c r="S671" s="28">
        <v>0.9</v>
      </c>
      <c r="T671" s="26">
        <v>0.95086098278034403</v>
      </c>
      <c r="U671" s="26">
        <v>0.93600000000000005</v>
      </c>
      <c r="V671" s="26">
        <v>0.94223107569721098</v>
      </c>
      <c r="W671" s="26">
        <v>0.94334034759566698</v>
      </c>
      <c r="X671" s="28">
        <v>0.92</v>
      </c>
      <c r="Y671" s="28">
        <v>0.96</v>
      </c>
      <c r="Z671" s="28">
        <v>0.95578231292517002</v>
      </c>
      <c r="AA671" s="28">
        <v>0.95954692556634302</v>
      </c>
      <c r="AB671" s="28">
        <v>0.95871446229913504</v>
      </c>
      <c r="AC671" s="28">
        <v>0.92</v>
      </c>
      <c r="AD671" s="26">
        <v>0.99457504520795703</v>
      </c>
      <c r="AE671" s="26">
        <v>0.99630996309963105</v>
      </c>
      <c r="AF671" s="26">
        <v>0.99572039942938695</v>
      </c>
      <c r="AG671" s="26">
        <v>0.99505670252980505</v>
      </c>
      <c r="AH671" s="28">
        <v>0.92</v>
      </c>
      <c r="AI671" s="26">
        <v>0.98036649214659699</v>
      </c>
      <c r="AJ671" s="26">
        <v>0.97485826965738198</v>
      </c>
      <c r="AK671" s="26">
        <v>0.97044334975369495</v>
      </c>
      <c r="AL671" s="26">
        <v>0.97666706147104099</v>
      </c>
      <c r="AM671" s="25">
        <v>0.99</v>
      </c>
      <c r="AN671" s="30">
        <v>1</v>
      </c>
      <c r="AO671" s="30">
        <v>1</v>
      </c>
      <c r="AP671" s="30">
        <v>1</v>
      </c>
      <c r="AQ671" s="30">
        <v>1</v>
      </c>
      <c r="AR671" s="50">
        <v>8.1059522893420499E-2</v>
      </c>
      <c r="AS671" s="34">
        <v>0.125</v>
      </c>
      <c r="AT671" s="34">
        <v>0</v>
      </c>
      <c r="AU671" s="34">
        <v>0</v>
      </c>
      <c r="AV671" s="34">
        <v>6.1224489795918401E-2</v>
      </c>
      <c r="AW671" s="10"/>
      <c r="AX671" s="8"/>
    </row>
    <row r="672" spans="1:50">
      <c r="A672" s="7"/>
      <c r="B672" s="10"/>
      <c r="C672" s="45" t="s">
        <v>688</v>
      </c>
      <c r="D672" s="23" t="s">
        <v>21</v>
      </c>
      <c r="E672" s="68" t="s">
        <v>718</v>
      </c>
      <c r="F672" s="68" t="s">
        <v>718</v>
      </c>
      <c r="G672" s="68" t="s">
        <v>718</v>
      </c>
      <c r="H672" s="68" t="s">
        <v>718</v>
      </c>
      <c r="I672" s="25">
        <v>0.9</v>
      </c>
      <c r="J672" s="26">
        <v>0.81481481481481499</v>
      </c>
      <c r="K672" s="26">
        <v>0.82142857142857095</v>
      </c>
      <c r="L672" s="27">
        <v>0.875</v>
      </c>
      <c r="M672" s="26">
        <v>0.84905660377358505</v>
      </c>
      <c r="N672" s="28">
        <v>0.9</v>
      </c>
      <c r="O672" s="26">
        <v>0.95554711246200597</v>
      </c>
      <c r="P672" s="26">
        <v>0.95543731293648204</v>
      </c>
      <c r="Q672" s="26">
        <v>0.95599999999999996</v>
      </c>
      <c r="R672" s="26">
        <v>0.95475763016158</v>
      </c>
      <c r="S672" s="28">
        <v>0.9</v>
      </c>
      <c r="T672" s="26">
        <v>0.94794832826747699</v>
      </c>
      <c r="U672" s="26">
        <v>0.94745593614898604</v>
      </c>
      <c r="V672" s="26">
        <v>0.93100000000000005</v>
      </c>
      <c r="W672" s="26">
        <v>0.94377019748653501</v>
      </c>
      <c r="X672" s="28">
        <v>0.92</v>
      </c>
      <c r="Y672" s="28">
        <v>0.93140243902439002</v>
      </c>
      <c r="Z672" s="28">
        <v>0.93345164152617599</v>
      </c>
      <c r="AA672" s="28">
        <v>0.884493670886076</v>
      </c>
      <c r="AB672" s="28">
        <v>0.923747819586344</v>
      </c>
      <c r="AC672" s="28">
        <v>0.92</v>
      </c>
      <c r="AD672" s="26">
        <v>0.99342105263157898</v>
      </c>
      <c r="AE672" s="26">
        <v>0.98214285714285698</v>
      </c>
      <c r="AF672" s="26">
        <v>0.99295774647887303</v>
      </c>
      <c r="AG672" s="26">
        <v>0.98118279569892497</v>
      </c>
      <c r="AH672" s="28">
        <v>0.92</v>
      </c>
      <c r="AI672" s="26">
        <v>0.96991795806745695</v>
      </c>
      <c r="AJ672" s="26">
        <v>0.96893811702383803</v>
      </c>
      <c r="AK672" s="26">
        <v>0.93826405867970697</v>
      </c>
      <c r="AL672" s="26">
        <v>0.96672046301964498</v>
      </c>
      <c r="AM672" s="25">
        <v>0.99</v>
      </c>
      <c r="AN672" s="30">
        <v>1</v>
      </c>
      <c r="AO672" s="30">
        <v>1</v>
      </c>
      <c r="AP672" s="30">
        <v>1</v>
      </c>
      <c r="AQ672" s="30">
        <v>1</v>
      </c>
      <c r="AR672" s="50">
        <v>8.1059522893420499E-2</v>
      </c>
      <c r="AS672" s="34">
        <v>0</v>
      </c>
      <c r="AT672" s="34">
        <v>0</v>
      </c>
      <c r="AU672" s="34">
        <v>0</v>
      </c>
      <c r="AV672" s="34">
        <v>4.6511627906976702E-2</v>
      </c>
      <c r="AW672" s="10"/>
      <c r="AX672" s="8"/>
    </row>
    <row r="673" spans="1:50">
      <c r="A673" s="7"/>
      <c r="B673" s="10"/>
      <c r="C673" s="45" t="s">
        <v>688</v>
      </c>
      <c r="D673" s="23" t="s">
        <v>21</v>
      </c>
      <c r="E673" s="68" t="s">
        <v>719</v>
      </c>
      <c r="F673" s="68" t="s">
        <v>719</v>
      </c>
      <c r="G673" s="68" t="s">
        <v>719</v>
      </c>
      <c r="H673" s="68" t="s">
        <v>719</v>
      </c>
      <c r="I673" s="25">
        <v>0.9</v>
      </c>
      <c r="J673" s="26">
        <v>0.88888888888888895</v>
      </c>
      <c r="K673" s="26">
        <v>0.84615384615384603</v>
      </c>
      <c r="L673" s="27">
        <v>0.875</v>
      </c>
      <c r="M673" s="26">
        <v>0.82159624413145504</v>
      </c>
      <c r="N673" s="28">
        <v>0.9</v>
      </c>
      <c r="O673" s="26">
        <v>0.93036529680365299</v>
      </c>
      <c r="P673" s="26">
        <v>0.91448140900195696</v>
      </c>
      <c r="Q673" s="26">
        <v>0.94842916419679901</v>
      </c>
      <c r="R673" s="26">
        <v>0.91409344520635505</v>
      </c>
      <c r="S673" s="28">
        <v>0.9</v>
      </c>
      <c r="T673" s="26">
        <v>0.92420091324200904</v>
      </c>
      <c r="U673" s="26">
        <v>0.91526418786692798</v>
      </c>
      <c r="V673" s="26">
        <v>0.926496739774748</v>
      </c>
      <c r="W673" s="26">
        <v>0.91656373780825395</v>
      </c>
      <c r="X673" s="28">
        <v>0.92</v>
      </c>
      <c r="Y673" s="28">
        <v>0.93156934306569295</v>
      </c>
      <c r="Z673" s="28">
        <v>0.95719095719095704</v>
      </c>
      <c r="AA673" s="28">
        <v>0.93397129186602901</v>
      </c>
      <c r="AB673" s="28">
        <v>0.93429510069989996</v>
      </c>
      <c r="AC673" s="28">
        <v>0.92</v>
      </c>
      <c r="AD673" s="26">
        <v>0.99951690821256001</v>
      </c>
      <c r="AE673" s="26">
        <v>0.99602543720190795</v>
      </c>
      <c r="AF673" s="26">
        <v>0.99331456720619304</v>
      </c>
      <c r="AG673" s="26">
        <v>0.99440950384346605</v>
      </c>
      <c r="AH673" s="28">
        <v>0.92</v>
      </c>
      <c r="AI673" s="26">
        <v>0.97023374726077405</v>
      </c>
      <c r="AJ673" s="26">
        <v>0.97316089556389895</v>
      </c>
      <c r="AK673" s="26">
        <v>0.96560556165386002</v>
      </c>
      <c r="AL673" s="26">
        <v>0.97070498310533704</v>
      </c>
      <c r="AM673" s="25">
        <v>0.99</v>
      </c>
      <c r="AN673" s="30">
        <v>1</v>
      </c>
      <c r="AO673" s="30">
        <v>1</v>
      </c>
      <c r="AP673" s="30">
        <v>1</v>
      </c>
      <c r="AQ673" s="30">
        <v>1</v>
      </c>
      <c r="AR673" s="50">
        <v>8.1059522893420499E-2</v>
      </c>
      <c r="AS673" s="34">
        <v>0</v>
      </c>
      <c r="AT673" s="34">
        <v>0</v>
      </c>
      <c r="AU673" s="34">
        <v>0</v>
      </c>
      <c r="AV673" s="34">
        <v>2.7397260273972601E-2</v>
      </c>
      <c r="AW673" s="10"/>
      <c r="AX673" s="8"/>
    </row>
    <row r="674" spans="1:50">
      <c r="A674" s="7"/>
      <c r="B674" s="10"/>
      <c r="C674" s="45" t="s">
        <v>688</v>
      </c>
      <c r="D674" s="23" t="s">
        <v>21</v>
      </c>
      <c r="E674" s="68" t="s">
        <v>720</v>
      </c>
      <c r="F674" s="68" t="s">
        <v>720</v>
      </c>
      <c r="G674" s="68" t="s">
        <v>720</v>
      </c>
      <c r="H674" s="68" t="s">
        <v>720</v>
      </c>
      <c r="I674" s="25">
        <v>0.9</v>
      </c>
      <c r="J674" s="26">
        <v>0.82758620689655205</v>
      </c>
      <c r="K674" s="26">
        <v>0.74193548387096797</v>
      </c>
      <c r="L674" s="27">
        <v>0.70833333333333304</v>
      </c>
      <c r="M674" s="26">
        <v>0.79393939393939394</v>
      </c>
      <c r="N674" s="28">
        <v>0.9</v>
      </c>
      <c r="O674" s="26">
        <v>0.93021680216802205</v>
      </c>
      <c r="P674" s="26">
        <v>0.92795138888888895</v>
      </c>
      <c r="Q674" s="26">
        <v>0.93305439330543904</v>
      </c>
      <c r="R674" s="26">
        <v>0.92895364579975503</v>
      </c>
      <c r="S674" s="28">
        <v>0.9</v>
      </c>
      <c r="T674" s="26">
        <v>0.90921409214092097</v>
      </c>
      <c r="U674" s="26">
        <v>0.93663194444444398</v>
      </c>
      <c r="V674" s="26">
        <v>0.92887029288702905</v>
      </c>
      <c r="W674" s="26">
        <v>0.91979885242730997</v>
      </c>
      <c r="X674" s="28">
        <v>0.92</v>
      </c>
      <c r="Y674" s="28">
        <v>0.85851648351648302</v>
      </c>
      <c r="Z674" s="28">
        <v>0.90629921259842505</v>
      </c>
      <c r="AA674" s="28">
        <v>0.88260869565217404</v>
      </c>
      <c r="AB674" s="28">
        <v>0.89140572951365804</v>
      </c>
      <c r="AC674" s="28">
        <v>0.92</v>
      </c>
      <c r="AD674" s="26">
        <v>1</v>
      </c>
      <c r="AE674" s="26">
        <v>0.99876084262701403</v>
      </c>
      <c r="AF674" s="26">
        <v>0.99883990719257498</v>
      </c>
      <c r="AG674" s="26">
        <v>0.99924915529971203</v>
      </c>
      <c r="AH674" s="28">
        <v>0.92</v>
      </c>
      <c r="AI674" s="26">
        <v>0.93561532192339003</v>
      </c>
      <c r="AJ674" s="26">
        <v>0.95877378435518001</v>
      </c>
      <c r="AK674" s="26">
        <v>0.94376657824933696</v>
      </c>
      <c r="AL674" s="26">
        <v>0.94805713714913598</v>
      </c>
      <c r="AM674" s="25">
        <v>0.99</v>
      </c>
      <c r="AN674" s="30">
        <v>1</v>
      </c>
      <c r="AO674" s="30">
        <v>1</v>
      </c>
      <c r="AP674" s="30">
        <v>1</v>
      </c>
      <c r="AQ674" s="30">
        <v>1</v>
      </c>
      <c r="AR674" s="50">
        <v>8.1059522893420499E-2</v>
      </c>
      <c r="AS674" s="34">
        <v>0</v>
      </c>
      <c r="AT674" s="34">
        <v>0</v>
      </c>
      <c r="AU674" s="34">
        <v>0</v>
      </c>
      <c r="AV674" s="34">
        <v>-0.04</v>
      </c>
      <c r="AW674" s="10"/>
      <c r="AX674" s="8"/>
    </row>
    <row r="675" spans="1:50">
      <c r="A675" s="7"/>
      <c r="B675" s="10"/>
      <c r="C675" s="45" t="s">
        <v>688</v>
      </c>
      <c r="D675" s="23" t="s">
        <v>21</v>
      </c>
      <c r="E675" s="68" t="s">
        <v>721</v>
      </c>
      <c r="F675" s="68" t="s">
        <v>721</v>
      </c>
      <c r="G675" s="68" t="s">
        <v>721</v>
      </c>
      <c r="H675" s="68" t="s">
        <v>721</v>
      </c>
      <c r="I675" s="25">
        <v>0.9</v>
      </c>
      <c r="J675" s="26">
        <v>0.68421052631578905</v>
      </c>
      <c r="K675" s="26">
        <v>0.89473684210526305</v>
      </c>
      <c r="L675" s="27">
        <v>0.72222222222222199</v>
      </c>
      <c r="M675" s="26">
        <v>0.81415929203539805</v>
      </c>
      <c r="N675" s="28">
        <v>0.9</v>
      </c>
      <c r="O675" s="26">
        <v>0.97880729423361301</v>
      </c>
      <c r="P675" s="26">
        <v>0.98899237933954298</v>
      </c>
      <c r="Q675" s="26">
        <v>0.98081841432225103</v>
      </c>
      <c r="R675" s="26">
        <v>0.98190342240975104</v>
      </c>
      <c r="S675" s="28">
        <v>0.9</v>
      </c>
      <c r="T675" s="26">
        <v>0.93445046821094102</v>
      </c>
      <c r="U675" s="26">
        <v>0.94538526672311596</v>
      </c>
      <c r="V675" s="26">
        <v>0.92455242966751905</v>
      </c>
      <c r="W675" s="26">
        <v>0.94195968120018803</v>
      </c>
      <c r="X675" s="28">
        <v>0.92</v>
      </c>
      <c r="Y675" s="28">
        <v>0.93923611111111105</v>
      </c>
      <c r="Z675" s="28">
        <v>0.93902439024390205</v>
      </c>
      <c r="AA675" s="28">
        <v>0.96199999999999997</v>
      </c>
      <c r="AB675" s="28">
        <v>0.94461538461538497</v>
      </c>
      <c r="AC675" s="28">
        <v>0.92</v>
      </c>
      <c r="AD675" s="26">
        <v>1</v>
      </c>
      <c r="AE675" s="26">
        <v>0.99672667757774103</v>
      </c>
      <c r="AF675" s="26">
        <v>0.96930533117932105</v>
      </c>
      <c r="AG675" s="26">
        <v>0.99320971533037306</v>
      </c>
      <c r="AH675" s="28">
        <v>0.92</v>
      </c>
      <c r="AI675" s="26">
        <v>0.96583493282149702</v>
      </c>
      <c r="AJ675" s="26">
        <v>0.97182235834609498</v>
      </c>
      <c r="AK675" s="26">
        <v>0.97269890795631797</v>
      </c>
      <c r="AL675" s="26">
        <v>0.97118838913636996</v>
      </c>
      <c r="AM675" s="25">
        <v>0.99</v>
      </c>
      <c r="AN675" s="30">
        <v>1</v>
      </c>
      <c r="AO675" s="30">
        <v>1</v>
      </c>
      <c r="AP675" s="30">
        <v>1</v>
      </c>
      <c r="AQ675" s="30">
        <v>1</v>
      </c>
      <c r="AR675" s="50">
        <v>8.1059522893420499E-2</v>
      </c>
      <c r="AS675" s="34">
        <v>0</v>
      </c>
      <c r="AT675" s="34">
        <v>0</v>
      </c>
      <c r="AU675" s="34">
        <v>0</v>
      </c>
      <c r="AV675" s="34">
        <v>0.10344827586206901</v>
      </c>
      <c r="AW675" s="10"/>
      <c r="AX675" s="8"/>
    </row>
    <row r="676" spans="1:50">
      <c r="A676" s="7"/>
      <c r="B676" s="10"/>
      <c r="C676" s="45" t="s">
        <v>688</v>
      </c>
      <c r="D676" s="23" t="s">
        <v>21</v>
      </c>
      <c r="E676" s="68" t="s">
        <v>722</v>
      </c>
      <c r="F676" s="68" t="s">
        <v>722</v>
      </c>
      <c r="G676" s="68" t="s">
        <v>722</v>
      </c>
      <c r="H676" s="68" t="s">
        <v>722</v>
      </c>
      <c r="I676" s="25">
        <v>0.9</v>
      </c>
      <c r="J676" s="26">
        <v>1</v>
      </c>
      <c r="K676" s="26">
        <v>0.95652173913043503</v>
      </c>
      <c r="L676" s="27">
        <v>1</v>
      </c>
      <c r="M676" s="26">
        <v>0.976377952755906</v>
      </c>
      <c r="N676" s="28">
        <v>0.9</v>
      </c>
      <c r="O676" s="26">
        <v>0.99542809642560304</v>
      </c>
      <c r="P676" s="26">
        <v>0.99450348112861897</v>
      </c>
      <c r="Q676" s="26">
        <v>0.99886492622020395</v>
      </c>
      <c r="R676" s="26">
        <v>0.99436872602627902</v>
      </c>
      <c r="S676" s="28">
        <v>0.9</v>
      </c>
      <c r="T676" s="26">
        <v>0.96799667497921904</v>
      </c>
      <c r="U676" s="26">
        <v>0.95932576035177697</v>
      </c>
      <c r="V676" s="26">
        <v>0.96140749148694704</v>
      </c>
      <c r="W676" s="26">
        <v>0.961886884844528</v>
      </c>
      <c r="X676" s="28">
        <v>0.92</v>
      </c>
      <c r="Y676" s="28">
        <v>0.97384615384615403</v>
      </c>
      <c r="Z676" s="28">
        <v>0.980530973451327</v>
      </c>
      <c r="AA676" s="28">
        <v>0.96260162601625998</v>
      </c>
      <c r="AB676" s="28">
        <v>0.97620874904067501</v>
      </c>
      <c r="AC676" s="28">
        <v>0.92</v>
      </c>
      <c r="AD676" s="26">
        <v>0.98601398601398604</v>
      </c>
      <c r="AE676" s="26">
        <v>0.97777777777777797</v>
      </c>
      <c r="AF676" s="26">
        <v>0.99346405228758194</v>
      </c>
      <c r="AG676" s="26">
        <v>0.98895705521472399</v>
      </c>
      <c r="AH676" s="28">
        <v>0.92</v>
      </c>
      <c r="AI676" s="26">
        <v>0.98887434554973797</v>
      </c>
      <c r="AJ676" s="26">
        <v>0.98600673749676104</v>
      </c>
      <c r="AK676" s="26">
        <v>0.98195187165775399</v>
      </c>
      <c r="AL676" s="26">
        <v>0.98774904096027705</v>
      </c>
      <c r="AM676" s="25">
        <v>0.99</v>
      </c>
      <c r="AN676" s="30">
        <v>1</v>
      </c>
      <c r="AO676" s="30">
        <v>1</v>
      </c>
      <c r="AP676" s="30">
        <v>1</v>
      </c>
      <c r="AQ676" s="30">
        <v>1</v>
      </c>
      <c r="AR676" s="50">
        <v>8.1059522893420499E-2</v>
      </c>
      <c r="AS676" s="34">
        <v>0</v>
      </c>
      <c r="AT676" s="34">
        <v>0</v>
      </c>
      <c r="AU676" s="34">
        <v>0</v>
      </c>
      <c r="AV676" s="34">
        <v>0</v>
      </c>
      <c r="AW676" s="10"/>
      <c r="AX676" s="8"/>
    </row>
    <row r="677" spans="1:50">
      <c r="A677" s="7"/>
      <c r="B677" s="10"/>
      <c r="C677" s="45" t="s">
        <v>688</v>
      </c>
      <c r="D677" s="23" t="s">
        <v>21</v>
      </c>
      <c r="E677" s="68" t="s">
        <v>723</v>
      </c>
      <c r="F677" s="68" t="s">
        <v>723</v>
      </c>
      <c r="G677" s="68" t="s">
        <v>723</v>
      </c>
      <c r="H677" s="68" t="s">
        <v>723</v>
      </c>
      <c r="I677" s="25">
        <v>0.9</v>
      </c>
      <c r="J677" s="26">
        <v>0.86419753086419704</v>
      </c>
      <c r="K677" s="26">
        <v>0.85897435897435903</v>
      </c>
      <c r="L677" s="27">
        <v>0.88235294117647101</v>
      </c>
      <c r="M677" s="26">
        <v>0.85185185185185197</v>
      </c>
      <c r="N677" s="28">
        <v>0.9</v>
      </c>
      <c r="O677" s="26">
        <v>0.82512578136911097</v>
      </c>
      <c r="P677" s="26">
        <v>0.56775049767750496</v>
      </c>
      <c r="Q677" s="26">
        <v>0.95602218700475405</v>
      </c>
      <c r="R677" s="26">
        <v>0.83310136859197403</v>
      </c>
      <c r="S677" s="28">
        <v>0.9</v>
      </c>
      <c r="T677" s="26">
        <v>0.93154444275041903</v>
      </c>
      <c r="U677" s="26">
        <v>0.91347047113470503</v>
      </c>
      <c r="V677" s="26">
        <v>0.93621236133121999</v>
      </c>
      <c r="W677" s="26">
        <v>0.928525864068662</v>
      </c>
      <c r="X677" s="28">
        <v>0.92</v>
      </c>
      <c r="Y677" s="28">
        <v>0.903405572755418</v>
      </c>
      <c r="Z677" s="28">
        <v>0.91711051930759002</v>
      </c>
      <c r="AA677" s="28">
        <v>0.92777413000656594</v>
      </c>
      <c r="AB677" s="28">
        <v>0.90638506876227898</v>
      </c>
      <c r="AC677" s="28">
        <v>0.92</v>
      </c>
      <c r="AD677" s="26">
        <v>0.99524564183835196</v>
      </c>
      <c r="AE677" s="26">
        <v>0.996592844974446</v>
      </c>
      <c r="AF677" s="26">
        <v>0.99335989375830003</v>
      </c>
      <c r="AG677" s="26">
        <v>0.99431671402738298</v>
      </c>
      <c r="AH677" s="28">
        <v>0.92</v>
      </c>
      <c r="AI677" s="26">
        <v>0.96355631649749296</v>
      </c>
      <c r="AJ677" s="26">
        <v>0.959958250308378</v>
      </c>
      <c r="AK677" s="26">
        <v>0.95948616600790504</v>
      </c>
      <c r="AL677" s="26">
        <v>0.96105291431641104</v>
      </c>
      <c r="AM677" s="25">
        <v>0.99</v>
      </c>
      <c r="AN677" s="30">
        <v>1</v>
      </c>
      <c r="AO677" s="30">
        <v>1</v>
      </c>
      <c r="AP677" s="30">
        <v>1</v>
      </c>
      <c r="AQ677" s="30">
        <v>1</v>
      </c>
      <c r="AR677" s="50">
        <v>8.1059522893420499E-2</v>
      </c>
      <c r="AS677" s="34">
        <v>0</v>
      </c>
      <c r="AT677" s="34">
        <v>0.115384615384615</v>
      </c>
      <c r="AU677" s="34">
        <v>0.157894736842105</v>
      </c>
      <c r="AV677" s="34">
        <v>7.8947368421052599E-2</v>
      </c>
      <c r="AW677" s="10"/>
      <c r="AX677" s="8"/>
    </row>
    <row r="678" spans="1:50">
      <c r="A678" s="7"/>
      <c r="B678" s="10"/>
      <c r="C678" s="45" t="s">
        <v>688</v>
      </c>
      <c r="D678" s="23" t="s">
        <v>21</v>
      </c>
      <c r="E678" s="68" t="s">
        <v>724</v>
      </c>
      <c r="F678" s="68" t="s">
        <v>724</v>
      </c>
      <c r="G678" s="68" t="s">
        <v>724</v>
      </c>
      <c r="H678" s="68" t="s">
        <v>724</v>
      </c>
      <c r="I678" s="25">
        <v>0.9</v>
      </c>
      <c r="J678" s="26">
        <v>0.75</v>
      </c>
      <c r="K678" s="26">
        <v>0.83333333333333304</v>
      </c>
      <c r="L678" s="27">
        <v>0.91666666666666696</v>
      </c>
      <c r="M678" s="26">
        <v>0.83333333333333304</v>
      </c>
      <c r="N678" s="28">
        <v>0.9</v>
      </c>
      <c r="O678" s="26">
        <v>0.99028400597907296</v>
      </c>
      <c r="P678" s="26">
        <v>0.97998749218261405</v>
      </c>
      <c r="Q678" s="26">
        <v>0.98736462093862798</v>
      </c>
      <c r="R678" s="26">
        <v>0.98474226804123699</v>
      </c>
      <c r="S678" s="28">
        <v>0.9</v>
      </c>
      <c r="T678" s="26">
        <v>0.93198804185351303</v>
      </c>
      <c r="U678" s="26">
        <v>0.93871169480925598</v>
      </c>
      <c r="V678" s="26">
        <v>0.92779783393501802</v>
      </c>
      <c r="W678" s="26">
        <v>0.939381443298969</v>
      </c>
      <c r="X678" s="28">
        <v>0.92</v>
      </c>
      <c r="Y678" s="28">
        <v>0.91719745222929905</v>
      </c>
      <c r="Z678" s="28">
        <v>0.925757575757576</v>
      </c>
      <c r="AA678" s="28">
        <v>0.89032258064516101</v>
      </c>
      <c r="AB678" s="28">
        <v>0.87589285714285703</v>
      </c>
      <c r="AC678" s="28">
        <v>0.92</v>
      </c>
      <c r="AD678" s="26">
        <v>1</v>
      </c>
      <c r="AE678" s="26">
        <v>0.98876404494381998</v>
      </c>
      <c r="AF678" s="26">
        <v>0.98611111111111105</v>
      </c>
      <c r="AG678" s="26">
        <v>0.98886414253897503</v>
      </c>
      <c r="AH678" s="28">
        <v>0.92</v>
      </c>
      <c r="AI678" s="26">
        <v>0.969128329297821</v>
      </c>
      <c r="AJ678" s="26">
        <v>0.968127490039841</v>
      </c>
      <c r="AK678" s="26">
        <v>0.94675925925925897</v>
      </c>
      <c r="AL678" s="26">
        <v>0.95670904696858206</v>
      </c>
      <c r="AM678" s="25">
        <v>0.99</v>
      </c>
      <c r="AN678" s="30">
        <v>1</v>
      </c>
      <c r="AO678" s="30">
        <v>1</v>
      </c>
      <c r="AP678" s="30">
        <v>1</v>
      </c>
      <c r="AQ678" s="30">
        <v>1</v>
      </c>
      <c r="AR678" s="50">
        <v>8.1059522893420499E-2</v>
      </c>
      <c r="AS678" s="34">
        <v>0</v>
      </c>
      <c r="AT678" s="34">
        <v>0</v>
      </c>
      <c r="AU678" s="34">
        <v>0</v>
      </c>
      <c r="AV678" s="34">
        <v>0</v>
      </c>
      <c r="AW678" s="10"/>
      <c r="AX678" s="8"/>
    </row>
    <row r="679" spans="1:50">
      <c r="A679" s="7"/>
      <c r="B679" s="10"/>
      <c r="C679" s="45" t="s">
        <v>688</v>
      </c>
      <c r="D679" s="23" t="s">
        <v>21</v>
      </c>
      <c r="E679" s="68" t="s">
        <v>725</v>
      </c>
      <c r="F679" s="68" t="s">
        <v>725</v>
      </c>
      <c r="G679" s="68" t="s">
        <v>725</v>
      </c>
      <c r="H679" s="68" t="s">
        <v>725</v>
      </c>
      <c r="I679" s="25">
        <v>0.9</v>
      </c>
      <c r="J679" s="26">
        <v>0.81818181818181801</v>
      </c>
      <c r="K679" s="26">
        <v>0.79166666666666696</v>
      </c>
      <c r="L679" s="27">
        <v>0.84210526315789502</v>
      </c>
      <c r="M679" s="26">
        <v>0.81954887218045103</v>
      </c>
      <c r="N679" s="28">
        <v>0.9</v>
      </c>
      <c r="O679" s="26">
        <v>0.93044408774745901</v>
      </c>
      <c r="P679" s="26">
        <v>0.83179723502304104</v>
      </c>
      <c r="Q679" s="26">
        <v>0.95633802816901403</v>
      </c>
      <c r="R679" s="26">
        <v>0.88929560743965197</v>
      </c>
      <c r="S679" s="28">
        <v>0.9</v>
      </c>
      <c r="T679" s="26">
        <v>0.89620117710005398</v>
      </c>
      <c r="U679" s="26">
        <v>0.90783410138248799</v>
      </c>
      <c r="V679" s="26">
        <v>0.84788732394366195</v>
      </c>
      <c r="W679" s="26">
        <v>0.89740799366838198</v>
      </c>
      <c r="X679" s="28">
        <v>0.92</v>
      </c>
      <c r="Y679" s="28">
        <v>0.88867562380038401</v>
      </c>
      <c r="Z679" s="28">
        <v>0.891774891774892</v>
      </c>
      <c r="AA679" s="28">
        <v>0.83966244725738404</v>
      </c>
      <c r="AB679" s="28">
        <v>0.88015218769816095</v>
      </c>
      <c r="AC679" s="28">
        <v>0.92</v>
      </c>
      <c r="AD679" s="26">
        <v>0.97222222222222199</v>
      </c>
      <c r="AE679" s="26">
        <v>1</v>
      </c>
      <c r="AF679" s="26">
        <v>0.96666666666666701</v>
      </c>
      <c r="AG679" s="26">
        <v>0.97129186602870798</v>
      </c>
      <c r="AH679" s="28">
        <v>0.92</v>
      </c>
      <c r="AI679" s="26">
        <v>0.93517356754495995</v>
      </c>
      <c r="AJ679" s="26">
        <v>0.92921784098254701</v>
      </c>
      <c r="AK679" s="26">
        <v>0.88682432432432401</v>
      </c>
      <c r="AL679" s="26">
        <v>0.93199125386413295</v>
      </c>
      <c r="AM679" s="25">
        <v>0.99</v>
      </c>
      <c r="AN679" s="30">
        <v>1</v>
      </c>
      <c r="AO679" s="30">
        <v>1</v>
      </c>
      <c r="AP679" s="30">
        <v>1</v>
      </c>
      <c r="AQ679" s="30">
        <v>1</v>
      </c>
      <c r="AR679" s="50">
        <v>8.1059522893420499E-2</v>
      </c>
      <c r="AS679" s="34">
        <v>0</v>
      </c>
      <c r="AT679" s="34">
        <v>0.1</v>
      </c>
      <c r="AU679" s="34">
        <v>0</v>
      </c>
      <c r="AV679" s="34">
        <v>7.1428571428571397E-2</v>
      </c>
      <c r="AW679" s="10"/>
      <c r="AX679" s="8"/>
    </row>
    <row r="680" spans="1:50">
      <c r="A680" s="7"/>
      <c r="B680" s="10"/>
      <c r="C680" s="45" t="s">
        <v>688</v>
      </c>
      <c r="D680" s="23" t="s">
        <v>21</v>
      </c>
      <c r="E680" s="68" t="s">
        <v>726</v>
      </c>
      <c r="F680" s="68" t="s">
        <v>726</v>
      </c>
      <c r="G680" s="68" t="s">
        <v>726</v>
      </c>
      <c r="H680" s="68" t="s">
        <v>726</v>
      </c>
      <c r="I680" s="25">
        <v>0.9</v>
      </c>
      <c r="J680" s="26">
        <v>0.94117647058823495</v>
      </c>
      <c r="K680" s="26">
        <v>0.94117647058823495</v>
      </c>
      <c r="L680" s="27">
        <v>0.875</v>
      </c>
      <c r="M680" s="26">
        <v>0.93467336683417102</v>
      </c>
      <c r="N680" s="28">
        <v>0.9</v>
      </c>
      <c r="O680" s="26">
        <v>0.96945088940448598</v>
      </c>
      <c r="P680" s="26">
        <v>0.984375</v>
      </c>
      <c r="Q680" s="26">
        <v>0.97737162750217599</v>
      </c>
      <c r="R680" s="26">
        <v>0.97294913260805604</v>
      </c>
      <c r="S680" s="28">
        <v>0.9</v>
      </c>
      <c r="T680" s="26">
        <v>0.93542150038669802</v>
      </c>
      <c r="U680" s="26">
        <v>0.93960336538461497</v>
      </c>
      <c r="V680" s="26">
        <v>0.936466492602263</v>
      </c>
      <c r="W680" s="26">
        <v>0.93641576007056704</v>
      </c>
      <c r="X680" s="28">
        <v>0.92</v>
      </c>
      <c r="Y680" s="28">
        <v>0.91013071895424802</v>
      </c>
      <c r="Z680" s="28">
        <v>0.93444909344490901</v>
      </c>
      <c r="AA680" s="28">
        <v>0.93522267206477705</v>
      </c>
      <c r="AB680" s="28">
        <v>0.92803468208092499</v>
      </c>
      <c r="AC680" s="28">
        <v>0.92</v>
      </c>
      <c r="AD680" s="26">
        <v>1</v>
      </c>
      <c r="AE680" s="26">
        <v>1</v>
      </c>
      <c r="AF680" s="26">
        <v>1</v>
      </c>
      <c r="AG680" s="26">
        <v>0.99379363847944102</v>
      </c>
      <c r="AH680" s="28">
        <v>0.92</v>
      </c>
      <c r="AI680" s="26">
        <v>0.955923726164426</v>
      </c>
      <c r="AJ680" s="26">
        <v>0.96415327564894904</v>
      </c>
      <c r="AK680" s="26">
        <v>0.95291005291005304</v>
      </c>
      <c r="AL680" s="26">
        <v>0.957925578669792</v>
      </c>
      <c r="AM680" s="25">
        <v>0.99</v>
      </c>
      <c r="AN680" s="30">
        <v>1</v>
      </c>
      <c r="AO680" s="30">
        <v>1</v>
      </c>
      <c r="AP680" s="30">
        <v>1</v>
      </c>
      <c r="AQ680" s="30">
        <v>1</v>
      </c>
      <c r="AR680" s="50">
        <v>8.1059522893420499E-2</v>
      </c>
      <c r="AS680" s="34">
        <v>0</v>
      </c>
      <c r="AT680" s="34">
        <v>0</v>
      </c>
      <c r="AU680" s="34">
        <v>0.28571428571428598</v>
      </c>
      <c r="AV680" s="34">
        <v>0.10294117647058799</v>
      </c>
      <c r="AW680" s="10"/>
      <c r="AX680" s="8"/>
    </row>
    <row r="681" spans="1:50">
      <c r="A681" s="7"/>
      <c r="B681" s="10"/>
      <c r="C681" s="45" t="s">
        <v>688</v>
      </c>
      <c r="D681" s="23" t="s">
        <v>21</v>
      </c>
      <c r="E681" s="68" t="s">
        <v>727</v>
      </c>
      <c r="F681" s="68" t="s">
        <v>727</v>
      </c>
      <c r="G681" s="68" t="s">
        <v>727</v>
      </c>
      <c r="H681" s="68" t="s">
        <v>727</v>
      </c>
      <c r="I681" s="25">
        <v>0.9</v>
      </c>
      <c r="J681" s="26">
        <v>0.85714285714285698</v>
      </c>
      <c r="K681" s="26">
        <v>0.80952380952380998</v>
      </c>
      <c r="L681" s="27">
        <v>0.85714285714285698</v>
      </c>
      <c r="M681" s="26">
        <v>0.86065573770491799</v>
      </c>
      <c r="N681" s="28">
        <v>0.9</v>
      </c>
      <c r="O681" s="26">
        <v>0.97356051703877799</v>
      </c>
      <c r="P681" s="26">
        <v>0.96594982078852998</v>
      </c>
      <c r="Q681" s="26">
        <v>0.94722222222222197</v>
      </c>
      <c r="R681" s="26">
        <v>0.97165633303808696</v>
      </c>
      <c r="S681" s="28">
        <v>0.9</v>
      </c>
      <c r="T681" s="26">
        <v>0.92596944770857803</v>
      </c>
      <c r="U681" s="26">
        <v>0.94130824372759903</v>
      </c>
      <c r="V681" s="26">
        <v>0.91805555555555596</v>
      </c>
      <c r="W681" s="26">
        <v>0.93888396811337504</v>
      </c>
      <c r="X681" s="28">
        <v>0.92</v>
      </c>
      <c r="Y681" s="28">
        <v>0.93446601941747598</v>
      </c>
      <c r="Z681" s="28">
        <v>0.94194756554307102</v>
      </c>
      <c r="AA681" s="28">
        <v>0.94456289978677999</v>
      </c>
      <c r="AB681" s="28">
        <v>0.93677685950413203</v>
      </c>
      <c r="AC681" s="28">
        <v>0.92</v>
      </c>
      <c r="AD681" s="26">
        <v>0.99794661190965095</v>
      </c>
      <c r="AE681" s="26">
        <v>0.99675850891410001</v>
      </c>
      <c r="AF681" s="26">
        <v>0.99671052631578905</v>
      </c>
      <c r="AG681" s="26">
        <v>0.99819981998199803</v>
      </c>
      <c r="AH681" s="28">
        <v>0.92</v>
      </c>
      <c r="AI681" s="26">
        <v>0.95506149479659397</v>
      </c>
      <c r="AJ681" s="26">
        <v>0.96420824295010799</v>
      </c>
      <c r="AK681" s="26">
        <v>0.94449116904962105</v>
      </c>
      <c r="AL681" s="26">
        <v>0.95974853750109101</v>
      </c>
      <c r="AM681" s="25">
        <v>0.99</v>
      </c>
      <c r="AN681" s="30">
        <v>1</v>
      </c>
      <c r="AO681" s="30">
        <v>1</v>
      </c>
      <c r="AP681" s="30">
        <v>1</v>
      </c>
      <c r="AQ681" s="30">
        <v>1</v>
      </c>
      <c r="AR681" s="50">
        <v>8.1059522893420499E-2</v>
      </c>
      <c r="AS681" s="34">
        <v>8.3333333333333301E-2</v>
      </c>
      <c r="AT681" s="34">
        <v>0</v>
      </c>
      <c r="AU681" s="34">
        <v>0.75</v>
      </c>
      <c r="AV681" s="34">
        <v>5.1282051282051301E-2</v>
      </c>
      <c r="AW681" s="10"/>
      <c r="AX681" s="8"/>
    </row>
    <row r="682" spans="1:50">
      <c r="A682" s="7"/>
      <c r="B682" s="10"/>
      <c r="C682" s="45" t="s">
        <v>688</v>
      </c>
      <c r="D682" s="23" t="s">
        <v>21</v>
      </c>
      <c r="E682" s="68" t="s">
        <v>728</v>
      </c>
      <c r="F682" s="68" t="s">
        <v>728</v>
      </c>
      <c r="G682" s="68" t="s">
        <v>728</v>
      </c>
      <c r="H682" s="68" t="s">
        <v>728</v>
      </c>
      <c r="I682" s="25">
        <v>0.9</v>
      </c>
      <c r="J682" s="26">
        <v>0.90909090909090895</v>
      </c>
      <c r="K682" s="26">
        <v>0.96875</v>
      </c>
      <c r="L682" s="27">
        <v>0.96296296296296302</v>
      </c>
      <c r="M682" s="26">
        <v>0.91712707182320397</v>
      </c>
      <c r="N682" s="28">
        <v>0.9</v>
      </c>
      <c r="O682" s="26">
        <v>0.95117445236210096</v>
      </c>
      <c r="P682" s="26">
        <v>0.94559929234851803</v>
      </c>
      <c r="Q682" s="26">
        <v>0.933463796477495</v>
      </c>
      <c r="R682" s="26">
        <v>0.94807520143240798</v>
      </c>
      <c r="S682" s="28">
        <v>0.9</v>
      </c>
      <c r="T682" s="26">
        <v>0.91660068619688595</v>
      </c>
      <c r="U682" s="26">
        <v>0.92149491375497605</v>
      </c>
      <c r="V682" s="26">
        <v>0.92367906066536198</v>
      </c>
      <c r="W682" s="26">
        <v>0.92269208489125298</v>
      </c>
      <c r="X682" s="28">
        <v>0.92</v>
      </c>
      <c r="Y682" s="28">
        <v>0.94382022471910099</v>
      </c>
      <c r="Z682" s="28">
        <v>0.93097014925373101</v>
      </c>
      <c r="AA682" s="28">
        <v>0.920220082530949</v>
      </c>
      <c r="AB682" s="28">
        <v>0.93334865548149804</v>
      </c>
      <c r="AC682" s="28">
        <v>0.92</v>
      </c>
      <c r="AD682" s="26">
        <v>0.99571734475374696</v>
      </c>
      <c r="AE682" s="26">
        <v>0.98564593301435399</v>
      </c>
      <c r="AF682" s="26">
        <v>0.98641304347826098</v>
      </c>
      <c r="AG682" s="26">
        <v>0.99172870140612102</v>
      </c>
      <c r="AH682" s="28">
        <v>0.92</v>
      </c>
      <c r="AI682" s="26">
        <v>0.95294117647058796</v>
      </c>
      <c r="AJ682" s="26">
        <v>0.95280657847693995</v>
      </c>
      <c r="AK682" s="26">
        <v>0.94076038903625103</v>
      </c>
      <c r="AL682" s="26">
        <v>0.95515099593060604</v>
      </c>
      <c r="AM682" s="25">
        <v>0.99</v>
      </c>
      <c r="AN682" s="30">
        <v>1</v>
      </c>
      <c r="AO682" s="30">
        <v>1</v>
      </c>
      <c r="AP682" s="30">
        <v>1</v>
      </c>
      <c r="AQ682" s="30">
        <v>1</v>
      </c>
      <c r="AR682" s="50">
        <v>8.1059522893420499E-2</v>
      </c>
      <c r="AS682" s="34">
        <v>7.1428571428571397E-2</v>
      </c>
      <c r="AT682" s="34">
        <v>5.2631578947368397E-2</v>
      </c>
      <c r="AU682" s="34">
        <v>0</v>
      </c>
      <c r="AV682" s="34">
        <v>0.05</v>
      </c>
      <c r="AW682" s="10"/>
      <c r="AX682" s="8"/>
    </row>
    <row r="683" spans="1:50">
      <c r="A683" s="7"/>
      <c r="B683" s="10"/>
      <c r="C683" s="45" t="s">
        <v>688</v>
      </c>
      <c r="D683" s="23" t="s">
        <v>21</v>
      </c>
      <c r="E683" s="68" t="s">
        <v>729</v>
      </c>
      <c r="F683" s="68" t="s">
        <v>729</v>
      </c>
      <c r="G683" s="68" t="s">
        <v>729</v>
      </c>
      <c r="H683" s="68" t="s">
        <v>729</v>
      </c>
      <c r="I683" s="25">
        <v>0.9</v>
      </c>
      <c r="J683" s="26">
        <v>1</v>
      </c>
      <c r="K683" s="26">
        <v>1</v>
      </c>
      <c r="L683" s="27">
        <v>1</v>
      </c>
      <c r="M683" s="26">
        <v>0.95774647887323905</v>
      </c>
      <c r="N683" s="28">
        <v>0.9</v>
      </c>
      <c r="O683" s="26">
        <v>0.89536878216123506</v>
      </c>
      <c r="P683" s="26">
        <v>0.94155381325730603</v>
      </c>
      <c r="Q683" s="26">
        <v>0.95267489711934195</v>
      </c>
      <c r="R683" s="26">
        <v>0.93132900580799405</v>
      </c>
      <c r="S683" s="28">
        <v>0.9</v>
      </c>
      <c r="T683" s="26">
        <v>0.92409948542024001</v>
      </c>
      <c r="U683" s="26">
        <v>0.91197434069850303</v>
      </c>
      <c r="V683" s="26">
        <v>0.92592592592592604</v>
      </c>
      <c r="W683" s="26">
        <v>0.91646737273658996</v>
      </c>
      <c r="X683" s="28">
        <v>0.92</v>
      </c>
      <c r="Y683" s="28">
        <v>0.92096219931271495</v>
      </c>
      <c r="Z683" s="28">
        <v>0.91930835734870298</v>
      </c>
      <c r="AA683" s="28">
        <v>0.91097922848664703</v>
      </c>
      <c r="AB683" s="28">
        <v>0.90984921398780905</v>
      </c>
      <c r="AC683" s="28">
        <v>0.92</v>
      </c>
      <c r="AD683" s="26">
        <v>1</v>
      </c>
      <c r="AE683" s="26">
        <v>0.99285714285714299</v>
      </c>
      <c r="AF683" s="26">
        <v>0.99590163934426201</v>
      </c>
      <c r="AG683" s="26">
        <v>0.99599839935974399</v>
      </c>
      <c r="AH683" s="28">
        <v>0.92</v>
      </c>
      <c r="AI683" s="26">
        <v>0.95607412491420696</v>
      </c>
      <c r="AJ683" s="26">
        <v>0.95171428571428596</v>
      </c>
      <c r="AK683" s="26">
        <v>0.93803159173754602</v>
      </c>
      <c r="AL683" s="26">
        <v>0.94994940978077602</v>
      </c>
      <c r="AM683" s="25">
        <v>0.99</v>
      </c>
      <c r="AN683" s="30">
        <v>1</v>
      </c>
      <c r="AO683" s="30">
        <v>1</v>
      </c>
      <c r="AP683" s="30">
        <v>1</v>
      </c>
      <c r="AQ683" s="30">
        <v>1</v>
      </c>
      <c r="AR683" s="50">
        <v>8.1059522893420499E-2</v>
      </c>
      <c r="AS683" s="34">
        <v>0</v>
      </c>
      <c r="AT683" s="34">
        <v>5.2631578947368397E-2</v>
      </c>
      <c r="AU683" s="34">
        <v>0.14285714285714299</v>
      </c>
      <c r="AV683" s="34">
        <v>6.15384615384615E-2</v>
      </c>
      <c r="AW683" s="10"/>
      <c r="AX683" s="8"/>
    </row>
    <row r="684" spans="1:50">
      <c r="A684" s="7"/>
      <c r="B684" s="10"/>
      <c r="C684" s="45" t="s">
        <v>688</v>
      </c>
      <c r="D684" s="23" t="s">
        <v>21</v>
      </c>
      <c r="E684" s="68" t="s">
        <v>730</v>
      </c>
      <c r="F684" s="68" t="s">
        <v>730</v>
      </c>
      <c r="G684" s="68" t="s">
        <v>730</v>
      </c>
      <c r="H684" s="68" t="s">
        <v>730</v>
      </c>
      <c r="I684" s="25">
        <v>0.9</v>
      </c>
      <c r="J684" s="26">
        <v>0.90625</v>
      </c>
      <c r="K684" s="26">
        <v>0.96875</v>
      </c>
      <c r="L684" s="27">
        <v>0.89655172413793105</v>
      </c>
      <c r="M684" s="26">
        <v>0.89714285714285702</v>
      </c>
      <c r="N684" s="28">
        <v>0.9</v>
      </c>
      <c r="O684" s="26">
        <v>0.92400917130691096</v>
      </c>
      <c r="P684" s="26">
        <v>0.85901467505241103</v>
      </c>
      <c r="Q684" s="26">
        <v>0.96350931677018603</v>
      </c>
      <c r="R684" s="26">
        <v>0.90947816826411099</v>
      </c>
      <c r="S684" s="28">
        <v>0.9</v>
      </c>
      <c r="T684" s="26">
        <v>0.923026531280708</v>
      </c>
      <c r="U684" s="26">
        <v>0.923218029350105</v>
      </c>
      <c r="V684" s="26">
        <v>0.93633540372670798</v>
      </c>
      <c r="W684" s="26">
        <v>0.93556975505857298</v>
      </c>
      <c r="X684" s="28">
        <v>0.92</v>
      </c>
      <c r="Y684" s="28">
        <v>0.93294460641399402</v>
      </c>
      <c r="Z684" s="28">
        <v>0.93087557603686599</v>
      </c>
      <c r="AA684" s="28">
        <v>0.918604651162791</v>
      </c>
      <c r="AB684" s="28">
        <v>0.93338399189462995</v>
      </c>
      <c r="AC684" s="28">
        <v>0.92</v>
      </c>
      <c r="AD684" s="26">
        <v>0.99841521394611699</v>
      </c>
      <c r="AE684" s="26">
        <v>0.995215311004785</v>
      </c>
      <c r="AF684" s="26">
        <v>0.99841269841269797</v>
      </c>
      <c r="AG684" s="26">
        <v>0.99734042553191504</v>
      </c>
      <c r="AH684" s="28">
        <v>0.92</v>
      </c>
      <c r="AI684" s="26">
        <v>0.95026737967914399</v>
      </c>
      <c r="AJ684" s="26">
        <v>0.95004269854824897</v>
      </c>
      <c r="AK684" s="26">
        <v>0.94599627560521404</v>
      </c>
      <c r="AL684" s="26">
        <v>0.95667755876462501</v>
      </c>
      <c r="AM684" s="25">
        <v>0.99</v>
      </c>
      <c r="AN684" s="30">
        <v>1</v>
      </c>
      <c r="AO684" s="30">
        <v>1</v>
      </c>
      <c r="AP684" s="30">
        <v>1</v>
      </c>
      <c r="AQ684" s="30">
        <v>1</v>
      </c>
      <c r="AR684" s="50">
        <v>8.1059522893420499E-2</v>
      </c>
      <c r="AS684" s="34">
        <v>0</v>
      </c>
      <c r="AT684" s="34">
        <v>6.6666666666666693E-2</v>
      </c>
      <c r="AU684" s="34">
        <v>0</v>
      </c>
      <c r="AV684" s="34">
        <v>4.1666666666666699E-2</v>
      </c>
      <c r="AW684" s="10"/>
      <c r="AX684" s="8"/>
    </row>
    <row r="685" spans="1:50">
      <c r="A685" s="7"/>
      <c r="B685" s="10"/>
      <c r="C685" s="45" t="s">
        <v>688</v>
      </c>
      <c r="D685" s="23" t="s">
        <v>21</v>
      </c>
      <c r="E685" s="68" t="s">
        <v>731</v>
      </c>
      <c r="F685" s="68" t="s">
        <v>731</v>
      </c>
      <c r="G685" s="68" t="s">
        <v>731</v>
      </c>
      <c r="H685" s="68" t="s">
        <v>731</v>
      </c>
      <c r="I685" s="25">
        <v>0.9</v>
      </c>
      <c r="J685" s="26">
        <v>1</v>
      </c>
      <c r="K685" s="26">
        <v>1</v>
      </c>
      <c r="L685" s="27">
        <v>0.94444444444444398</v>
      </c>
      <c r="M685" s="26">
        <v>0.96581196581196604</v>
      </c>
      <c r="N685" s="28">
        <v>0.9</v>
      </c>
      <c r="O685" s="26">
        <v>0.97341628959276005</v>
      </c>
      <c r="P685" s="26">
        <v>0.95814781834372198</v>
      </c>
      <c r="Q685" s="26">
        <v>0.98558322411533394</v>
      </c>
      <c r="R685" s="26">
        <v>0.97587532023911205</v>
      </c>
      <c r="S685" s="28">
        <v>0.9</v>
      </c>
      <c r="T685" s="26">
        <v>0.95927601809954799</v>
      </c>
      <c r="U685" s="26">
        <v>0.95903829029385601</v>
      </c>
      <c r="V685" s="26">
        <v>0.95543905635648796</v>
      </c>
      <c r="W685" s="26">
        <v>0.95612724167378305</v>
      </c>
      <c r="X685" s="28">
        <v>0.92</v>
      </c>
      <c r="Y685" s="28">
        <v>0.86986301369862995</v>
      </c>
      <c r="Z685" s="28">
        <v>0.86259541984732802</v>
      </c>
      <c r="AA685" s="28">
        <v>0.91570881226053602</v>
      </c>
      <c r="AB685" s="28">
        <v>0.87412587412587395</v>
      </c>
      <c r="AC685" s="28">
        <v>0.92</v>
      </c>
      <c r="AD685" s="26">
        <v>0.99595141700404899</v>
      </c>
      <c r="AE685" s="26">
        <v>0.99572649572649596</v>
      </c>
      <c r="AF685" s="26">
        <v>0.99595141700404899</v>
      </c>
      <c r="AG685" s="26">
        <v>0.99503193754435804</v>
      </c>
      <c r="AH685" s="28">
        <v>0.92</v>
      </c>
      <c r="AI685" s="26">
        <v>0.95602901178603805</v>
      </c>
      <c r="AJ685" s="26">
        <v>0.95740072202166104</v>
      </c>
      <c r="AK685" s="26">
        <v>0.95175097276264597</v>
      </c>
      <c r="AL685" s="26">
        <v>0.95406390372065397</v>
      </c>
      <c r="AM685" s="25">
        <v>0.99</v>
      </c>
      <c r="AN685" s="30">
        <v>1</v>
      </c>
      <c r="AO685" s="30">
        <v>1</v>
      </c>
      <c r="AP685" s="30">
        <v>1</v>
      </c>
      <c r="AQ685" s="30">
        <v>1</v>
      </c>
      <c r="AR685" s="50">
        <v>8.1059522893420499E-2</v>
      </c>
      <c r="AS685" s="34">
        <v>-7.1428571428571397E-2</v>
      </c>
      <c r="AT685" s="34">
        <v>0</v>
      </c>
      <c r="AU685" s="34">
        <v>0</v>
      </c>
      <c r="AV685" s="34">
        <v>3.1746031746031703E-2</v>
      </c>
      <c r="AW685" s="10"/>
      <c r="AX685" s="8"/>
    </row>
    <row r="686" spans="1:50">
      <c r="A686" s="7"/>
      <c r="B686" s="10"/>
      <c r="C686" s="45" t="s">
        <v>688</v>
      </c>
      <c r="D686" s="23" t="s">
        <v>21</v>
      </c>
      <c r="E686" s="68" t="s">
        <v>732</v>
      </c>
      <c r="F686" s="68" t="s">
        <v>732</v>
      </c>
      <c r="G686" s="68" t="s">
        <v>732</v>
      </c>
      <c r="H686" s="68" t="s">
        <v>732</v>
      </c>
      <c r="I686" s="25">
        <v>0.9</v>
      </c>
      <c r="J686" s="26">
        <v>0.92857142857142905</v>
      </c>
      <c r="K686" s="26">
        <v>0.92857142857142905</v>
      </c>
      <c r="L686" s="27">
        <v>0.92105263157894701</v>
      </c>
      <c r="M686" s="26">
        <v>0.89495798319327702</v>
      </c>
      <c r="N686" s="28">
        <v>0.9</v>
      </c>
      <c r="O686" s="26">
        <v>0.97247480953551202</v>
      </c>
      <c r="P686" s="26">
        <v>0.95185110256928995</v>
      </c>
      <c r="Q686" s="26">
        <v>0.94021101992966005</v>
      </c>
      <c r="R686" s="26">
        <v>0.945488099181375</v>
      </c>
      <c r="S686" s="28">
        <v>0.9</v>
      </c>
      <c r="T686" s="26">
        <v>0.94863602850823303</v>
      </c>
      <c r="U686" s="26">
        <v>0.92838357272911198</v>
      </c>
      <c r="V686" s="26">
        <v>0.934349355216882</v>
      </c>
      <c r="W686" s="26">
        <v>0.93072445937633097</v>
      </c>
      <c r="X686" s="28">
        <v>0.92</v>
      </c>
      <c r="Y686" s="28">
        <v>0.94184576485461402</v>
      </c>
      <c r="Z686" s="28">
        <v>0.93439716312056698</v>
      </c>
      <c r="AA686" s="28">
        <v>0.93147502903600499</v>
      </c>
      <c r="AB686" s="28">
        <v>0.92832980972515899</v>
      </c>
      <c r="AC686" s="28">
        <v>0.92</v>
      </c>
      <c r="AD686" s="26">
        <v>0.99803407601572702</v>
      </c>
      <c r="AE686" s="26">
        <v>0.99585921325051796</v>
      </c>
      <c r="AF686" s="26">
        <v>0.99805447470817099</v>
      </c>
      <c r="AG686" s="26">
        <v>0.99780195625892998</v>
      </c>
      <c r="AH686" s="28">
        <v>0.92</v>
      </c>
      <c r="AI686" s="26">
        <v>0.96399176954732502</v>
      </c>
      <c r="AJ686" s="26">
        <v>0.95585570746170301</v>
      </c>
      <c r="AK686" s="26">
        <v>0.94779898714452704</v>
      </c>
      <c r="AL686" s="26">
        <v>0.95267370374666505</v>
      </c>
      <c r="AM686" s="25">
        <v>0.99</v>
      </c>
      <c r="AN686" s="30">
        <v>1</v>
      </c>
      <c r="AO686" s="30">
        <v>1</v>
      </c>
      <c r="AP686" s="30">
        <v>1</v>
      </c>
      <c r="AQ686" s="30">
        <v>1</v>
      </c>
      <c r="AR686" s="50">
        <v>8.1059522893420499E-2</v>
      </c>
      <c r="AS686" s="34">
        <v>9.5238095238095205E-2</v>
      </c>
      <c r="AT686" s="34">
        <v>0</v>
      </c>
      <c r="AU686" s="34">
        <v>0.15384615384615399</v>
      </c>
      <c r="AV686" s="34">
        <v>6.6666666666666693E-2</v>
      </c>
      <c r="AW686" s="10"/>
      <c r="AX686" s="8"/>
    </row>
    <row r="687" spans="1:50">
      <c r="A687" s="7"/>
      <c r="B687" s="10"/>
      <c r="C687" s="45" t="s">
        <v>688</v>
      </c>
      <c r="D687" s="23" t="s">
        <v>21</v>
      </c>
      <c r="E687" s="68" t="s">
        <v>733</v>
      </c>
      <c r="F687" s="68" t="s">
        <v>733</v>
      </c>
      <c r="G687" s="68" t="s">
        <v>733</v>
      </c>
      <c r="H687" s="68" t="s">
        <v>733</v>
      </c>
      <c r="I687" s="25">
        <v>0.9</v>
      </c>
      <c r="J687" s="26">
        <v>1</v>
      </c>
      <c r="K687" s="26">
        <v>1</v>
      </c>
      <c r="L687" s="27">
        <v>1</v>
      </c>
      <c r="M687" s="26">
        <v>1</v>
      </c>
      <c r="N687" s="28">
        <v>0.9</v>
      </c>
      <c r="O687" s="26">
        <v>0.968987534204926</v>
      </c>
      <c r="P687" s="26">
        <v>0.96948841477403103</v>
      </c>
      <c r="Q687" s="26">
        <v>0.975873015873016</v>
      </c>
      <c r="R687" s="26">
        <v>0.96882533420994998</v>
      </c>
      <c r="S687" s="28">
        <v>0.9</v>
      </c>
      <c r="T687" s="26">
        <v>0.93858315597445996</v>
      </c>
      <c r="U687" s="26">
        <v>0.94930029823354001</v>
      </c>
      <c r="V687" s="26">
        <v>0.94476190476190502</v>
      </c>
      <c r="W687" s="26">
        <v>0.94356782818321305</v>
      </c>
      <c r="X687" s="28">
        <v>0.92</v>
      </c>
      <c r="Y687" s="28">
        <v>0.95664739884393102</v>
      </c>
      <c r="Z687" s="28">
        <v>0.95987654320987703</v>
      </c>
      <c r="AA687" s="28">
        <v>0.95539906103286398</v>
      </c>
      <c r="AB687" s="28">
        <v>0.95617152333570199</v>
      </c>
      <c r="AC687" s="28">
        <v>0.92</v>
      </c>
      <c r="AD687" s="26">
        <v>1</v>
      </c>
      <c r="AE687" s="26">
        <v>0.98206278026905802</v>
      </c>
      <c r="AF687" s="26">
        <v>0.98870056497175096</v>
      </c>
      <c r="AG687" s="26">
        <v>0.993392070484581</v>
      </c>
      <c r="AH687" s="28">
        <v>0.92</v>
      </c>
      <c r="AI687" s="26">
        <v>0.96734488821903997</v>
      </c>
      <c r="AJ687" s="26">
        <v>0.97336334646407796</v>
      </c>
      <c r="AK687" s="26">
        <v>0.96497733827770904</v>
      </c>
      <c r="AL687" s="26">
        <v>0.96938684702322697</v>
      </c>
      <c r="AM687" s="25">
        <v>0.99</v>
      </c>
      <c r="AN687" s="30">
        <v>1</v>
      </c>
      <c r="AO687" s="30">
        <v>1</v>
      </c>
      <c r="AP687" s="30">
        <v>1</v>
      </c>
      <c r="AQ687" s="30">
        <v>1</v>
      </c>
      <c r="AR687" s="50">
        <v>8.1059522893420499E-2</v>
      </c>
      <c r="AS687" s="34">
        <v>0</v>
      </c>
      <c r="AT687" s="34">
        <v>0</v>
      </c>
      <c r="AU687" s="34">
        <v>0</v>
      </c>
      <c r="AV687" s="34">
        <v>0</v>
      </c>
      <c r="AW687" s="10"/>
      <c r="AX687" s="8"/>
    </row>
    <row r="688" spans="1:50">
      <c r="A688" s="7"/>
      <c r="B688" s="10"/>
      <c r="C688" s="45" t="s">
        <v>688</v>
      </c>
      <c r="D688" s="23" t="s">
        <v>21</v>
      </c>
      <c r="E688" s="68" t="s">
        <v>734</v>
      </c>
      <c r="F688" s="68" t="s">
        <v>734</v>
      </c>
      <c r="G688" s="68" t="s">
        <v>734</v>
      </c>
      <c r="H688" s="68" t="s">
        <v>734</v>
      </c>
      <c r="I688" s="25">
        <v>0.9</v>
      </c>
      <c r="J688" s="26">
        <v>1</v>
      </c>
      <c r="K688" s="26">
        <v>0.97014925373134298</v>
      </c>
      <c r="L688" s="27">
        <v>0.96551724137931005</v>
      </c>
      <c r="M688" s="26">
        <v>0.962666666666667</v>
      </c>
      <c r="N688" s="28">
        <v>0.9</v>
      </c>
      <c r="O688" s="26">
        <v>0.95034116755117504</v>
      </c>
      <c r="P688" s="26">
        <v>0.97186534395836699</v>
      </c>
      <c r="Q688" s="26">
        <v>0.94843462246777199</v>
      </c>
      <c r="R688" s="26">
        <v>0.95967988972277496</v>
      </c>
      <c r="S688" s="28">
        <v>0.9</v>
      </c>
      <c r="T688" s="26">
        <v>0.93669446550417002</v>
      </c>
      <c r="U688" s="26">
        <v>0.93120832655716401</v>
      </c>
      <c r="V688" s="26">
        <v>0.92725598526703501</v>
      </c>
      <c r="W688" s="26">
        <v>0.93172767652014099</v>
      </c>
      <c r="X688" s="28">
        <v>0.92</v>
      </c>
      <c r="Y688" s="28">
        <v>0.89170896785109999</v>
      </c>
      <c r="Z688" s="28">
        <v>0.91608876560332897</v>
      </c>
      <c r="AA688" s="28">
        <v>0.89477451682176101</v>
      </c>
      <c r="AB688" s="28">
        <v>0.89621489621489603</v>
      </c>
      <c r="AC688" s="28">
        <v>0.92</v>
      </c>
      <c r="AD688" s="26">
        <v>0.99913434903047105</v>
      </c>
      <c r="AE688" s="26">
        <v>0.99490909090909097</v>
      </c>
      <c r="AF688" s="26">
        <v>0.99713774597495497</v>
      </c>
      <c r="AG688" s="26">
        <v>0.99676467789513701</v>
      </c>
      <c r="AH688" s="28">
        <v>0.92</v>
      </c>
      <c r="AI688" s="26">
        <v>0.94689580430407205</v>
      </c>
      <c r="AJ688" s="26">
        <v>0.95062541145490498</v>
      </c>
      <c r="AK688" s="26">
        <v>0.93115029387069703</v>
      </c>
      <c r="AL688" s="26">
        <v>0.94701257380610004</v>
      </c>
      <c r="AM688" s="25">
        <v>0.99</v>
      </c>
      <c r="AN688" s="30">
        <v>1</v>
      </c>
      <c r="AO688" s="30">
        <v>1</v>
      </c>
      <c r="AP688" s="30">
        <v>1</v>
      </c>
      <c r="AQ688" s="30">
        <v>1</v>
      </c>
      <c r="AR688" s="50">
        <v>8.1059522893420499E-2</v>
      </c>
      <c r="AS688" s="34">
        <v>1.85185185185185E-2</v>
      </c>
      <c r="AT688" s="34">
        <v>0</v>
      </c>
      <c r="AU688" s="34">
        <v>2.9411764705882401E-2</v>
      </c>
      <c r="AV688" s="34">
        <v>3.5211267605633798E-2</v>
      </c>
      <c r="AW688" s="10"/>
      <c r="AX688" s="8"/>
    </row>
    <row r="689" spans="1:50">
      <c r="A689" s="7"/>
      <c r="B689" s="10"/>
      <c r="C689" s="45" t="s">
        <v>688</v>
      </c>
      <c r="D689" s="23" t="s">
        <v>21</v>
      </c>
      <c r="E689" s="68" t="s">
        <v>735</v>
      </c>
      <c r="F689" s="68" t="s">
        <v>735</v>
      </c>
      <c r="G689" s="68" t="s">
        <v>735</v>
      </c>
      <c r="H689" s="68" t="s">
        <v>735</v>
      </c>
      <c r="I689" s="25">
        <v>0.9</v>
      </c>
      <c r="J689" s="26">
        <v>0.96428571428571397</v>
      </c>
      <c r="K689" s="26">
        <v>1</v>
      </c>
      <c r="L689" s="27">
        <v>0.952380952380952</v>
      </c>
      <c r="M689" s="26">
        <v>0.97530864197530898</v>
      </c>
      <c r="N689" s="28">
        <v>0.9</v>
      </c>
      <c r="O689" s="26">
        <v>0.92413236481033101</v>
      </c>
      <c r="P689" s="26">
        <v>0.974609375</v>
      </c>
      <c r="Q689" s="26">
        <v>0.954921803127875</v>
      </c>
      <c r="R689" s="26">
        <v>0.96298299845440505</v>
      </c>
      <c r="S689" s="28">
        <v>0.9</v>
      </c>
      <c r="T689" s="26">
        <v>0.92211460855528604</v>
      </c>
      <c r="U689" s="26">
        <v>0.9306640625</v>
      </c>
      <c r="V689" s="26">
        <v>0.92088316467341302</v>
      </c>
      <c r="W689" s="26">
        <v>0.92967542503863998</v>
      </c>
      <c r="X689" s="28">
        <v>0.92</v>
      </c>
      <c r="Y689" s="28">
        <v>0.93902439024390205</v>
      </c>
      <c r="Z689" s="28">
        <v>0.92624113475177305</v>
      </c>
      <c r="AA689" s="28">
        <v>0.90813253012048201</v>
      </c>
      <c r="AB689" s="28">
        <v>0.91701244813278004</v>
      </c>
      <c r="AC689" s="28">
        <v>0.92</v>
      </c>
      <c r="AD689" s="26">
        <v>0.99713876967095805</v>
      </c>
      <c r="AE689" s="26">
        <v>0.99328859060402697</v>
      </c>
      <c r="AF689" s="26">
        <v>0.99731903485254703</v>
      </c>
      <c r="AG689" s="26">
        <v>0.99647083246834101</v>
      </c>
      <c r="AH689" s="28">
        <v>0.92</v>
      </c>
      <c r="AI689" s="26">
        <v>0.95871559633027503</v>
      </c>
      <c r="AJ689" s="26">
        <v>0.95817893065113802</v>
      </c>
      <c r="AK689" s="26">
        <v>0.93949771689497696</v>
      </c>
      <c r="AL689" s="26">
        <v>0.95601866251944001</v>
      </c>
      <c r="AM689" s="25">
        <v>0.99</v>
      </c>
      <c r="AN689" s="30">
        <v>1</v>
      </c>
      <c r="AO689" s="30">
        <v>1</v>
      </c>
      <c r="AP689" s="30">
        <v>1</v>
      </c>
      <c r="AQ689" s="30">
        <v>1</v>
      </c>
      <c r="AR689" s="50">
        <v>8.1059522893420499E-2</v>
      </c>
      <c r="AS689" s="34">
        <v>0.173913043478261</v>
      </c>
      <c r="AT689" s="34">
        <v>0</v>
      </c>
      <c r="AU689" s="34">
        <v>0</v>
      </c>
      <c r="AV689" s="34">
        <v>6.8181818181818205E-2</v>
      </c>
      <c r="AW689" s="10"/>
      <c r="AX689" s="8"/>
    </row>
    <row r="690" spans="1:50">
      <c r="A690" s="7"/>
      <c r="B690" s="10"/>
      <c r="C690" s="45" t="s">
        <v>688</v>
      </c>
      <c r="D690" s="23" t="s">
        <v>21</v>
      </c>
      <c r="E690" s="68" t="s">
        <v>736</v>
      </c>
      <c r="F690" s="68" t="s">
        <v>736</v>
      </c>
      <c r="G690" s="68" t="s">
        <v>736</v>
      </c>
      <c r="H690" s="68" t="s">
        <v>736</v>
      </c>
      <c r="I690" s="25">
        <v>0.9</v>
      </c>
      <c r="J690" s="26">
        <v>0.93333333333333302</v>
      </c>
      <c r="K690" s="26">
        <v>0.93333333333333302</v>
      </c>
      <c r="L690" s="27">
        <v>0.94444444444444398</v>
      </c>
      <c r="M690" s="26">
        <v>0.92916666666666703</v>
      </c>
      <c r="N690" s="28">
        <v>0.9</v>
      </c>
      <c r="O690" s="26">
        <v>0.95955662073097703</v>
      </c>
      <c r="P690" s="26">
        <v>0.96504992867332395</v>
      </c>
      <c r="Q690" s="26">
        <v>0.91260744985673303</v>
      </c>
      <c r="R690" s="26">
        <v>0.95265249697598098</v>
      </c>
      <c r="S690" s="28">
        <v>0.9</v>
      </c>
      <c r="T690" s="26">
        <v>0.88915518274415795</v>
      </c>
      <c r="U690" s="26">
        <v>0.923204945316215</v>
      </c>
      <c r="V690" s="26">
        <v>0.86532951289398297</v>
      </c>
      <c r="W690" s="26">
        <v>0.90709060537987396</v>
      </c>
      <c r="X690" s="28">
        <v>0.92</v>
      </c>
      <c r="Y690" s="28">
        <v>0.90260631001371705</v>
      </c>
      <c r="Z690" s="28">
        <v>0.89</v>
      </c>
      <c r="AA690" s="28">
        <v>0.93119810201660702</v>
      </c>
      <c r="AB690" s="28">
        <v>0.89828489757027197</v>
      </c>
      <c r="AC690" s="28">
        <v>0.92</v>
      </c>
      <c r="AD690" s="26">
        <v>0.99890470974808299</v>
      </c>
      <c r="AE690" s="26">
        <v>0.99665178571428603</v>
      </c>
      <c r="AF690" s="26">
        <v>0.99799899949975002</v>
      </c>
      <c r="AG690" s="26">
        <v>0.99769919045590105</v>
      </c>
      <c r="AH690" s="28">
        <v>0.92</v>
      </c>
      <c r="AI690" s="26">
        <v>0.94984017703466905</v>
      </c>
      <c r="AJ690" s="26">
        <v>0.95358401880140997</v>
      </c>
      <c r="AK690" s="26">
        <v>0.94151785714285696</v>
      </c>
      <c r="AL690" s="26">
        <v>0.947407476115388</v>
      </c>
      <c r="AM690" s="25">
        <v>0.99</v>
      </c>
      <c r="AN690" s="30">
        <v>1</v>
      </c>
      <c r="AO690" s="30">
        <v>1</v>
      </c>
      <c r="AP690" s="30">
        <v>1</v>
      </c>
      <c r="AQ690" s="30">
        <v>1</v>
      </c>
      <c r="AR690" s="50">
        <v>8.1059522893420499E-2</v>
      </c>
      <c r="AS690" s="34">
        <v>0.18181818181818199</v>
      </c>
      <c r="AT690" s="34">
        <v>9.5238095238095205E-2</v>
      </c>
      <c r="AU690" s="34">
        <v>0</v>
      </c>
      <c r="AV690" s="34">
        <v>0.11111111111111099</v>
      </c>
      <c r="AW690" s="10"/>
      <c r="AX690" s="8"/>
    </row>
    <row r="691" spans="1:50">
      <c r="A691" s="7"/>
      <c r="B691" s="10"/>
      <c r="C691" s="45" t="s">
        <v>688</v>
      </c>
      <c r="D691" s="23" t="s">
        <v>21</v>
      </c>
      <c r="E691" s="68" t="s">
        <v>737</v>
      </c>
      <c r="F691" s="68" t="s">
        <v>737</v>
      </c>
      <c r="G691" s="68" t="s">
        <v>737</v>
      </c>
      <c r="H691" s="68" t="s">
        <v>737</v>
      </c>
      <c r="I691" s="25">
        <v>0.9</v>
      </c>
      <c r="J691" s="26">
        <v>0.875</v>
      </c>
      <c r="K691" s="26">
        <v>0.57575757575757602</v>
      </c>
      <c r="L691" s="27">
        <v>0.89655172413793105</v>
      </c>
      <c r="M691" s="26">
        <v>0.80540540540540495</v>
      </c>
      <c r="N691" s="28">
        <v>0.9</v>
      </c>
      <c r="O691" s="26">
        <v>0.96496049467536904</v>
      </c>
      <c r="P691" s="26">
        <v>0.97268907563025198</v>
      </c>
      <c r="Q691" s="26">
        <v>0.81512605042016795</v>
      </c>
      <c r="R691" s="26">
        <v>0.93527034559643296</v>
      </c>
      <c r="S691" s="28">
        <v>0.9</v>
      </c>
      <c r="T691" s="26">
        <v>0.92579869460666397</v>
      </c>
      <c r="U691" s="26">
        <v>0.93487394957983205</v>
      </c>
      <c r="V691" s="26">
        <v>0.93025210084033605</v>
      </c>
      <c r="W691" s="26">
        <v>0.92356465997770298</v>
      </c>
      <c r="X691" s="28">
        <v>0.92</v>
      </c>
      <c r="Y691" s="28">
        <v>0.866187050359712</v>
      </c>
      <c r="Z691" s="28">
        <v>0.89303482587064698</v>
      </c>
      <c r="AA691" s="28">
        <v>0.92787794729542294</v>
      </c>
      <c r="AB691" s="28">
        <v>0.89103448275862096</v>
      </c>
      <c r="AC691" s="28">
        <v>0.92</v>
      </c>
      <c r="AD691" s="26">
        <v>0.99946243784437605</v>
      </c>
      <c r="AE691" s="26">
        <v>0.99529541995295401</v>
      </c>
      <c r="AF691" s="26">
        <v>0.99484955272431597</v>
      </c>
      <c r="AG691" s="26">
        <v>0.99677562819657595</v>
      </c>
      <c r="AH691" s="28">
        <v>0.92</v>
      </c>
      <c r="AI691" s="26">
        <v>0.94181213632585203</v>
      </c>
      <c r="AJ691" s="26">
        <v>0.95383127870437501</v>
      </c>
      <c r="AK691" s="26">
        <v>0.95081109366823702</v>
      </c>
      <c r="AL691" s="26">
        <v>0.947005505199355</v>
      </c>
      <c r="AM691" s="25">
        <v>0.99</v>
      </c>
      <c r="AN691" s="30">
        <v>1</v>
      </c>
      <c r="AO691" s="30">
        <v>1</v>
      </c>
      <c r="AP691" s="30">
        <v>1</v>
      </c>
      <c r="AQ691" s="30">
        <v>1</v>
      </c>
      <c r="AR691" s="50">
        <v>8.1059522893420499E-2</v>
      </c>
      <c r="AS691" s="34">
        <v>0</v>
      </c>
      <c r="AT691" s="34">
        <v>-0.125</v>
      </c>
      <c r="AU691" s="34">
        <v>0.18181818181818199</v>
      </c>
      <c r="AV691" s="34">
        <v>-6.0975609756097598E-3</v>
      </c>
      <c r="AW691" s="10"/>
      <c r="AX691" s="8"/>
    </row>
    <row r="692" spans="1:50">
      <c r="A692" s="7"/>
      <c r="B692" s="10"/>
      <c r="C692" s="45" t="s">
        <v>688</v>
      </c>
      <c r="D692" s="23" t="s">
        <v>21</v>
      </c>
      <c r="E692" s="68" t="s">
        <v>738</v>
      </c>
      <c r="F692" s="68" t="s">
        <v>738</v>
      </c>
      <c r="G692" s="68" t="s">
        <v>738</v>
      </c>
      <c r="H692" s="68" t="s">
        <v>738</v>
      </c>
      <c r="I692" s="25">
        <v>0.9</v>
      </c>
      <c r="J692" s="26">
        <v>0.96551724137931005</v>
      </c>
      <c r="K692" s="26">
        <v>0.96551724137931005</v>
      </c>
      <c r="L692" s="27">
        <v>0.95652173913043503</v>
      </c>
      <c r="M692" s="26">
        <v>0.96273291925465798</v>
      </c>
      <c r="N692" s="28">
        <v>0.9</v>
      </c>
      <c r="O692" s="26">
        <v>0.974020783373301</v>
      </c>
      <c r="P692" s="26">
        <v>0.97623697916666696</v>
      </c>
      <c r="Q692" s="26">
        <v>0.97168141592920398</v>
      </c>
      <c r="R692" s="26">
        <v>0.95467202970297005</v>
      </c>
      <c r="S692" s="28">
        <v>0.9</v>
      </c>
      <c r="T692" s="26">
        <v>0.92725819344524396</v>
      </c>
      <c r="U692" s="26">
        <v>0.91178385416666696</v>
      </c>
      <c r="V692" s="26">
        <v>0.91858407079645998</v>
      </c>
      <c r="W692" s="26">
        <v>0.91661509900990101</v>
      </c>
      <c r="X692" s="28">
        <v>0.92</v>
      </c>
      <c r="Y692" s="28">
        <v>0.88086642599277998</v>
      </c>
      <c r="Z692" s="28">
        <v>0.85648148148148195</v>
      </c>
      <c r="AA692" s="28">
        <v>0.87737226277372304</v>
      </c>
      <c r="AB692" s="28">
        <v>0.84704743465634103</v>
      </c>
      <c r="AC692" s="28">
        <v>0.92</v>
      </c>
      <c r="AD692" s="26">
        <v>1</v>
      </c>
      <c r="AE692" s="26">
        <v>0.98591549295774605</v>
      </c>
      <c r="AF692" s="26">
        <v>0.99002493765585997</v>
      </c>
      <c r="AG692" s="26">
        <v>0.98981077147015994</v>
      </c>
      <c r="AH692" s="28">
        <v>0.92</v>
      </c>
      <c r="AI692" s="26">
        <v>0.94993455497382195</v>
      </c>
      <c r="AJ692" s="26">
        <v>0.94892473118279597</v>
      </c>
      <c r="AK692" s="26">
        <v>0.92506887052341602</v>
      </c>
      <c r="AL692" s="26">
        <v>0.93611579013038904</v>
      </c>
      <c r="AM692" s="25">
        <v>0.99</v>
      </c>
      <c r="AN692" s="30">
        <v>1</v>
      </c>
      <c r="AO692" s="30">
        <v>1</v>
      </c>
      <c r="AP692" s="30">
        <v>1</v>
      </c>
      <c r="AQ692" s="30">
        <v>1</v>
      </c>
      <c r="AR692" s="50">
        <v>8.1059522893420499E-2</v>
      </c>
      <c r="AS692" s="34">
        <v>0.1</v>
      </c>
      <c r="AT692" s="34">
        <v>5.2631578947368397E-2</v>
      </c>
      <c r="AU692" s="34">
        <v>0</v>
      </c>
      <c r="AV692" s="34">
        <v>9.41176470588235E-2</v>
      </c>
      <c r="AW692" s="10"/>
      <c r="AX692" s="8"/>
    </row>
    <row r="693" spans="1:50">
      <c r="A693" s="7"/>
      <c r="B693" s="10"/>
      <c r="C693" s="45" t="s">
        <v>688</v>
      </c>
      <c r="D693" s="23" t="s">
        <v>21</v>
      </c>
      <c r="E693" s="68" t="s">
        <v>739</v>
      </c>
      <c r="F693" s="68" t="s">
        <v>739</v>
      </c>
      <c r="G693" s="68" t="s">
        <v>739</v>
      </c>
      <c r="H693" s="68" t="s">
        <v>739</v>
      </c>
      <c r="I693" s="25">
        <v>0.9</v>
      </c>
      <c r="J693" s="26">
        <v>0.931034482758621</v>
      </c>
      <c r="K693" s="26">
        <v>0.96551724137931005</v>
      </c>
      <c r="L693" s="27">
        <v>0.95454545454545503</v>
      </c>
      <c r="M693" s="26">
        <v>0.95121951219512202</v>
      </c>
      <c r="N693" s="28">
        <v>0.9</v>
      </c>
      <c r="O693" s="26">
        <v>0.98239942528735602</v>
      </c>
      <c r="P693" s="26">
        <v>0.98588709677419395</v>
      </c>
      <c r="Q693" s="26">
        <v>0.98</v>
      </c>
      <c r="R693" s="26">
        <v>0.98179564644821404</v>
      </c>
      <c r="S693" s="28">
        <v>0.9</v>
      </c>
      <c r="T693" s="26">
        <v>0.91810344827586199</v>
      </c>
      <c r="U693" s="26">
        <v>0.93145161290322598</v>
      </c>
      <c r="V693" s="26">
        <v>0.94199999999999995</v>
      </c>
      <c r="W693" s="26">
        <v>0.934774188550624</v>
      </c>
      <c r="X693" s="28">
        <v>0.92</v>
      </c>
      <c r="Y693" s="28">
        <v>0.85447761194029803</v>
      </c>
      <c r="Z693" s="28">
        <v>0.88394062078272595</v>
      </c>
      <c r="AA693" s="28">
        <v>0.86161449752883001</v>
      </c>
      <c r="AB693" s="28">
        <v>0.87283236994219604</v>
      </c>
      <c r="AC693" s="28">
        <v>0.92</v>
      </c>
      <c r="AD693" s="26">
        <v>0.99483648881239195</v>
      </c>
      <c r="AE693" s="26">
        <v>0.99193548387096797</v>
      </c>
      <c r="AF693" s="26">
        <v>0.99382716049382702</v>
      </c>
      <c r="AG693" s="26">
        <v>0.99456631112899996</v>
      </c>
      <c r="AH693" s="28">
        <v>0.92</v>
      </c>
      <c r="AI693" s="26">
        <v>0.93645484949832802</v>
      </c>
      <c r="AJ693" s="26">
        <v>0.95749260156039795</v>
      </c>
      <c r="AK693" s="26">
        <v>0.93528313627878001</v>
      </c>
      <c r="AL693" s="26">
        <v>0.94824485059471997</v>
      </c>
      <c r="AM693" s="25">
        <v>0.99</v>
      </c>
      <c r="AN693" s="30">
        <v>1</v>
      </c>
      <c r="AO693" s="30">
        <v>1</v>
      </c>
      <c r="AP693" s="30">
        <v>1</v>
      </c>
      <c r="AQ693" s="30">
        <v>1</v>
      </c>
      <c r="AR693" s="50">
        <v>8.1059522893420499E-2</v>
      </c>
      <c r="AS693" s="34">
        <v>0</v>
      </c>
      <c r="AT693" s="34">
        <v>0</v>
      </c>
      <c r="AU693" s="34">
        <v>0</v>
      </c>
      <c r="AV693" s="34">
        <v>2.1739130434782601E-2</v>
      </c>
      <c r="AW693" s="10"/>
      <c r="AX693" s="8"/>
    </row>
    <row r="694" spans="1:50">
      <c r="A694" s="7"/>
      <c r="B694" s="10"/>
      <c r="C694" s="45" t="s">
        <v>688</v>
      </c>
      <c r="D694" s="23" t="s">
        <v>21</v>
      </c>
      <c r="E694" s="68" t="s">
        <v>740</v>
      </c>
      <c r="F694" s="68" t="s">
        <v>740</v>
      </c>
      <c r="G694" s="68" t="s">
        <v>740</v>
      </c>
      <c r="H694" s="68" t="s">
        <v>740</v>
      </c>
      <c r="I694" s="25">
        <v>0.9</v>
      </c>
      <c r="J694" s="26">
        <v>0.81395348837209303</v>
      </c>
      <c r="K694" s="26">
        <v>0.85714285714285698</v>
      </c>
      <c r="L694" s="27">
        <v>0.75</v>
      </c>
      <c r="M694" s="26">
        <v>0.87029288702928898</v>
      </c>
      <c r="N694" s="28">
        <v>0.9</v>
      </c>
      <c r="O694" s="26">
        <v>0.96079705436430596</v>
      </c>
      <c r="P694" s="26">
        <v>0.96485492439722098</v>
      </c>
      <c r="Q694" s="26">
        <v>0.94755043227665703</v>
      </c>
      <c r="R694" s="26">
        <v>0.96369667803578896</v>
      </c>
      <c r="S694" s="28">
        <v>0.9</v>
      </c>
      <c r="T694" s="26">
        <v>0.93112410656270295</v>
      </c>
      <c r="U694" s="26">
        <v>0.91561095218635102</v>
      </c>
      <c r="V694" s="26">
        <v>0.921613832853026</v>
      </c>
      <c r="W694" s="26">
        <v>0.92935569779937399</v>
      </c>
      <c r="X694" s="28">
        <v>0.92</v>
      </c>
      <c r="Y694" s="28">
        <v>0.89211935730680902</v>
      </c>
      <c r="Z694" s="28">
        <v>0.87864460204885697</v>
      </c>
      <c r="AA694" s="28">
        <v>0.86348862405200399</v>
      </c>
      <c r="AB694" s="28">
        <v>0.88068181818181801</v>
      </c>
      <c r="AC694" s="28">
        <v>0.92</v>
      </c>
      <c r="AD694" s="26">
        <v>0.99846919249904298</v>
      </c>
      <c r="AE694" s="26">
        <v>0.94383906119027705</v>
      </c>
      <c r="AF694" s="26">
        <v>0.99539927702924702</v>
      </c>
      <c r="AG694" s="26">
        <v>0.98626620459504599</v>
      </c>
      <c r="AH694" s="28">
        <v>0.92</v>
      </c>
      <c r="AI694" s="26">
        <v>0.94886075949367099</v>
      </c>
      <c r="AJ694" s="26">
        <v>0.94694142463086195</v>
      </c>
      <c r="AK694" s="26">
        <v>0.925187969924812</v>
      </c>
      <c r="AL694" s="26">
        <v>0.94590509666080802</v>
      </c>
      <c r="AM694" s="25">
        <v>0.99</v>
      </c>
      <c r="AN694" s="30">
        <v>1</v>
      </c>
      <c r="AO694" s="30">
        <v>1</v>
      </c>
      <c r="AP694" s="30">
        <v>1</v>
      </c>
      <c r="AQ694" s="30">
        <v>1</v>
      </c>
      <c r="AR694" s="50">
        <v>8.1059522893420499E-2</v>
      </c>
      <c r="AS694" s="34">
        <v>0</v>
      </c>
      <c r="AT694" s="34">
        <v>4.3478260869565202E-2</v>
      </c>
      <c r="AU694" s="34">
        <v>0.17241379310344801</v>
      </c>
      <c r="AV694" s="34">
        <v>3.8461538461538498E-2</v>
      </c>
      <c r="AW694" s="10"/>
      <c r="AX694" s="8"/>
    </row>
    <row r="695" spans="1:50">
      <c r="A695" s="7"/>
      <c r="B695" s="10"/>
      <c r="C695" s="45" t="s">
        <v>688</v>
      </c>
      <c r="D695" s="23" t="s">
        <v>21</v>
      </c>
      <c r="E695" s="68" t="s">
        <v>741</v>
      </c>
      <c r="F695" s="68" t="s">
        <v>741</v>
      </c>
      <c r="G695" s="68" t="s">
        <v>741</v>
      </c>
      <c r="H695" s="68" t="s">
        <v>741</v>
      </c>
      <c r="I695" s="25">
        <v>0.9</v>
      </c>
      <c r="J695" s="26">
        <v>0.72549019607843102</v>
      </c>
      <c r="K695" s="26">
        <v>0.80392156862745101</v>
      </c>
      <c r="L695" s="27">
        <v>0.8</v>
      </c>
      <c r="M695" s="26">
        <v>0.78596491228070198</v>
      </c>
      <c r="N695" s="28">
        <v>0.9</v>
      </c>
      <c r="O695" s="26">
        <v>0.96580188679245305</v>
      </c>
      <c r="P695" s="26">
        <v>0.97065835320007299</v>
      </c>
      <c r="Q695" s="26">
        <v>0.96679368535655996</v>
      </c>
      <c r="R695" s="26">
        <v>0.96687064781599497</v>
      </c>
      <c r="S695" s="28">
        <v>0.9</v>
      </c>
      <c r="T695" s="26">
        <v>0.9375</v>
      </c>
      <c r="U695" s="26">
        <v>0.93728222996515698</v>
      </c>
      <c r="V695" s="26">
        <v>0.94991834512792594</v>
      </c>
      <c r="W695" s="26">
        <v>0.93787718928043895</v>
      </c>
      <c r="X695" s="28">
        <v>0.92</v>
      </c>
      <c r="Y695" s="28">
        <v>0.94121813031161505</v>
      </c>
      <c r="Z695" s="28">
        <v>0.94208754208754197</v>
      </c>
      <c r="AA695" s="28">
        <v>0.93731343283582103</v>
      </c>
      <c r="AB695" s="28">
        <v>0.94140323824209704</v>
      </c>
      <c r="AC695" s="28">
        <v>0.92</v>
      </c>
      <c r="AD695" s="26">
        <v>0.99943709541232795</v>
      </c>
      <c r="AE695" s="26">
        <v>1</v>
      </c>
      <c r="AF695" s="26">
        <v>0.99843063402385401</v>
      </c>
      <c r="AG695" s="26">
        <v>0.99745532997731901</v>
      </c>
      <c r="AH695" s="28">
        <v>0.92</v>
      </c>
      <c r="AI695" s="26">
        <v>0.96862503844970804</v>
      </c>
      <c r="AJ695" s="26">
        <v>0.96758392162512596</v>
      </c>
      <c r="AK695" s="26">
        <v>0.95988740323715704</v>
      </c>
      <c r="AL695" s="26">
        <v>0.96693453609884705</v>
      </c>
      <c r="AM695" s="25">
        <v>0.99</v>
      </c>
      <c r="AN695" s="30">
        <v>1</v>
      </c>
      <c r="AO695" s="30">
        <v>1</v>
      </c>
      <c r="AP695" s="30">
        <v>1</v>
      </c>
      <c r="AQ695" s="30">
        <v>1</v>
      </c>
      <c r="AR695" s="50">
        <v>8.1059522893420499E-2</v>
      </c>
      <c r="AS695" s="34">
        <v>5.8823529411764698E-2</v>
      </c>
      <c r="AT695" s="34">
        <v>5.4054054054054099E-2</v>
      </c>
      <c r="AU695" s="34">
        <v>4.5454545454545497E-2</v>
      </c>
      <c r="AV695" s="34">
        <v>7.9096045197740106E-2</v>
      </c>
      <c r="AW695" s="10"/>
      <c r="AX695" s="8"/>
    </row>
    <row r="696" spans="1:50">
      <c r="A696" s="7"/>
      <c r="B696" s="10"/>
      <c r="C696" s="45" t="s">
        <v>688</v>
      </c>
      <c r="D696" s="23" t="s">
        <v>21</v>
      </c>
      <c r="E696" s="68" t="s">
        <v>742</v>
      </c>
      <c r="F696" s="68" t="s">
        <v>742</v>
      </c>
      <c r="G696" s="68" t="s">
        <v>742</v>
      </c>
      <c r="H696" s="68" t="s">
        <v>742</v>
      </c>
      <c r="I696" s="25">
        <v>0.9</v>
      </c>
      <c r="J696" s="26">
        <v>0.952380952380952</v>
      </c>
      <c r="K696" s="26">
        <v>0.85714285714285698</v>
      </c>
      <c r="L696" s="27">
        <v>1</v>
      </c>
      <c r="M696" s="26">
        <v>0.95121951219512202</v>
      </c>
      <c r="N696" s="28">
        <v>0.9</v>
      </c>
      <c r="O696" s="26">
        <v>0.99922510654785002</v>
      </c>
      <c r="P696" s="26">
        <v>0.99890350877193002</v>
      </c>
      <c r="Q696" s="26">
        <v>1</v>
      </c>
      <c r="R696" s="26">
        <v>0.998823529411765</v>
      </c>
      <c r="S696" s="28">
        <v>0.9</v>
      </c>
      <c r="T696" s="26">
        <v>0.97016660209221195</v>
      </c>
      <c r="U696" s="26">
        <v>0.97733918128654995</v>
      </c>
      <c r="V696" s="26">
        <v>0.97427293064876996</v>
      </c>
      <c r="W696" s="26">
        <v>0.97344537815126098</v>
      </c>
      <c r="X696" s="28">
        <v>0.92</v>
      </c>
      <c r="Y696" s="28">
        <v>0.95931758530183697</v>
      </c>
      <c r="Z696" s="28">
        <v>0.95791001451378799</v>
      </c>
      <c r="AA696" s="28">
        <v>0.96654275092936803</v>
      </c>
      <c r="AB696" s="28">
        <v>0.96360917248255196</v>
      </c>
      <c r="AC696" s="28">
        <v>0.92</v>
      </c>
      <c r="AD696" s="26">
        <v>0.99689440993788803</v>
      </c>
      <c r="AE696" s="26">
        <v>0.99874213836477999</v>
      </c>
      <c r="AF696" s="26">
        <v>0.99796747967479704</v>
      </c>
      <c r="AG696" s="26">
        <v>0.995123537061118</v>
      </c>
      <c r="AH696" s="28">
        <v>0.92</v>
      </c>
      <c r="AI696" s="26">
        <v>0.98175291654202801</v>
      </c>
      <c r="AJ696" s="26">
        <v>0.98189781021897804</v>
      </c>
      <c r="AK696" s="26">
        <v>0.98114525139664799</v>
      </c>
      <c r="AL696" s="26">
        <v>0.98259175465057802</v>
      </c>
      <c r="AM696" s="25">
        <v>0.99</v>
      </c>
      <c r="AN696" s="30">
        <v>1</v>
      </c>
      <c r="AO696" s="30">
        <v>1</v>
      </c>
      <c r="AP696" s="30">
        <v>1</v>
      </c>
      <c r="AQ696" s="30">
        <v>1</v>
      </c>
      <c r="AR696" s="50">
        <v>8.1059522893420499E-2</v>
      </c>
      <c r="AS696" s="34">
        <v>0</v>
      </c>
      <c r="AT696" s="34">
        <v>0</v>
      </c>
      <c r="AU696" s="34">
        <v>0.16666666666666699</v>
      </c>
      <c r="AV696" s="34">
        <v>1.88679245283019E-2</v>
      </c>
      <c r="AW696" s="10"/>
      <c r="AX696" s="8"/>
    </row>
    <row r="697" spans="1:50">
      <c r="A697" s="7"/>
      <c r="B697" s="10"/>
      <c r="C697" s="45" t="s">
        <v>688</v>
      </c>
      <c r="D697" s="23" t="s">
        <v>21</v>
      </c>
      <c r="E697" s="68" t="s">
        <v>743</v>
      </c>
      <c r="F697" s="68" t="s">
        <v>743</v>
      </c>
      <c r="G697" s="68" t="s">
        <v>743</v>
      </c>
      <c r="H697" s="68" t="s">
        <v>743</v>
      </c>
      <c r="I697" s="25">
        <v>0.9</v>
      </c>
      <c r="J697" s="26">
        <v>1</v>
      </c>
      <c r="K697" s="26">
        <v>1</v>
      </c>
      <c r="L697" s="27">
        <v>1</v>
      </c>
      <c r="M697" s="26">
        <v>1</v>
      </c>
      <c r="N697" s="28">
        <v>0.9</v>
      </c>
      <c r="O697" s="26">
        <v>0.99973139940907896</v>
      </c>
      <c r="P697" s="26">
        <v>0.98234552332913005</v>
      </c>
      <c r="Q697" s="26">
        <v>0.99924299772899305</v>
      </c>
      <c r="R697" s="26">
        <v>0.99325405899839903</v>
      </c>
      <c r="S697" s="28">
        <v>0.9</v>
      </c>
      <c r="T697" s="26">
        <v>0.92640343808756398</v>
      </c>
      <c r="U697" s="26">
        <v>0.93467843631778103</v>
      </c>
      <c r="V697" s="26">
        <v>0.95987887963663898</v>
      </c>
      <c r="W697" s="26">
        <v>0.93551337754401998</v>
      </c>
      <c r="X697" s="28">
        <v>0.92</v>
      </c>
      <c r="Y697" s="28">
        <v>0.93564356435643603</v>
      </c>
      <c r="Z697" s="28">
        <v>0.92644320297951599</v>
      </c>
      <c r="AA697" s="28">
        <v>0.93424657534246602</v>
      </c>
      <c r="AB697" s="28">
        <v>0.92980358667805296</v>
      </c>
      <c r="AC697" s="28">
        <v>0.92</v>
      </c>
      <c r="AD697" s="26">
        <v>1</v>
      </c>
      <c r="AE697" s="26">
        <v>0.98614318706697501</v>
      </c>
      <c r="AF697" s="26">
        <v>0.99596774193548399</v>
      </c>
      <c r="AG697" s="26">
        <v>0.995391705069124</v>
      </c>
      <c r="AH697" s="28">
        <v>0.92</v>
      </c>
      <c r="AI697" s="26">
        <v>0.96746249735896905</v>
      </c>
      <c r="AJ697" s="26">
        <v>0.96745385989283605</v>
      </c>
      <c r="AK697" s="26">
        <v>0.968795709410044</v>
      </c>
      <c r="AL697" s="26">
        <v>0.96586723768736604</v>
      </c>
      <c r="AM697" s="25">
        <v>0.99</v>
      </c>
      <c r="AN697" s="30">
        <v>1</v>
      </c>
      <c r="AO697" s="30">
        <v>1</v>
      </c>
      <c r="AP697" s="30">
        <v>1</v>
      </c>
      <c r="AQ697" s="30">
        <v>1</v>
      </c>
      <c r="AR697" s="50">
        <v>8.1059522893420499E-2</v>
      </c>
      <c r="AS697" s="34">
        <v>0</v>
      </c>
      <c r="AT697" s="34">
        <v>0</v>
      </c>
      <c r="AU697" s="34">
        <v>0.5</v>
      </c>
      <c r="AV697" s="34">
        <v>6.7796610169491497E-2</v>
      </c>
      <c r="AW697" s="10"/>
      <c r="AX697" s="8"/>
    </row>
    <row r="698" spans="1:50">
      <c r="A698" s="7"/>
      <c r="B698" s="10"/>
      <c r="C698" s="45" t="s">
        <v>688</v>
      </c>
      <c r="D698" s="23" t="s">
        <v>21</v>
      </c>
      <c r="E698" s="68" t="s">
        <v>744</v>
      </c>
      <c r="F698" s="68" t="s">
        <v>744</v>
      </c>
      <c r="G698" s="68" t="s">
        <v>744</v>
      </c>
      <c r="H698" s="68" t="s">
        <v>744</v>
      </c>
      <c r="I698" s="25">
        <v>0.9</v>
      </c>
      <c r="J698" s="26">
        <v>0.66666666666666696</v>
      </c>
      <c r="K698" s="26">
        <v>0.875</v>
      </c>
      <c r="L698" s="27">
        <v>0.75</v>
      </c>
      <c r="M698" s="26">
        <v>0.811594202898551</v>
      </c>
      <c r="N698" s="28">
        <v>0.9</v>
      </c>
      <c r="O698" s="26">
        <v>0.94983686786296895</v>
      </c>
      <c r="P698" s="26">
        <v>0.90493736182756102</v>
      </c>
      <c r="Q698" s="26">
        <v>0.96162790697674405</v>
      </c>
      <c r="R698" s="26">
        <v>0.93394750564922602</v>
      </c>
      <c r="S698" s="28">
        <v>0.9</v>
      </c>
      <c r="T698" s="26">
        <v>0.941680261011419</v>
      </c>
      <c r="U698" s="26">
        <v>0.94767870302137103</v>
      </c>
      <c r="V698" s="26">
        <v>0.94883720930232596</v>
      </c>
      <c r="W698" s="26">
        <v>0.94428993568572905</v>
      </c>
      <c r="X698" s="28">
        <v>0.92</v>
      </c>
      <c r="Y698" s="28">
        <v>0.92485549132947997</v>
      </c>
      <c r="Z698" s="28">
        <v>0.93685756240822304</v>
      </c>
      <c r="AA698" s="28">
        <v>0.92842535787321101</v>
      </c>
      <c r="AB698" s="28">
        <v>0.93056664006384704</v>
      </c>
      <c r="AC698" s="28">
        <v>0.92</v>
      </c>
      <c r="AD698" s="26">
        <v>0.99786780383795304</v>
      </c>
      <c r="AE698" s="26">
        <v>0.98967551622418903</v>
      </c>
      <c r="AF698" s="26">
        <v>0.98290598290598297</v>
      </c>
      <c r="AG698" s="26">
        <v>0.99001814882032702</v>
      </c>
      <c r="AH698" s="28">
        <v>0.92</v>
      </c>
      <c r="AI698" s="26">
        <v>0.96087786259541996</v>
      </c>
      <c r="AJ698" s="26">
        <v>0.96848306332842404</v>
      </c>
      <c r="AK698" s="26">
        <v>0.959229058561898</v>
      </c>
      <c r="AL698" s="26">
        <v>0.96252866033409801</v>
      </c>
      <c r="AM698" s="25">
        <v>0.99</v>
      </c>
      <c r="AN698" s="30">
        <v>1</v>
      </c>
      <c r="AO698" s="30">
        <v>1</v>
      </c>
      <c r="AP698" s="30">
        <v>1</v>
      </c>
      <c r="AQ698" s="30">
        <v>1</v>
      </c>
      <c r="AR698" s="50">
        <v>8.1059522893420499E-2</v>
      </c>
      <c r="AS698" s="34">
        <v>0</v>
      </c>
      <c r="AT698" s="34">
        <v>0</v>
      </c>
      <c r="AU698" s="34">
        <v>0.375</v>
      </c>
      <c r="AV698" s="34">
        <v>7.69230769230769E-2</v>
      </c>
      <c r="AW698" s="10"/>
      <c r="AX698" s="8"/>
    </row>
    <row r="699" spans="1:50">
      <c r="A699" s="7"/>
      <c r="B699" s="10"/>
      <c r="C699" s="45" t="s">
        <v>688</v>
      </c>
      <c r="D699" s="23" t="s">
        <v>21</v>
      </c>
      <c r="E699" s="68" t="s">
        <v>745</v>
      </c>
      <c r="F699" s="68" t="s">
        <v>745</v>
      </c>
      <c r="G699" s="68" t="s">
        <v>745</v>
      </c>
      <c r="H699" s="68" t="s">
        <v>745</v>
      </c>
      <c r="I699" s="25">
        <v>0.9</v>
      </c>
      <c r="J699" s="26">
        <v>0.87037037037037002</v>
      </c>
      <c r="K699" s="26">
        <v>0.83333333333333304</v>
      </c>
      <c r="L699" s="27">
        <v>0.74285714285714299</v>
      </c>
      <c r="M699" s="26">
        <v>0.82698961937716298</v>
      </c>
      <c r="N699" s="28">
        <v>0.9</v>
      </c>
      <c r="O699" s="26">
        <v>0.97535545023696701</v>
      </c>
      <c r="P699" s="26">
        <v>0.97731332618792399</v>
      </c>
      <c r="Q699" s="26">
        <v>0.97144340602284496</v>
      </c>
      <c r="R699" s="26">
        <v>0.97575957455579798</v>
      </c>
      <c r="S699" s="28">
        <v>0.9</v>
      </c>
      <c r="T699" s="26">
        <v>0.94710900473933601</v>
      </c>
      <c r="U699" s="26">
        <v>0.95033940693104701</v>
      </c>
      <c r="V699" s="26">
        <v>0.93094496365524404</v>
      </c>
      <c r="W699" s="26">
        <v>0.94451086284371499</v>
      </c>
      <c r="X699" s="28">
        <v>0.92</v>
      </c>
      <c r="Y699" s="28">
        <v>0.946902654867257</v>
      </c>
      <c r="Z699" s="28">
        <v>0.93609550561797705</v>
      </c>
      <c r="AA699" s="28">
        <v>0.93307468477206601</v>
      </c>
      <c r="AB699" s="28">
        <v>0.94287852332252398</v>
      </c>
      <c r="AC699" s="28">
        <v>0.92</v>
      </c>
      <c r="AD699" s="26">
        <v>0.99546827794561898</v>
      </c>
      <c r="AE699" s="26">
        <v>0.97378768020969897</v>
      </c>
      <c r="AF699" s="26">
        <v>0.97621744054360104</v>
      </c>
      <c r="AG699" s="26">
        <v>0.98289828982898297</v>
      </c>
      <c r="AH699" s="28">
        <v>0.92</v>
      </c>
      <c r="AI699" s="26">
        <v>0.97285477303574097</v>
      </c>
      <c r="AJ699" s="26">
        <v>0.97379663913415004</v>
      </c>
      <c r="AK699" s="26">
        <v>0.961447412918498</v>
      </c>
      <c r="AL699" s="26">
        <v>0.97168086754453897</v>
      </c>
      <c r="AM699" s="25">
        <v>0.99</v>
      </c>
      <c r="AN699" s="30">
        <v>1</v>
      </c>
      <c r="AO699" s="30">
        <v>1</v>
      </c>
      <c r="AP699" s="30">
        <v>1</v>
      </c>
      <c r="AQ699" s="30">
        <v>1</v>
      </c>
      <c r="AR699" s="50">
        <v>8.1059522893420499E-2</v>
      </c>
      <c r="AS699" s="34">
        <v>0.04</v>
      </c>
      <c r="AT699" s="34">
        <v>0.05</v>
      </c>
      <c r="AU699" s="34">
        <v>0.105263157894737</v>
      </c>
      <c r="AV699" s="34">
        <v>5.34351145038168E-2</v>
      </c>
      <c r="AW699" s="10"/>
      <c r="AX699" s="8"/>
    </row>
    <row r="700" spans="1:50">
      <c r="A700" s="7"/>
      <c r="B700" s="10"/>
      <c r="C700" s="45" t="s">
        <v>688</v>
      </c>
      <c r="D700" s="23" t="s">
        <v>21</v>
      </c>
      <c r="E700" s="68" t="s">
        <v>746</v>
      </c>
      <c r="F700" s="68" t="s">
        <v>746</v>
      </c>
      <c r="G700" s="68" t="s">
        <v>746</v>
      </c>
      <c r="H700" s="68" t="s">
        <v>746</v>
      </c>
      <c r="I700" s="25">
        <v>0.9</v>
      </c>
      <c r="J700" s="26">
        <v>0.95744680851063801</v>
      </c>
      <c r="K700" s="26">
        <v>0.93617021276595702</v>
      </c>
      <c r="L700" s="27">
        <v>0.90322580645161299</v>
      </c>
      <c r="M700" s="26">
        <v>0.95564516129032295</v>
      </c>
      <c r="N700" s="28">
        <v>0.9</v>
      </c>
      <c r="O700" s="26">
        <v>0.99181892555222295</v>
      </c>
      <c r="P700" s="26">
        <v>0.99360122856411603</v>
      </c>
      <c r="Q700" s="26">
        <v>0.98220640569395001</v>
      </c>
      <c r="R700" s="26">
        <v>0.99200278164116795</v>
      </c>
      <c r="S700" s="28">
        <v>0.9</v>
      </c>
      <c r="T700" s="26">
        <v>0.95009544586855699</v>
      </c>
      <c r="U700" s="26">
        <v>0.95546455080624504</v>
      </c>
      <c r="V700" s="26">
        <v>0.934519572953737</v>
      </c>
      <c r="W700" s="26">
        <v>0.95172693555864596</v>
      </c>
      <c r="X700" s="28">
        <v>0.92</v>
      </c>
      <c r="Y700" s="28">
        <v>0.93594646271510495</v>
      </c>
      <c r="Z700" s="28">
        <v>0.95009980039920205</v>
      </c>
      <c r="AA700" s="28">
        <v>0.92217898832684797</v>
      </c>
      <c r="AB700" s="28">
        <v>0.93571674114816095</v>
      </c>
      <c r="AC700" s="28">
        <v>0.92</v>
      </c>
      <c r="AD700" s="26">
        <v>1</v>
      </c>
      <c r="AE700" s="26">
        <v>0.99829132849209701</v>
      </c>
      <c r="AF700" s="26">
        <v>0.99587628865979405</v>
      </c>
      <c r="AG700" s="26">
        <v>0.99771853986551395</v>
      </c>
      <c r="AH700" s="28">
        <v>0.92</v>
      </c>
      <c r="AI700" s="26">
        <v>0.97178018247400799</v>
      </c>
      <c r="AJ700" s="26">
        <v>0.97820773930753602</v>
      </c>
      <c r="AK700" s="26">
        <v>0.95268718419843801</v>
      </c>
      <c r="AL700" s="26">
        <v>0.96984140740098801</v>
      </c>
      <c r="AM700" s="25">
        <v>0.99</v>
      </c>
      <c r="AN700" s="30">
        <v>1</v>
      </c>
      <c r="AO700" s="30">
        <v>1</v>
      </c>
      <c r="AP700" s="30">
        <v>1</v>
      </c>
      <c r="AQ700" s="30">
        <v>1</v>
      </c>
      <c r="AR700" s="50">
        <v>8.1059522893420499E-2</v>
      </c>
      <c r="AS700" s="34">
        <v>6.6666666666666693E-2</v>
      </c>
      <c r="AT700" s="34">
        <v>0.11111111111111099</v>
      </c>
      <c r="AU700" s="34">
        <v>0</v>
      </c>
      <c r="AV700" s="34">
        <v>4.71698113207547E-2</v>
      </c>
      <c r="AW700" s="10"/>
      <c r="AX700" s="8"/>
    </row>
    <row r="701" spans="1:50">
      <c r="A701" s="7"/>
      <c r="B701" s="10"/>
      <c r="C701" s="45" t="s">
        <v>688</v>
      </c>
      <c r="D701" s="23" t="s">
        <v>21</v>
      </c>
      <c r="E701" s="68" t="s">
        <v>747</v>
      </c>
      <c r="F701" s="68" t="s">
        <v>747</v>
      </c>
      <c r="G701" s="68" t="s">
        <v>747</v>
      </c>
      <c r="H701" s="68" t="s">
        <v>747</v>
      </c>
      <c r="I701" s="25">
        <v>0.9</v>
      </c>
      <c r="J701" s="26">
        <v>0.83018867924528295</v>
      </c>
      <c r="K701" s="26">
        <v>0.98148148148148195</v>
      </c>
      <c r="L701" s="27">
        <v>0.97222222222222199</v>
      </c>
      <c r="M701" s="26">
        <v>0.92280701754385996</v>
      </c>
      <c r="N701" s="28">
        <v>0.9</v>
      </c>
      <c r="O701" s="26">
        <v>0.96139705882352899</v>
      </c>
      <c r="P701" s="26">
        <v>0.98483654982276503</v>
      </c>
      <c r="Q701" s="26">
        <v>0.97706422018348604</v>
      </c>
      <c r="R701" s="26">
        <v>0.98015156983038598</v>
      </c>
      <c r="S701" s="28">
        <v>0.9</v>
      </c>
      <c r="T701" s="26">
        <v>0.93586601307189499</v>
      </c>
      <c r="U701" s="26">
        <v>0.956085072863332</v>
      </c>
      <c r="V701" s="26">
        <v>0.95240825688073405</v>
      </c>
      <c r="W701" s="26">
        <v>0.95317574882713796</v>
      </c>
      <c r="X701" s="28">
        <v>0.92</v>
      </c>
      <c r="Y701" s="28">
        <v>0.95169811320754705</v>
      </c>
      <c r="Z701" s="28">
        <v>0.94941348973606998</v>
      </c>
      <c r="AA701" s="28">
        <v>0.93894736842105297</v>
      </c>
      <c r="AB701" s="28">
        <v>0.95063737455926201</v>
      </c>
      <c r="AC701" s="28">
        <v>0.92</v>
      </c>
      <c r="AD701" s="26">
        <v>0.99865229110512099</v>
      </c>
      <c r="AE701" s="26">
        <v>0.996162046908316</v>
      </c>
      <c r="AF701" s="26">
        <v>0.996034368803701</v>
      </c>
      <c r="AG701" s="26">
        <v>0.99654934437543097</v>
      </c>
      <c r="AH701" s="28">
        <v>0.92</v>
      </c>
      <c r="AI701" s="26">
        <v>0.97331618710818202</v>
      </c>
      <c r="AJ701" s="26">
        <v>0.98044085687674598</v>
      </c>
      <c r="AK701" s="26">
        <v>0.96956198960653295</v>
      </c>
      <c r="AL701" s="26">
        <v>0.97789737340915295</v>
      </c>
      <c r="AM701" s="25">
        <v>0.99</v>
      </c>
      <c r="AN701" s="30">
        <v>1</v>
      </c>
      <c r="AO701" s="30">
        <v>1</v>
      </c>
      <c r="AP701" s="30">
        <v>1</v>
      </c>
      <c r="AQ701" s="30">
        <v>1</v>
      </c>
      <c r="AR701" s="50">
        <v>8.1059522893420499E-2</v>
      </c>
      <c r="AS701" s="34">
        <v>-5.5555555555555601E-2</v>
      </c>
      <c r="AT701" s="34">
        <v>-0.125</v>
      </c>
      <c r="AU701" s="34">
        <v>0.11111111111111099</v>
      </c>
      <c r="AV701" s="34">
        <v>-1.3157894736842099E-2</v>
      </c>
      <c r="AW701" s="10"/>
      <c r="AX701" s="8"/>
    </row>
    <row r="702" spans="1:50">
      <c r="A702" s="7"/>
      <c r="B702" s="10"/>
      <c r="C702" s="45" t="s">
        <v>688</v>
      </c>
      <c r="D702" s="23" t="s">
        <v>21</v>
      </c>
      <c r="E702" s="68" t="s">
        <v>748</v>
      </c>
      <c r="F702" s="68" t="s">
        <v>748</v>
      </c>
      <c r="G702" s="68" t="s">
        <v>748</v>
      </c>
      <c r="H702" s="68" t="s">
        <v>748</v>
      </c>
      <c r="I702" s="25">
        <v>0.9</v>
      </c>
      <c r="J702" s="26">
        <v>1</v>
      </c>
      <c r="K702" s="26">
        <v>0.75</v>
      </c>
      <c r="L702" s="27">
        <v>0.73333333333333295</v>
      </c>
      <c r="M702" s="26">
        <v>0.842592592592593</v>
      </c>
      <c r="N702" s="28">
        <v>0.9</v>
      </c>
      <c r="O702" s="26">
        <v>0.99261311172668498</v>
      </c>
      <c r="P702" s="26">
        <v>0.99377334993773303</v>
      </c>
      <c r="Q702" s="26">
        <v>0.99379652605459101</v>
      </c>
      <c r="R702" s="26">
        <v>0.99135250680139897</v>
      </c>
      <c r="S702" s="28">
        <v>0.9</v>
      </c>
      <c r="T702" s="26">
        <v>0.96999076638965798</v>
      </c>
      <c r="U702" s="26">
        <v>0.96762141967621396</v>
      </c>
      <c r="V702" s="26">
        <v>0.96650124069478904</v>
      </c>
      <c r="W702" s="26">
        <v>0.96725612125923</v>
      </c>
      <c r="X702" s="28">
        <v>0.92</v>
      </c>
      <c r="Y702" s="28">
        <v>0.96165644171779097</v>
      </c>
      <c r="Z702" s="28">
        <v>0.96623794212218606</v>
      </c>
      <c r="AA702" s="28">
        <v>0.97038724373576302</v>
      </c>
      <c r="AB702" s="28">
        <v>0.96786444639205405</v>
      </c>
      <c r="AC702" s="28">
        <v>0.92</v>
      </c>
      <c r="AD702" s="26">
        <v>1</v>
      </c>
      <c r="AE702" s="26">
        <v>0.99708454810495595</v>
      </c>
      <c r="AF702" s="26">
        <v>0.99774266365688502</v>
      </c>
      <c r="AG702" s="26">
        <v>0.99700982486116996</v>
      </c>
      <c r="AH702" s="28">
        <v>0.92</v>
      </c>
      <c r="AI702" s="26">
        <v>0.98545067423704802</v>
      </c>
      <c r="AJ702" s="26">
        <v>0.98581326294952198</v>
      </c>
      <c r="AK702" s="26">
        <v>0.98313253012048196</v>
      </c>
      <c r="AL702" s="26">
        <v>0.98483412322274899</v>
      </c>
      <c r="AM702" s="25">
        <v>0.99</v>
      </c>
      <c r="AN702" s="30">
        <v>1</v>
      </c>
      <c r="AO702" s="30">
        <v>1</v>
      </c>
      <c r="AP702" s="30">
        <v>1</v>
      </c>
      <c r="AQ702" s="30">
        <v>1</v>
      </c>
      <c r="AR702" s="50">
        <v>8.1059522893420499E-2</v>
      </c>
      <c r="AS702" s="34">
        <v>-0.125</v>
      </c>
      <c r="AT702" s="34">
        <v>0.25</v>
      </c>
      <c r="AU702" s="34">
        <v>0</v>
      </c>
      <c r="AV702" s="34">
        <v>1.9230769230769201E-2</v>
      </c>
      <c r="AW702" s="10"/>
      <c r="AX702" s="8"/>
    </row>
    <row r="703" spans="1:50">
      <c r="A703" s="7"/>
      <c r="B703" s="10"/>
      <c r="C703" s="45" t="s">
        <v>688</v>
      </c>
      <c r="D703" s="23" t="s">
        <v>21</v>
      </c>
      <c r="E703" s="68" t="s">
        <v>749</v>
      </c>
      <c r="F703" s="68" t="s">
        <v>749</v>
      </c>
      <c r="G703" s="68" t="s">
        <v>749</v>
      </c>
      <c r="H703" s="68" t="s">
        <v>749</v>
      </c>
      <c r="I703" s="25">
        <v>0.9</v>
      </c>
      <c r="J703" s="26">
        <v>0.97014925373134298</v>
      </c>
      <c r="K703" s="26">
        <v>0.97014925373134298</v>
      </c>
      <c r="L703" s="27">
        <v>0.96226415094339601</v>
      </c>
      <c r="M703" s="26">
        <v>0.96883116883116904</v>
      </c>
      <c r="N703" s="28">
        <v>0.9</v>
      </c>
      <c r="O703" s="26">
        <v>0.93638888888888905</v>
      </c>
      <c r="P703" s="26">
        <v>0.91220669654626896</v>
      </c>
      <c r="Q703" s="26">
        <v>0.93263412666397705</v>
      </c>
      <c r="R703" s="26">
        <v>0.93298467526149398</v>
      </c>
      <c r="S703" s="28">
        <v>0.9</v>
      </c>
      <c r="T703" s="26">
        <v>0.89902777777777798</v>
      </c>
      <c r="U703" s="26">
        <v>0.91932507250197704</v>
      </c>
      <c r="V703" s="26">
        <v>0.915288422751109</v>
      </c>
      <c r="W703" s="26">
        <v>0.91236925322305995</v>
      </c>
      <c r="X703" s="28">
        <v>0.92</v>
      </c>
      <c r="Y703" s="28">
        <v>0.90760869565217395</v>
      </c>
      <c r="Z703" s="28">
        <v>0.90489279824079205</v>
      </c>
      <c r="AA703" s="28">
        <v>0.893895348837209</v>
      </c>
      <c r="AB703" s="28">
        <v>0.89065718030331398</v>
      </c>
      <c r="AC703" s="28">
        <v>0.92</v>
      </c>
      <c r="AD703" s="26">
        <v>0.99906279287722599</v>
      </c>
      <c r="AE703" s="26">
        <v>0.99265785609397905</v>
      </c>
      <c r="AF703" s="26">
        <v>0.99325129019452196</v>
      </c>
      <c r="AG703" s="26">
        <v>0.99508256880733903</v>
      </c>
      <c r="AH703" s="28">
        <v>0.92</v>
      </c>
      <c r="AI703" s="26">
        <v>0.95359930615784905</v>
      </c>
      <c r="AJ703" s="26">
        <v>0.95332270069112202</v>
      </c>
      <c r="AK703" s="26">
        <v>0.932313278008299</v>
      </c>
      <c r="AL703" s="26">
        <v>0.94512530983200205</v>
      </c>
      <c r="AM703" s="25">
        <v>0.99</v>
      </c>
      <c r="AN703" s="30">
        <v>1</v>
      </c>
      <c r="AO703" s="30">
        <v>1</v>
      </c>
      <c r="AP703" s="30">
        <v>1</v>
      </c>
      <c r="AQ703" s="30">
        <v>1</v>
      </c>
      <c r="AR703" s="50">
        <v>8.1059522893420499E-2</v>
      </c>
      <c r="AS703" s="34">
        <v>0</v>
      </c>
      <c r="AT703" s="34">
        <v>2.8571428571428598E-2</v>
      </c>
      <c r="AU703" s="34">
        <v>0</v>
      </c>
      <c r="AV703" s="34">
        <v>3.6144578313252997E-2</v>
      </c>
      <c r="AW703" s="10"/>
      <c r="AX703" s="8"/>
    </row>
    <row r="704" spans="1:50">
      <c r="A704" s="7"/>
      <c r="B704" s="10"/>
      <c r="C704" s="45" t="s">
        <v>688</v>
      </c>
      <c r="D704" s="23" t="s">
        <v>21</v>
      </c>
      <c r="E704" s="68" t="s">
        <v>750</v>
      </c>
      <c r="F704" s="68" t="s">
        <v>750</v>
      </c>
      <c r="G704" s="68" t="s">
        <v>750</v>
      </c>
      <c r="H704" s="68" t="s">
        <v>750</v>
      </c>
      <c r="I704" s="25">
        <v>0.9</v>
      </c>
      <c r="J704" s="26">
        <v>0.97142857142857097</v>
      </c>
      <c r="K704" s="26">
        <v>1</v>
      </c>
      <c r="L704" s="27">
        <v>0.95833333333333304</v>
      </c>
      <c r="M704" s="26">
        <v>0.98499999999999999</v>
      </c>
      <c r="N704" s="28">
        <v>0.9</v>
      </c>
      <c r="O704" s="26">
        <v>0.97232947232947198</v>
      </c>
      <c r="P704" s="26">
        <v>0.99064254522769801</v>
      </c>
      <c r="Q704" s="26">
        <v>0.98619499568593605</v>
      </c>
      <c r="R704" s="26">
        <v>0.98405148293228895</v>
      </c>
      <c r="S704" s="28">
        <v>0.9</v>
      </c>
      <c r="T704" s="26">
        <v>0.92052767052767004</v>
      </c>
      <c r="U704" s="26">
        <v>0.92638802245789098</v>
      </c>
      <c r="V704" s="26">
        <v>0.93356341673856802</v>
      </c>
      <c r="W704" s="26">
        <v>0.93137940682708498</v>
      </c>
      <c r="X704" s="28">
        <v>0.92</v>
      </c>
      <c r="Y704" s="28">
        <v>0.91445783132530101</v>
      </c>
      <c r="Z704" s="28">
        <v>0.90295857988165695</v>
      </c>
      <c r="AA704" s="28">
        <v>0.88888888888888895</v>
      </c>
      <c r="AB704" s="28">
        <v>0.90560211733568596</v>
      </c>
      <c r="AC704" s="28">
        <v>0.92</v>
      </c>
      <c r="AD704" s="26">
        <v>1</v>
      </c>
      <c r="AE704" s="26">
        <v>0.99619289340101502</v>
      </c>
      <c r="AF704" s="26">
        <v>0.99653379549393395</v>
      </c>
      <c r="AG704" s="26">
        <v>0.99595719381688497</v>
      </c>
      <c r="AH704" s="28">
        <v>0.92</v>
      </c>
      <c r="AI704" s="26">
        <v>0.96495683087861905</v>
      </c>
      <c r="AJ704" s="26">
        <v>0.96248766041460998</v>
      </c>
      <c r="AK704" s="26">
        <v>0.95017381228273501</v>
      </c>
      <c r="AL704" s="26">
        <v>0.96171613656878896</v>
      </c>
      <c r="AM704" s="25">
        <v>0.99</v>
      </c>
      <c r="AN704" s="30">
        <v>1</v>
      </c>
      <c r="AO704" s="30">
        <v>1</v>
      </c>
      <c r="AP704" s="30">
        <v>1</v>
      </c>
      <c r="AQ704" s="30">
        <v>1</v>
      </c>
      <c r="AR704" s="50">
        <v>8.1059522893420499E-2</v>
      </c>
      <c r="AS704" s="34">
        <v>0</v>
      </c>
      <c r="AT704" s="34">
        <v>0.125</v>
      </c>
      <c r="AU704" s="34">
        <v>0</v>
      </c>
      <c r="AV704" s="34">
        <v>2.8985507246376802E-2</v>
      </c>
      <c r="AW704" s="10"/>
      <c r="AX704" s="8"/>
    </row>
    <row r="705" spans="1:50">
      <c r="A705" s="7"/>
      <c r="B705" s="10"/>
      <c r="C705" s="45" t="s">
        <v>688</v>
      </c>
      <c r="D705" s="23" t="s">
        <v>21</v>
      </c>
      <c r="E705" s="68" t="s">
        <v>751</v>
      </c>
      <c r="F705" s="68" t="s">
        <v>751</v>
      </c>
      <c r="G705" s="68" t="s">
        <v>751</v>
      </c>
      <c r="H705" s="68" t="s">
        <v>751</v>
      </c>
      <c r="I705" s="25">
        <v>0.9</v>
      </c>
      <c r="J705" s="26">
        <v>0.85714285714285698</v>
      </c>
      <c r="K705" s="26">
        <v>0.85714285714285698</v>
      </c>
      <c r="L705" s="27">
        <v>0.73684210526315796</v>
      </c>
      <c r="M705" s="26">
        <v>0.82258064516129004</v>
      </c>
      <c r="N705" s="28">
        <v>0.9</v>
      </c>
      <c r="O705" s="26">
        <v>0.96808111152835197</v>
      </c>
      <c r="P705" s="26">
        <v>0.96830985915492995</v>
      </c>
      <c r="Q705" s="26">
        <v>0.95638629283489096</v>
      </c>
      <c r="R705" s="26">
        <v>0.96644677905366905</v>
      </c>
      <c r="S705" s="28">
        <v>0.9</v>
      </c>
      <c r="T705" s="26">
        <v>0.92564776567780704</v>
      </c>
      <c r="U705" s="26">
        <v>0.91830985915493002</v>
      </c>
      <c r="V705" s="26">
        <v>0.95327102803738295</v>
      </c>
      <c r="W705" s="26">
        <v>0.93444091538398899</v>
      </c>
      <c r="X705" s="28">
        <v>0.92</v>
      </c>
      <c r="Y705" s="28">
        <v>0.94151212553495001</v>
      </c>
      <c r="Z705" s="28">
        <v>0.94628099173553704</v>
      </c>
      <c r="AA705" s="28">
        <v>0.92900608519269801</v>
      </c>
      <c r="AB705" s="28">
        <v>0.94534412955465597</v>
      </c>
      <c r="AC705" s="28">
        <v>0.92</v>
      </c>
      <c r="AD705" s="26">
        <v>0.99115044247787598</v>
      </c>
      <c r="AE705" s="26">
        <v>0.980609418282548</v>
      </c>
      <c r="AF705" s="26">
        <v>0.97938144329896903</v>
      </c>
      <c r="AG705" s="26">
        <v>0.98055555555555596</v>
      </c>
      <c r="AH705" s="28">
        <v>0.92</v>
      </c>
      <c r="AI705" s="26">
        <v>0.97562425683709897</v>
      </c>
      <c r="AJ705" s="26">
        <v>0.97616376892877199</v>
      </c>
      <c r="AK705" s="26">
        <v>0.96497252747252704</v>
      </c>
      <c r="AL705" s="26">
        <v>0.973262690980779</v>
      </c>
      <c r="AM705" s="25">
        <v>0.99</v>
      </c>
      <c r="AN705" s="30">
        <v>1</v>
      </c>
      <c r="AO705" s="30">
        <v>1</v>
      </c>
      <c r="AP705" s="30">
        <v>1</v>
      </c>
      <c r="AQ705" s="30">
        <v>1</v>
      </c>
      <c r="AR705" s="50">
        <v>8.1059522893420499E-2</v>
      </c>
      <c r="AS705" s="34">
        <v>0</v>
      </c>
      <c r="AT705" s="34">
        <v>0</v>
      </c>
      <c r="AU705" s="34">
        <v>0</v>
      </c>
      <c r="AV705" s="34">
        <v>-0.02</v>
      </c>
      <c r="AW705" s="10"/>
      <c r="AX705" s="8"/>
    </row>
    <row r="706" spans="1:50">
      <c r="A706" s="7"/>
      <c r="B706" s="10"/>
      <c r="C706" s="45" t="s">
        <v>688</v>
      </c>
      <c r="D706" s="23" t="s">
        <v>21</v>
      </c>
      <c r="E706" s="68" t="s">
        <v>752</v>
      </c>
      <c r="F706" s="68" t="s">
        <v>752</v>
      </c>
      <c r="G706" s="68" t="s">
        <v>752</v>
      </c>
      <c r="H706" s="68" t="s">
        <v>752</v>
      </c>
      <c r="I706" s="25">
        <v>0.9</v>
      </c>
      <c r="J706" s="26">
        <v>0.8</v>
      </c>
      <c r="K706" s="26">
        <v>0.8</v>
      </c>
      <c r="L706" s="27">
        <v>0.85714285714285698</v>
      </c>
      <c r="M706" s="26">
        <v>0.82954545454545503</v>
      </c>
      <c r="N706" s="28">
        <v>0.9</v>
      </c>
      <c r="O706" s="26">
        <v>0.99211267605633802</v>
      </c>
      <c r="P706" s="26">
        <v>1</v>
      </c>
      <c r="Q706" s="26">
        <v>0.99823633156966496</v>
      </c>
      <c r="R706" s="26">
        <v>0.99722116963496299</v>
      </c>
      <c r="S706" s="28">
        <v>0.9</v>
      </c>
      <c r="T706" s="26">
        <v>0.96056338028168997</v>
      </c>
      <c r="U706" s="26">
        <v>0.96612992781787899</v>
      </c>
      <c r="V706" s="26">
        <v>0.98412698412698396</v>
      </c>
      <c r="W706" s="26">
        <v>0.97486421624352704</v>
      </c>
      <c r="X706" s="28">
        <v>0.92</v>
      </c>
      <c r="Y706" s="28">
        <v>0.96544276457883405</v>
      </c>
      <c r="Z706" s="28">
        <v>0.96436058700209604</v>
      </c>
      <c r="AA706" s="28">
        <v>0.965189873417722</v>
      </c>
      <c r="AB706" s="28">
        <v>0.97275102650242595</v>
      </c>
      <c r="AC706" s="28">
        <v>0.92</v>
      </c>
      <c r="AD706" s="26">
        <v>0.99886234357224102</v>
      </c>
      <c r="AE706" s="26">
        <v>0.99319727891156495</v>
      </c>
      <c r="AF706" s="26">
        <v>0.99896480331262905</v>
      </c>
      <c r="AG706" s="26">
        <v>0.99785072293864796</v>
      </c>
      <c r="AH706" s="28">
        <v>0.92</v>
      </c>
      <c r="AI706" s="26">
        <v>0.98614834673815899</v>
      </c>
      <c r="AJ706" s="26">
        <v>0.98595258999122004</v>
      </c>
      <c r="AK706" s="26">
        <v>0.98527746319365805</v>
      </c>
      <c r="AL706" s="26">
        <v>0.98867604038878898</v>
      </c>
      <c r="AM706" s="25">
        <v>0.99</v>
      </c>
      <c r="AN706" s="30">
        <v>1</v>
      </c>
      <c r="AO706" s="30">
        <v>1</v>
      </c>
      <c r="AP706" s="30">
        <v>1</v>
      </c>
      <c r="AQ706" s="30">
        <v>1</v>
      </c>
      <c r="AR706" s="50">
        <v>8.1059522893420499E-2</v>
      </c>
      <c r="AS706" s="34">
        <v>0</v>
      </c>
      <c r="AT706" s="34">
        <v>0</v>
      </c>
      <c r="AU706" s="34">
        <v>0</v>
      </c>
      <c r="AV706" s="34">
        <v>7.1428571428571397E-2</v>
      </c>
      <c r="AW706" s="10"/>
      <c r="AX706" s="8"/>
    </row>
    <row r="707" spans="1:50">
      <c r="A707" s="7"/>
      <c r="B707" s="10"/>
      <c r="C707" s="45" t="s">
        <v>688</v>
      </c>
      <c r="D707" s="23" t="s">
        <v>21</v>
      </c>
      <c r="E707" s="68" t="s">
        <v>753</v>
      </c>
      <c r="F707" s="68" t="s">
        <v>753</v>
      </c>
      <c r="G707" s="68" t="s">
        <v>753</v>
      </c>
      <c r="H707" s="68" t="s">
        <v>753</v>
      </c>
      <c r="I707" s="25">
        <v>0.9</v>
      </c>
      <c r="J707" s="26">
        <v>1</v>
      </c>
      <c r="K707" s="26">
        <v>0.9375</v>
      </c>
      <c r="L707" s="27">
        <v>0.78571428571428603</v>
      </c>
      <c r="M707" s="26">
        <v>0.87234042553191504</v>
      </c>
      <c r="N707" s="28">
        <v>0.9</v>
      </c>
      <c r="O707" s="26">
        <v>0.96406755300035896</v>
      </c>
      <c r="P707" s="26">
        <v>0.90373470701867398</v>
      </c>
      <c r="Q707" s="26">
        <v>0.97556390977443597</v>
      </c>
      <c r="R707" s="26">
        <v>0.95363214837712496</v>
      </c>
      <c r="S707" s="28">
        <v>0.9</v>
      </c>
      <c r="T707" s="26">
        <v>0.93100970176068998</v>
      </c>
      <c r="U707" s="26">
        <v>0.88184159690920805</v>
      </c>
      <c r="V707" s="26">
        <v>0.94736842105263197</v>
      </c>
      <c r="W707" s="26">
        <v>0.92981593367992099</v>
      </c>
      <c r="X707" s="28">
        <v>0.92</v>
      </c>
      <c r="Y707" s="28">
        <v>0.936555891238671</v>
      </c>
      <c r="Z707" s="28">
        <v>0.95746691871455603</v>
      </c>
      <c r="AA707" s="28">
        <v>0.93989983305509195</v>
      </c>
      <c r="AB707" s="28">
        <v>0.95211411105450805</v>
      </c>
      <c r="AC707" s="28">
        <v>0.92</v>
      </c>
      <c r="AD707" s="26">
        <v>0.99512195121951197</v>
      </c>
      <c r="AE707" s="26">
        <v>0.97345132743362806</v>
      </c>
      <c r="AF707" s="26">
        <v>0.97602739726027399</v>
      </c>
      <c r="AG707" s="26">
        <v>0.97704081632653095</v>
      </c>
      <c r="AH707" s="28">
        <v>0.92</v>
      </c>
      <c r="AI707" s="26">
        <v>0.97504352872896105</v>
      </c>
      <c r="AJ707" s="26">
        <v>0.97719087635054003</v>
      </c>
      <c r="AK707" s="26">
        <v>0.96933253156945298</v>
      </c>
      <c r="AL707" s="26">
        <v>0.97522708505367495</v>
      </c>
      <c r="AM707" s="25">
        <v>0.99</v>
      </c>
      <c r="AN707" s="30">
        <v>1</v>
      </c>
      <c r="AO707" s="30">
        <v>1</v>
      </c>
      <c r="AP707" s="30">
        <v>1</v>
      </c>
      <c r="AQ707" s="30">
        <v>1</v>
      </c>
      <c r="AR707" s="50">
        <v>8.1059522893420499E-2</v>
      </c>
      <c r="AS707" s="34">
        <v>0</v>
      </c>
      <c r="AT707" s="34">
        <v>0</v>
      </c>
      <c r="AU707" s="34">
        <v>0</v>
      </c>
      <c r="AV707" s="34">
        <v>3.5087719298245598E-2</v>
      </c>
      <c r="AW707" s="10"/>
      <c r="AX707" s="8"/>
    </row>
    <row r="708" spans="1:50">
      <c r="A708" s="7"/>
      <c r="B708" s="10"/>
      <c r="C708" s="45" t="s">
        <v>688</v>
      </c>
      <c r="D708" s="23" t="s">
        <v>21</v>
      </c>
      <c r="E708" s="68" t="s">
        <v>754</v>
      </c>
      <c r="F708" s="68" t="s">
        <v>754</v>
      </c>
      <c r="G708" s="68" t="s">
        <v>754</v>
      </c>
      <c r="H708" s="68" t="s">
        <v>754</v>
      </c>
      <c r="I708" s="25">
        <v>0.9</v>
      </c>
      <c r="J708" s="26">
        <v>0.87301587301587302</v>
      </c>
      <c r="K708" s="26">
        <v>0.85714285714285698</v>
      </c>
      <c r="L708" s="27">
        <v>0.875</v>
      </c>
      <c r="M708" s="26">
        <v>0.86149584487534603</v>
      </c>
      <c r="N708" s="28">
        <v>0.9</v>
      </c>
      <c r="O708" s="26">
        <v>0.97442101624611099</v>
      </c>
      <c r="P708" s="26">
        <v>0.90799492385786795</v>
      </c>
      <c r="Q708" s="26">
        <v>0.979479479479479</v>
      </c>
      <c r="R708" s="26">
        <v>0.96107438883642804</v>
      </c>
      <c r="S708" s="28">
        <v>0.9</v>
      </c>
      <c r="T708" s="26">
        <v>0.93086761147597696</v>
      </c>
      <c r="U708" s="26">
        <v>0.87357233502538101</v>
      </c>
      <c r="V708" s="26">
        <v>0.93343343343343299</v>
      </c>
      <c r="W708" s="26">
        <v>0.92505158605253002</v>
      </c>
      <c r="X708" s="28">
        <v>0.92</v>
      </c>
      <c r="Y708" s="28">
        <v>0.95004460303300597</v>
      </c>
      <c r="Z708" s="28">
        <v>0.90854503464203196</v>
      </c>
      <c r="AA708" s="28">
        <v>0.95672333848531699</v>
      </c>
      <c r="AB708" s="28">
        <v>0.93206909988310205</v>
      </c>
      <c r="AC708" s="28">
        <v>0.92</v>
      </c>
      <c r="AD708" s="26">
        <v>0.99483870967741905</v>
      </c>
      <c r="AE708" s="26">
        <v>0.95776255707762603</v>
      </c>
      <c r="AF708" s="26">
        <v>0.964049195837275</v>
      </c>
      <c r="AG708" s="26">
        <v>0.96128071481757305</v>
      </c>
      <c r="AH708" s="28">
        <v>0.92</v>
      </c>
      <c r="AI708" s="26">
        <v>0.96034158344188703</v>
      </c>
      <c r="AJ708" s="26">
        <v>0.94691518225787397</v>
      </c>
      <c r="AK708" s="26">
        <v>0.96538111144852701</v>
      </c>
      <c r="AL708" s="26">
        <v>0.95670256424380995</v>
      </c>
      <c r="AM708" s="25">
        <v>0.99</v>
      </c>
      <c r="AN708" s="30">
        <v>1</v>
      </c>
      <c r="AO708" s="30">
        <v>1</v>
      </c>
      <c r="AP708" s="30">
        <v>1</v>
      </c>
      <c r="AQ708" s="30">
        <v>1</v>
      </c>
      <c r="AR708" s="50">
        <v>8.1059522893420499E-2</v>
      </c>
      <c r="AS708" s="34">
        <v>-4.5454545454545497E-2</v>
      </c>
      <c r="AT708" s="34">
        <v>7.1428571428571397E-2</v>
      </c>
      <c r="AU708" s="34">
        <v>0</v>
      </c>
      <c r="AV708" s="34">
        <v>2.68456375838926E-2</v>
      </c>
      <c r="AW708" s="10"/>
      <c r="AX708" s="8"/>
    </row>
    <row r="709" spans="1:50">
      <c r="A709" s="7"/>
      <c r="B709" s="10"/>
      <c r="C709" s="45" t="s">
        <v>688</v>
      </c>
      <c r="D709" s="23" t="s">
        <v>21</v>
      </c>
      <c r="E709" s="68" t="s">
        <v>755</v>
      </c>
      <c r="F709" s="68" t="s">
        <v>755</v>
      </c>
      <c r="G709" s="68" t="s">
        <v>755</v>
      </c>
      <c r="H709" s="68" t="s">
        <v>755</v>
      </c>
      <c r="I709" s="25">
        <v>0.9</v>
      </c>
      <c r="J709" s="26">
        <v>0.92682926829268297</v>
      </c>
      <c r="K709" s="26">
        <v>0.95121951219512202</v>
      </c>
      <c r="L709" s="27">
        <v>0.83783783783783805</v>
      </c>
      <c r="M709" s="26">
        <v>0.86250000000000004</v>
      </c>
      <c r="N709" s="28">
        <v>0.9</v>
      </c>
      <c r="O709" s="26">
        <v>0.94533029612756303</v>
      </c>
      <c r="P709" s="26">
        <v>0.85840890354493005</v>
      </c>
      <c r="Q709" s="26">
        <v>0.91287878787878796</v>
      </c>
      <c r="R709" s="26">
        <v>0.90923927826638895</v>
      </c>
      <c r="S709" s="28">
        <v>0.9</v>
      </c>
      <c r="T709" s="26">
        <v>0.92847380410022795</v>
      </c>
      <c r="U709" s="26">
        <v>0.86685902720527597</v>
      </c>
      <c r="V709" s="26">
        <v>0.95138888888888895</v>
      </c>
      <c r="W709" s="26">
        <v>0.92093571493335702</v>
      </c>
      <c r="X709" s="28">
        <v>0.92</v>
      </c>
      <c r="Y709" s="28">
        <v>0.94794520547945205</v>
      </c>
      <c r="Z709" s="28">
        <v>0.93590470788428803</v>
      </c>
      <c r="AA709" s="28">
        <v>0.96833503575076596</v>
      </c>
      <c r="AB709" s="28">
        <v>0.94516327788046794</v>
      </c>
      <c r="AC709" s="28">
        <v>0.92</v>
      </c>
      <c r="AD709" s="26">
        <v>0.99125874125874103</v>
      </c>
      <c r="AE709" s="26">
        <v>0.94695170229612002</v>
      </c>
      <c r="AF709" s="26">
        <v>0.96465043205027501</v>
      </c>
      <c r="AG709" s="26">
        <v>0.96232713400095404</v>
      </c>
      <c r="AH709" s="28">
        <v>0.92</v>
      </c>
      <c r="AI709" s="26">
        <v>0.95589575359941703</v>
      </c>
      <c r="AJ709" s="26">
        <v>0.95951050007553995</v>
      </c>
      <c r="AK709" s="26">
        <v>0.96528861154446199</v>
      </c>
      <c r="AL709" s="26">
        <v>0.96071703662208496</v>
      </c>
      <c r="AM709" s="25">
        <v>0.99</v>
      </c>
      <c r="AN709" s="30">
        <v>1</v>
      </c>
      <c r="AO709" s="30">
        <v>1</v>
      </c>
      <c r="AP709" s="30">
        <v>1</v>
      </c>
      <c r="AQ709" s="30">
        <v>1</v>
      </c>
      <c r="AR709" s="50">
        <v>8.1059522893420499E-2</v>
      </c>
      <c r="AS709" s="34">
        <v>0.125</v>
      </c>
      <c r="AT709" s="34">
        <v>0</v>
      </c>
      <c r="AU709" s="34">
        <v>0.04</v>
      </c>
      <c r="AV709" s="34">
        <v>6.9230769230769207E-2</v>
      </c>
      <c r="AW709" s="10"/>
      <c r="AX709" s="8"/>
    </row>
    <row r="710" spans="1:50">
      <c r="A710" s="7"/>
      <c r="B710" s="10"/>
      <c r="C710" s="45" t="s">
        <v>688</v>
      </c>
      <c r="D710" s="23" t="s">
        <v>21</v>
      </c>
      <c r="E710" s="68" t="s">
        <v>756</v>
      </c>
      <c r="F710" s="68" t="s">
        <v>756</v>
      </c>
      <c r="G710" s="68" t="s">
        <v>756</v>
      </c>
      <c r="H710" s="68" t="s">
        <v>756</v>
      </c>
      <c r="I710" s="25">
        <v>0.9</v>
      </c>
      <c r="J710" s="26">
        <v>0.86666666666666703</v>
      </c>
      <c r="K710" s="26">
        <v>0.93333333333333302</v>
      </c>
      <c r="L710" s="27">
        <v>0.82499999999999996</v>
      </c>
      <c r="M710" s="26">
        <v>0.88389513108614204</v>
      </c>
      <c r="N710" s="28">
        <v>0.9</v>
      </c>
      <c r="O710" s="26">
        <v>0.94934102141680399</v>
      </c>
      <c r="P710" s="26">
        <v>0.84343434343434298</v>
      </c>
      <c r="Q710" s="26">
        <v>0.93862275449101795</v>
      </c>
      <c r="R710" s="26">
        <v>0.92291000907405196</v>
      </c>
      <c r="S710" s="28">
        <v>0.9</v>
      </c>
      <c r="T710" s="26">
        <v>0.95922570016474495</v>
      </c>
      <c r="U710" s="26">
        <v>0.88221500721500701</v>
      </c>
      <c r="V710" s="26">
        <v>0.96357285429141704</v>
      </c>
      <c r="W710" s="26">
        <v>0.94389868623505702</v>
      </c>
      <c r="X710" s="28">
        <v>0.92</v>
      </c>
      <c r="Y710" s="28">
        <v>0.96359411309062704</v>
      </c>
      <c r="Z710" s="28">
        <v>0.96465903434544598</v>
      </c>
      <c r="AA710" s="28">
        <v>0.98117839607201296</v>
      </c>
      <c r="AB710" s="28">
        <v>0.97229024358809102</v>
      </c>
      <c r="AC710" s="28">
        <v>0.92</v>
      </c>
      <c r="AD710" s="26">
        <v>0.99955810870525896</v>
      </c>
      <c r="AE710" s="26">
        <v>0.99795918367346903</v>
      </c>
      <c r="AF710" s="26">
        <v>0.99812312312312301</v>
      </c>
      <c r="AG710" s="26">
        <v>0.99147746642121803</v>
      </c>
      <c r="AH710" s="28">
        <v>0.92</v>
      </c>
      <c r="AI710" s="26">
        <v>0.983897202342225</v>
      </c>
      <c r="AJ710" s="26">
        <v>0.97789543348775598</v>
      </c>
      <c r="AK710" s="26">
        <v>0.98327137546468402</v>
      </c>
      <c r="AL710" s="26">
        <v>0.98296895760357506</v>
      </c>
      <c r="AM710" s="25">
        <v>0.99</v>
      </c>
      <c r="AN710" s="30">
        <v>1</v>
      </c>
      <c r="AO710" s="30">
        <v>1</v>
      </c>
      <c r="AP710" s="30">
        <v>1</v>
      </c>
      <c r="AQ710" s="30">
        <v>1</v>
      </c>
      <c r="AR710" s="50">
        <v>8.1059522893420499E-2</v>
      </c>
      <c r="AS710" s="34">
        <v>7.1428571428571397E-2</v>
      </c>
      <c r="AT710" s="34">
        <v>0</v>
      </c>
      <c r="AU710" s="34">
        <v>0</v>
      </c>
      <c r="AV710" s="34">
        <v>3.5714285714285698E-2</v>
      </c>
      <c r="AW710" s="10"/>
      <c r="AX710" s="8"/>
    </row>
    <row r="711" spans="1:50">
      <c r="A711" s="7"/>
      <c r="B711" s="10"/>
      <c r="C711" s="45" t="s">
        <v>688</v>
      </c>
      <c r="D711" s="23" t="s">
        <v>21</v>
      </c>
      <c r="E711" s="68" t="s">
        <v>757</v>
      </c>
      <c r="F711" s="68" t="s">
        <v>757</v>
      </c>
      <c r="G711" s="68" t="s">
        <v>757</v>
      </c>
      <c r="H711" s="68" t="s">
        <v>757</v>
      </c>
      <c r="I711" s="25">
        <v>0.9</v>
      </c>
      <c r="J711" s="26">
        <v>1</v>
      </c>
      <c r="K711" s="26">
        <v>0.96666666666666701</v>
      </c>
      <c r="L711" s="27">
        <v>0.91304347826086996</v>
      </c>
      <c r="M711" s="26">
        <v>0.94767441860465096</v>
      </c>
      <c r="N711" s="28">
        <v>0.9</v>
      </c>
      <c r="O711" s="26">
        <v>0.93021826006762998</v>
      </c>
      <c r="P711" s="26">
        <v>0.86472303206997103</v>
      </c>
      <c r="Q711" s="26">
        <v>0.92582897033158795</v>
      </c>
      <c r="R711" s="26">
        <v>0.91331026829427497</v>
      </c>
      <c r="S711" s="28">
        <v>0.9</v>
      </c>
      <c r="T711" s="26">
        <v>0.90255149093144804</v>
      </c>
      <c r="U711" s="26">
        <v>0.83323615160349895</v>
      </c>
      <c r="V711" s="26">
        <v>0.90052356020942403</v>
      </c>
      <c r="W711" s="26">
        <v>0.89699066518702297</v>
      </c>
      <c r="X711" s="28">
        <v>0.92</v>
      </c>
      <c r="Y711" s="28">
        <v>0.94556962025316504</v>
      </c>
      <c r="Z711" s="28">
        <v>0.94318181818181801</v>
      </c>
      <c r="AA711" s="28">
        <v>0.95704697986577203</v>
      </c>
      <c r="AB711" s="28">
        <v>0.94738010657193605</v>
      </c>
      <c r="AC711" s="28">
        <v>0.92</v>
      </c>
      <c r="AD711" s="26">
        <v>0.99435028248587598</v>
      </c>
      <c r="AE711" s="26">
        <v>0.99516129032258105</v>
      </c>
      <c r="AF711" s="26">
        <v>0.91495601173020502</v>
      </c>
      <c r="AG711" s="26">
        <v>0.97981700753498402</v>
      </c>
      <c r="AH711" s="28">
        <v>0.92</v>
      </c>
      <c r="AI711" s="26">
        <v>0.97130843433094205</v>
      </c>
      <c r="AJ711" s="26">
        <v>0.96610896610896602</v>
      </c>
      <c r="AK711" s="26">
        <v>0.96033844526705403</v>
      </c>
      <c r="AL711" s="26">
        <v>0.96554681194511705</v>
      </c>
      <c r="AM711" s="25">
        <v>0.99</v>
      </c>
      <c r="AN711" s="30">
        <v>1</v>
      </c>
      <c r="AO711" s="30">
        <v>1</v>
      </c>
      <c r="AP711" s="30">
        <v>1</v>
      </c>
      <c r="AQ711" s="30">
        <v>1</v>
      </c>
      <c r="AR711" s="50">
        <v>8.1059522893420499E-2</v>
      </c>
      <c r="AS711" s="34">
        <v>0</v>
      </c>
      <c r="AT711" s="34">
        <v>0</v>
      </c>
      <c r="AU711" s="34">
        <v>0</v>
      </c>
      <c r="AV711" s="34">
        <v>0.04</v>
      </c>
      <c r="AW711" s="10"/>
      <c r="AX711" s="8"/>
    </row>
    <row r="712" spans="1:50">
      <c r="A712" s="7"/>
      <c r="B712" s="10"/>
      <c r="C712" s="45" t="s">
        <v>688</v>
      </c>
      <c r="D712" s="23" t="s">
        <v>21</v>
      </c>
      <c r="E712" s="68" t="s">
        <v>758</v>
      </c>
      <c r="F712" s="68" t="s">
        <v>758</v>
      </c>
      <c r="G712" s="68" t="s">
        <v>758</v>
      </c>
      <c r="H712" s="68" t="s">
        <v>758</v>
      </c>
      <c r="I712" s="25">
        <v>0.9</v>
      </c>
      <c r="J712" s="26">
        <v>0.80392156862745101</v>
      </c>
      <c r="K712" s="26">
        <v>0.72549019607843102</v>
      </c>
      <c r="L712" s="27">
        <v>0.69047619047619002</v>
      </c>
      <c r="M712" s="26">
        <v>0.72727272727272696</v>
      </c>
      <c r="N712" s="28">
        <v>0.9</v>
      </c>
      <c r="O712" s="26">
        <v>0.96959459459459496</v>
      </c>
      <c r="P712" s="26">
        <v>0.87692307692307703</v>
      </c>
      <c r="Q712" s="26">
        <v>0.94330601092896205</v>
      </c>
      <c r="R712" s="26">
        <v>0.94284743129066695</v>
      </c>
      <c r="S712" s="28">
        <v>0.9</v>
      </c>
      <c r="T712" s="26">
        <v>0.92374517374517395</v>
      </c>
      <c r="U712" s="26">
        <v>0.84615384615384603</v>
      </c>
      <c r="V712" s="26">
        <v>0.92896174863388004</v>
      </c>
      <c r="W712" s="26">
        <v>0.90463241720889598</v>
      </c>
      <c r="X712" s="28">
        <v>0.92</v>
      </c>
      <c r="Y712" s="28">
        <v>0.96326905417814501</v>
      </c>
      <c r="Z712" s="28">
        <v>0.96269113149847096</v>
      </c>
      <c r="AA712" s="28">
        <v>0.95814977973568305</v>
      </c>
      <c r="AB712" s="28">
        <v>0.965036086607859</v>
      </c>
      <c r="AC712" s="28">
        <v>0.92</v>
      </c>
      <c r="AD712" s="26">
        <v>0.99948638931689804</v>
      </c>
      <c r="AE712" s="26">
        <v>0.99457700650759195</v>
      </c>
      <c r="AF712" s="26">
        <v>0.99153386454183301</v>
      </c>
      <c r="AG712" s="26">
        <v>0.99515933844292004</v>
      </c>
      <c r="AH712" s="28">
        <v>0.92</v>
      </c>
      <c r="AI712" s="26">
        <v>0.977455101260986</v>
      </c>
      <c r="AJ712" s="26">
        <v>0.97673267326732705</v>
      </c>
      <c r="AK712" s="26">
        <v>0.97512647554806098</v>
      </c>
      <c r="AL712" s="26">
        <v>0.97775293460033497</v>
      </c>
      <c r="AM712" s="25">
        <v>0.99</v>
      </c>
      <c r="AN712" s="30">
        <v>1</v>
      </c>
      <c r="AO712" s="30">
        <v>1</v>
      </c>
      <c r="AP712" s="30">
        <v>1</v>
      </c>
      <c r="AQ712" s="30">
        <v>1</v>
      </c>
      <c r="AR712" s="50">
        <v>8.1059522893420499E-2</v>
      </c>
      <c r="AS712" s="34">
        <v>0</v>
      </c>
      <c r="AT712" s="34">
        <v>0</v>
      </c>
      <c r="AU712" s="34">
        <v>0</v>
      </c>
      <c r="AV712" s="34">
        <v>2.66666666666667E-2</v>
      </c>
      <c r="AW712" s="10"/>
      <c r="AX712" s="8"/>
    </row>
    <row r="713" spans="1:50">
      <c r="A713" s="7"/>
      <c r="B713" s="10"/>
      <c r="C713" s="45" t="s">
        <v>688</v>
      </c>
      <c r="D713" s="23" t="s">
        <v>21</v>
      </c>
      <c r="E713" s="68" t="s">
        <v>759</v>
      </c>
      <c r="F713" s="68" t="s">
        <v>759</v>
      </c>
      <c r="G713" s="68" t="s">
        <v>759</v>
      </c>
      <c r="H713" s="68" t="s">
        <v>759</v>
      </c>
      <c r="I713" s="25">
        <v>0.9</v>
      </c>
      <c r="J713" s="26">
        <v>1</v>
      </c>
      <c r="K713" s="26">
        <v>0.97499999999999998</v>
      </c>
      <c r="L713" s="27">
        <v>0.931034482758621</v>
      </c>
      <c r="M713" s="26">
        <v>0.92344497607655496</v>
      </c>
      <c r="N713" s="28">
        <v>0.9</v>
      </c>
      <c r="O713" s="26">
        <v>0.97150924024640695</v>
      </c>
      <c r="P713" s="26">
        <v>0.87694090382387002</v>
      </c>
      <c r="Q713" s="26">
        <v>0.96</v>
      </c>
      <c r="R713" s="26">
        <v>0.94879197690320605</v>
      </c>
      <c r="S713" s="28">
        <v>0.9</v>
      </c>
      <c r="T713" s="26">
        <v>0.93454825462012303</v>
      </c>
      <c r="U713" s="26">
        <v>0.898725376593279</v>
      </c>
      <c r="V713" s="26">
        <v>0.94928571428571396</v>
      </c>
      <c r="W713" s="26">
        <v>0.92138985969710796</v>
      </c>
      <c r="X713" s="28">
        <v>0.92</v>
      </c>
      <c r="Y713" s="28">
        <v>0.96544715447154505</v>
      </c>
      <c r="Z713" s="28">
        <v>0.96604527296937404</v>
      </c>
      <c r="AA713" s="28">
        <v>0.97766097240473104</v>
      </c>
      <c r="AB713" s="28">
        <v>0.96690307328605196</v>
      </c>
      <c r="AC713" s="28">
        <v>0.92</v>
      </c>
      <c r="AD713" s="26">
        <v>0.99797570850202399</v>
      </c>
      <c r="AE713" s="26">
        <v>0.97966101694915297</v>
      </c>
      <c r="AF713" s="26">
        <v>0.99590163934426201</v>
      </c>
      <c r="AG713" s="26">
        <v>0.99227202472952103</v>
      </c>
      <c r="AH713" s="28">
        <v>0.92</v>
      </c>
      <c r="AI713" s="26">
        <v>0.97540983606557397</v>
      </c>
      <c r="AJ713" s="26">
        <v>0.97198831414332398</v>
      </c>
      <c r="AK713" s="26">
        <v>0.96583564173591896</v>
      </c>
      <c r="AL713" s="26">
        <v>0.97339140764205101</v>
      </c>
      <c r="AM713" s="25">
        <v>0.99</v>
      </c>
      <c r="AN713" s="30">
        <v>1</v>
      </c>
      <c r="AO713" s="30">
        <v>1</v>
      </c>
      <c r="AP713" s="30">
        <v>1</v>
      </c>
      <c r="AQ713" s="30">
        <v>1</v>
      </c>
      <c r="AR713" s="50">
        <v>8.1059522893420499E-2</v>
      </c>
      <c r="AS713" s="34">
        <v>0</v>
      </c>
      <c r="AT713" s="34">
        <v>0</v>
      </c>
      <c r="AU713" s="34">
        <v>0.11111111111111099</v>
      </c>
      <c r="AV713" s="34">
        <v>1.4492753623188401E-2</v>
      </c>
      <c r="AW713" s="10"/>
      <c r="AX713" s="8"/>
    </row>
    <row r="714" spans="1:50">
      <c r="A714" s="7"/>
      <c r="B714" s="10"/>
      <c r="C714" s="45" t="s">
        <v>688</v>
      </c>
      <c r="D714" s="23" t="s">
        <v>21</v>
      </c>
      <c r="E714" s="68" t="s">
        <v>760</v>
      </c>
      <c r="F714" s="68" t="s">
        <v>760</v>
      </c>
      <c r="G714" s="68" t="s">
        <v>760</v>
      </c>
      <c r="H714" s="68" t="s">
        <v>760</v>
      </c>
      <c r="I714" s="25">
        <v>0.9</v>
      </c>
      <c r="J714" s="26">
        <v>0.63636363636363602</v>
      </c>
      <c r="K714" s="26">
        <v>0.66666666666666696</v>
      </c>
      <c r="L714" s="27">
        <v>0.9375</v>
      </c>
      <c r="M714" s="26">
        <v>0.69172932330827097</v>
      </c>
      <c r="N714" s="28">
        <v>0.9</v>
      </c>
      <c r="O714" s="26">
        <v>0.93906810035842303</v>
      </c>
      <c r="P714" s="26">
        <v>0.88385598141695698</v>
      </c>
      <c r="Q714" s="26">
        <v>0.938271604938272</v>
      </c>
      <c r="R714" s="26">
        <v>0.92436098069900896</v>
      </c>
      <c r="S714" s="28">
        <v>0.9</v>
      </c>
      <c r="T714" s="26">
        <v>0.89685384309040195</v>
      </c>
      <c r="U714" s="26">
        <v>0.833139759969028</v>
      </c>
      <c r="V714" s="26">
        <v>0.89506172839506204</v>
      </c>
      <c r="W714" s="26">
        <v>0.88462876021561498</v>
      </c>
      <c r="X714" s="28">
        <v>0.92</v>
      </c>
      <c r="Y714" s="28">
        <v>0.88517745302714002</v>
      </c>
      <c r="Z714" s="28">
        <v>0.93383947939262502</v>
      </c>
      <c r="AA714" s="28">
        <v>0.90114068441064599</v>
      </c>
      <c r="AB714" s="28">
        <v>0.92197253433208504</v>
      </c>
      <c r="AC714" s="28">
        <v>0.92</v>
      </c>
      <c r="AD714" s="26">
        <v>1</v>
      </c>
      <c r="AE714" s="26">
        <v>0.93805309734513298</v>
      </c>
      <c r="AF714" s="26">
        <v>0.99408284023668603</v>
      </c>
      <c r="AG714" s="26">
        <v>0.98887652947719695</v>
      </c>
      <c r="AH714" s="28">
        <v>0.92</v>
      </c>
      <c r="AI714" s="26">
        <v>0.94249414911400897</v>
      </c>
      <c r="AJ714" s="26">
        <v>0.950071326676177</v>
      </c>
      <c r="AK714" s="26">
        <v>0.93492894540015004</v>
      </c>
      <c r="AL714" s="26">
        <v>0.94948670881773101</v>
      </c>
      <c r="AM714" s="25">
        <v>0.99</v>
      </c>
      <c r="AN714" s="30">
        <v>1</v>
      </c>
      <c r="AO714" s="30">
        <v>0</v>
      </c>
      <c r="AP714" s="30">
        <v>1</v>
      </c>
      <c r="AQ714" s="30">
        <v>1</v>
      </c>
      <c r="AR714" s="50">
        <v>8.1059522893420499E-2</v>
      </c>
      <c r="AS714" s="34">
        <v>0</v>
      </c>
      <c r="AT714" s="34">
        <v>0</v>
      </c>
      <c r="AU714" s="34">
        <v>0</v>
      </c>
      <c r="AV714" s="34">
        <v>0</v>
      </c>
      <c r="AW714" s="10"/>
      <c r="AX714" s="8"/>
    </row>
    <row r="715" spans="1:50">
      <c r="A715" s="7"/>
      <c r="B715" s="10"/>
      <c r="C715" s="45" t="s">
        <v>688</v>
      </c>
      <c r="D715" s="23" t="s">
        <v>21</v>
      </c>
      <c r="E715" s="68" t="s">
        <v>761</v>
      </c>
      <c r="F715" s="68" t="s">
        <v>761</v>
      </c>
      <c r="G715" s="68" t="s">
        <v>761</v>
      </c>
      <c r="H715" s="68" t="s">
        <v>761</v>
      </c>
      <c r="I715" s="25">
        <v>0.9</v>
      </c>
      <c r="J715" s="26">
        <v>0.9</v>
      </c>
      <c r="K715" s="26">
        <v>0.86666666666666703</v>
      </c>
      <c r="L715" s="27">
        <v>0.81481481481481499</v>
      </c>
      <c r="M715" s="26">
        <v>0.87861271676300601</v>
      </c>
      <c r="N715" s="28">
        <v>0.9</v>
      </c>
      <c r="O715" s="26">
        <v>0.96728864316977703</v>
      </c>
      <c r="P715" s="26">
        <v>0.89826104337397605</v>
      </c>
      <c r="Q715" s="26">
        <v>0.972658522396742</v>
      </c>
      <c r="R715" s="26">
        <v>0.95576966166255894</v>
      </c>
      <c r="S715" s="28">
        <v>0.9</v>
      </c>
      <c r="T715" s="26">
        <v>0.941488136374107</v>
      </c>
      <c r="U715" s="26">
        <v>0.87487507495502703</v>
      </c>
      <c r="V715" s="26">
        <v>0.94880744618964497</v>
      </c>
      <c r="W715" s="26">
        <v>0.92977817611472102</v>
      </c>
      <c r="X715" s="28">
        <v>0.92</v>
      </c>
      <c r="Y715" s="28">
        <v>0.97247706422018398</v>
      </c>
      <c r="Z715" s="28">
        <v>0.96356275303643701</v>
      </c>
      <c r="AA715" s="28">
        <v>0.96952380952381001</v>
      </c>
      <c r="AB715" s="28">
        <v>0.96751412429378503</v>
      </c>
      <c r="AC715" s="28">
        <v>0.92</v>
      </c>
      <c r="AD715" s="26">
        <v>1</v>
      </c>
      <c r="AE715" s="26">
        <v>0.99614395886889495</v>
      </c>
      <c r="AF715" s="26">
        <v>0.998902305159166</v>
      </c>
      <c r="AG715" s="26">
        <v>0.99900099900099903</v>
      </c>
      <c r="AH715" s="28">
        <v>0.92</v>
      </c>
      <c r="AI715" s="26">
        <v>0.97463359639233405</v>
      </c>
      <c r="AJ715" s="26">
        <v>0.97460647460647498</v>
      </c>
      <c r="AK715" s="26">
        <v>0.97545126353790601</v>
      </c>
      <c r="AL715" s="26">
        <v>0.97529014045237505</v>
      </c>
      <c r="AM715" s="25">
        <v>0.99</v>
      </c>
      <c r="AN715" s="30">
        <v>1</v>
      </c>
      <c r="AO715" s="30">
        <v>1</v>
      </c>
      <c r="AP715" s="30">
        <v>1</v>
      </c>
      <c r="AQ715" s="30">
        <v>1</v>
      </c>
      <c r="AR715" s="50">
        <v>8.1059522893420499E-2</v>
      </c>
      <c r="AS715" s="34">
        <v>5.8823529411764698E-2</v>
      </c>
      <c r="AT715" s="34">
        <v>5.5555555555555601E-2</v>
      </c>
      <c r="AU715" s="34">
        <v>0</v>
      </c>
      <c r="AV715" s="34">
        <v>7.3170731707317097E-2</v>
      </c>
      <c r="AW715" s="10"/>
      <c r="AX715" s="8"/>
    </row>
    <row r="716" spans="1:50">
      <c r="A716" s="7"/>
      <c r="B716" s="10"/>
      <c r="C716" s="45" t="s">
        <v>688</v>
      </c>
      <c r="D716" s="23" t="s">
        <v>21</v>
      </c>
      <c r="E716" s="68" t="s">
        <v>762</v>
      </c>
      <c r="F716" s="68" t="s">
        <v>762</v>
      </c>
      <c r="G716" s="68" t="s">
        <v>762</v>
      </c>
      <c r="H716" s="68" t="s">
        <v>762</v>
      </c>
      <c r="I716" s="25">
        <v>0.9</v>
      </c>
      <c r="J716" s="26">
        <v>0.9</v>
      </c>
      <c r="K716" s="26">
        <v>0.85</v>
      </c>
      <c r="L716" s="27">
        <v>0.8</v>
      </c>
      <c r="M716" s="26">
        <v>0.82456140350877205</v>
      </c>
      <c r="N716" s="28">
        <v>0.9</v>
      </c>
      <c r="O716" s="26">
        <v>0.96935064935064896</v>
      </c>
      <c r="P716" s="26">
        <v>0.83781401498457497</v>
      </c>
      <c r="Q716" s="26">
        <v>0.89705882352941202</v>
      </c>
      <c r="R716" s="26">
        <v>0.92020654715510497</v>
      </c>
      <c r="S716" s="28">
        <v>0.9</v>
      </c>
      <c r="T716" s="26">
        <v>0.92519480519480501</v>
      </c>
      <c r="U716" s="26">
        <v>0.84486557955046304</v>
      </c>
      <c r="V716" s="26">
        <v>0.92647058823529405</v>
      </c>
      <c r="W716" s="26">
        <v>0.90354637568199503</v>
      </c>
      <c r="X716" s="28">
        <v>0.92</v>
      </c>
      <c r="Y716" s="28">
        <v>0.90063424947145898</v>
      </c>
      <c r="Z716" s="28">
        <v>0.91237113402061898</v>
      </c>
      <c r="AA716" s="28">
        <v>0.871244635193133</v>
      </c>
      <c r="AB716" s="28">
        <v>0.89610817941952503</v>
      </c>
      <c r="AC716" s="28">
        <v>0.92</v>
      </c>
      <c r="AD716" s="26">
        <v>0.98032786885245904</v>
      </c>
      <c r="AE716" s="26">
        <v>0.99264705882352899</v>
      </c>
      <c r="AF716" s="26">
        <v>0.97674418604651203</v>
      </c>
      <c r="AG716" s="26">
        <v>0.98195329087048799</v>
      </c>
      <c r="AH716" s="28">
        <v>0.92</v>
      </c>
      <c r="AI716" s="26">
        <v>0.95371142618849003</v>
      </c>
      <c r="AJ716" s="26">
        <v>0.94418910045961901</v>
      </c>
      <c r="AK716" s="26">
        <v>0.92495636998254804</v>
      </c>
      <c r="AL716" s="26">
        <v>0.94736446349349601</v>
      </c>
      <c r="AM716" s="25">
        <v>0.99</v>
      </c>
      <c r="AN716" s="30">
        <v>1</v>
      </c>
      <c r="AO716" s="30">
        <v>1</v>
      </c>
      <c r="AP716" s="30">
        <v>1</v>
      </c>
      <c r="AQ716" s="30">
        <v>1</v>
      </c>
      <c r="AR716" s="50">
        <v>8.1059522893420499E-2</v>
      </c>
      <c r="AS716" s="34">
        <v>0</v>
      </c>
      <c r="AT716" s="34">
        <v>0</v>
      </c>
      <c r="AU716" s="34">
        <v>0</v>
      </c>
      <c r="AV716" s="34">
        <v>2.6315789473684199E-2</v>
      </c>
      <c r="AW716" s="10"/>
      <c r="AX716" s="8"/>
    </row>
    <row r="717" spans="1:50">
      <c r="A717" s="7"/>
      <c r="B717" s="10"/>
      <c r="C717" s="45" t="s">
        <v>688</v>
      </c>
      <c r="D717" s="23" t="s">
        <v>21</v>
      </c>
      <c r="E717" s="68" t="s">
        <v>763</v>
      </c>
      <c r="F717" s="68" t="s">
        <v>763</v>
      </c>
      <c r="G717" s="68" t="s">
        <v>763</v>
      </c>
      <c r="H717" s="68" t="s">
        <v>763</v>
      </c>
      <c r="I717" s="25">
        <v>0.9</v>
      </c>
      <c r="J717" s="26">
        <v>0.70588235294117696</v>
      </c>
      <c r="K717" s="26">
        <v>0.6</v>
      </c>
      <c r="L717" s="27">
        <v>0.48275862068965503</v>
      </c>
      <c r="M717" s="26">
        <v>0.625</v>
      </c>
      <c r="N717" s="28">
        <v>0.9</v>
      </c>
      <c r="O717" s="26">
        <v>0.943214285714286</v>
      </c>
      <c r="P717" s="26">
        <v>0.62744436952124105</v>
      </c>
      <c r="Q717" s="26">
        <v>0.76889375684556405</v>
      </c>
      <c r="R717" s="26">
        <v>0.80327746183777304</v>
      </c>
      <c r="S717" s="28">
        <v>0.9</v>
      </c>
      <c r="T717" s="26">
        <v>0.85392857142857104</v>
      </c>
      <c r="U717" s="26">
        <v>0.78320971004720197</v>
      </c>
      <c r="V717" s="26">
        <v>0.71193866374589299</v>
      </c>
      <c r="W717" s="26">
        <v>0.76945525291828798</v>
      </c>
      <c r="X717" s="28">
        <v>0.92</v>
      </c>
      <c r="Y717" s="28">
        <v>0.80204342273307805</v>
      </c>
      <c r="Z717" s="28">
        <v>0.882841328413284</v>
      </c>
      <c r="AA717" s="28">
        <v>0.87543859649122802</v>
      </c>
      <c r="AB717" s="28">
        <v>0.84929435483870996</v>
      </c>
      <c r="AC717" s="28">
        <v>0.92</v>
      </c>
      <c r="AD717" s="26">
        <v>1</v>
      </c>
      <c r="AE717" s="26">
        <v>0.96052631578947401</v>
      </c>
      <c r="AF717" s="26">
        <v>0.96</v>
      </c>
      <c r="AG717" s="26">
        <v>0.97125256673511295</v>
      </c>
      <c r="AH717" s="28">
        <v>0.92</v>
      </c>
      <c r="AI717" s="26">
        <v>0.91571308958972897</v>
      </c>
      <c r="AJ717" s="26">
        <v>0.93433720069118698</v>
      </c>
      <c r="AK717" s="26">
        <v>0.89158249158249203</v>
      </c>
      <c r="AL717" s="26">
        <v>0.90925872512258399</v>
      </c>
      <c r="AM717" s="25">
        <v>0.99</v>
      </c>
      <c r="AN717" s="30">
        <v>0</v>
      </c>
      <c r="AO717" s="30">
        <v>1</v>
      </c>
      <c r="AP717" s="30">
        <v>1</v>
      </c>
      <c r="AQ717" s="30">
        <v>1</v>
      </c>
      <c r="AR717" s="50">
        <v>8.1059522893420499E-2</v>
      </c>
      <c r="AS717" s="34">
        <v>0.125</v>
      </c>
      <c r="AT717" s="34">
        <v>0.25</v>
      </c>
      <c r="AU717" s="34">
        <v>0.14285714285714299</v>
      </c>
      <c r="AV717" s="34">
        <v>7.69230769230769E-2</v>
      </c>
      <c r="AW717" s="10"/>
      <c r="AX717" s="8"/>
    </row>
    <row r="718" spans="1:50">
      <c r="A718" s="7"/>
      <c r="B718" s="10"/>
      <c r="C718" s="45" t="s">
        <v>688</v>
      </c>
      <c r="D718" s="23" t="s">
        <v>21</v>
      </c>
      <c r="E718" s="68" t="s">
        <v>764</v>
      </c>
      <c r="F718" s="68" t="s">
        <v>764</v>
      </c>
      <c r="G718" s="68" t="s">
        <v>764</v>
      </c>
      <c r="H718" s="68" t="s">
        <v>764</v>
      </c>
      <c r="I718" s="25">
        <v>0.9</v>
      </c>
      <c r="J718" s="26">
        <v>0.98113207547169801</v>
      </c>
      <c r="K718" s="26">
        <v>0.96363636363636396</v>
      </c>
      <c r="L718" s="27">
        <v>0.952380952380952</v>
      </c>
      <c r="M718" s="26">
        <v>0.963455149501661</v>
      </c>
      <c r="N718" s="28">
        <v>0.9</v>
      </c>
      <c r="O718" s="26">
        <v>0.96071624337657602</v>
      </c>
      <c r="P718" s="26">
        <v>0.91114125826691506</v>
      </c>
      <c r="Q718" s="26">
        <v>0.97455867082035297</v>
      </c>
      <c r="R718" s="26">
        <v>0.95954375992026897</v>
      </c>
      <c r="S718" s="28">
        <v>0.9</v>
      </c>
      <c r="T718" s="26">
        <v>0.96601498264206098</v>
      </c>
      <c r="U718" s="26">
        <v>0.89859250466338803</v>
      </c>
      <c r="V718" s="26">
        <v>0.96625129802699905</v>
      </c>
      <c r="W718" s="26">
        <v>0.95064781661806497</v>
      </c>
      <c r="X718" s="28">
        <v>0.92</v>
      </c>
      <c r="Y718" s="28">
        <v>0.95031055900621098</v>
      </c>
      <c r="Z718" s="28">
        <v>0.95291262135922306</v>
      </c>
      <c r="AA718" s="28">
        <v>0.97308662741799801</v>
      </c>
      <c r="AB718" s="28">
        <v>0.95624586913417098</v>
      </c>
      <c r="AC718" s="28">
        <v>0.92</v>
      </c>
      <c r="AD718" s="26">
        <v>0.99681190223166805</v>
      </c>
      <c r="AE718" s="26">
        <v>0.97792869269949101</v>
      </c>
      <c r="AF718" s="26">
        <v>0.96428571428571397</v>
      </c>
      <c r="AG718" s="26">
        <v>0.98417919799498699</v>
      </c>
      <c r="AH718" s="28">
        <v>0.92</v>
      </c>
      <c r="AI718" s="26">
        <v>0.97455997633486202</v>
      </c>
      <c r="AJ718" s="26">
        <v>0.97461354781953002</v>
      </c>
      <c r="AK718" s="26">
        <v>0.973996789727127</v>
      </c>
      <c r="AL718" s="26">
        <v>0.97455059583922399</v>
      </c>
      <c r="AM718" s="25">
        <v>0.99</v>
      </c>
      <c r="AN718" s="30">
        <v>1</v>
      </c>
      <c r="AO718" s="30">
        <v>1</v>
      </c>
      <c r="AP718" s="30">
        <v>1</v>
      </c>
      <c r="AQ718" s="30">
        <v>1</v>
      </c>
      <c r="AR718" s="50">
        <v>8.1059522893420499E-2</v>
      </c>
      <c r="AS718" s="34">
        <v>5.5555555555555601E-2</v>
      </c>
      <c r="AT718" s="34">
        <v>4.5454545454545497E-2</v>
      </c>
      <c r="AU718" s="34">
        <v>0</v>
      </c>
      <c r="AV718" s="34">
        <v>3.3333333333333298E-2</v>
      </c>
      <c r="AW718" s="10"/>
      <c r="AX718" s="8"/>
    </row>
    <row r="719" spans="1:50">
      <c r="A719" s="7"/>
      <c r="B719" s="10"/>
      <c r="C719" s="45" t="s">
        <v>688</v>
      </c>
      <c r="D719" s="23" t="s">
        <v>21</v>
      </c>
      <c r="E719" s="68" t="s">
        <v>765</v>
      </c>
      <c r="F719" s="68" t="s">
        <v>765</v>
      </c>
      <c r="G719" s="68" t="s">
        <v>765</v>
      </c>
      <c r="H719" s="68" t="s">
        <v>765</v>
      </c>
      <c r="I719" s="25">
        <v>0.9</v>
      </c>
      <c r="J719" s="26">
        <v>0.97872340425531901</v>
      </c>
      <c r="K719" s="26">
        <v>0.97872340425531901</v>
      </c>
      <c r="L719" s="27">
        <v>0.97499999999999998</v>
      </c>
      <c r="M719" s="26">
        <v>0.97276264591439698</v>
      </c>
      <c r="N719" s="28">
        <v>0.9</v>
      </c>
      <c r="O719" s="26">
        <v>0.97885032537961003</v>
      </c>
      <c r="P719" s="26">
        <v>0.96642995480955496</v>
      </c>
      <c r="Q719" s="26">
        <v>0.97846889952153104</v>
      </c>
      <c r="R719" s="26">
        <v>0.96840942192757795</v>
      </c>
      <c r="S719" s="28">
        <v>0.9</v>
      </c>
      <c r="T719" s="26">
        <v>0.94360086767895901</v>
      </c>
      <c r="U719" s="26">
        <v>0.90466967936303</v>
      </c>
      <c r="V719" s="26">
        <v>0.95514354066985596</v>
      </c>
      <c r="W719" s="26">
        <v>0.92104866656621998</v>
      </c>
      <c r="X719" s="28">
        <v>0.92</v>
      </c>
      <c r="Y719" s="28">
        <v>0.93742177722152698</v>
      </c>
      <c r="Z719" s="28">
        <v>0.92603850050658598</v>
      </c>
      <c r="AA719" s="28">
        <v>0.94322132097334899</v>
      </c>
      <c r="AB719" s="28">
        <v>0.92210944395410399</v>
      </c>
      <c r="AC719" s="28">
        <v>0.92</v>
      </c>
      <c r="AD719" s="26">
        <v>0.99658994032395598</v>
      </c>
      <c r="AE719" s="26">
        <v>0.99809523809523804</v>
      </c>
      <c r="AF719" s="26">
        <v>1</v>
      </c>
      <c r="AG719" s="26">
        <v>0.99792199488491096</v>
      </c>
      <c r="AH719" s="28">
        <v>0.92</v>
      </c>
      <c r="AI719" s="26">
        <v>0.96768442166258095</v>
      </c>
      <c r="AJ719" s="26">
        <v>0.96006389776357803</v>
      </c>
      <c r="AK719" s="26">
        <v>0.96094674556213</v>
      </c>
      <c r="AL719" s="26">
        <v>0.95696461444058101</v>
      </c>
      <c r="AM719" s="25">
        <v>0.99</v>
      </c>
      <c r="AN719" s="30">
        <v>1</v>
      </c>
      <c r="AO719" s="30">
        <v>1</v>
      </c>
      <c r="AP719" s="30">
        <v>1</v>
      </c>
      <c r="AQ719" s="30">
        <v>1</v>
      </c>
      <c r="AR719" s="50">
        <v>8.1059522893420499E-2</v>
      </c>
      <c r="AS719" s="34">
        <v>3.7037037037037E-2</v>
      </c>
      <c r="AT719" s="34">
        <v>3.8461538461538498E-2</v>
      </c>
      <c r="AU719" s="34">
        <v>0.105263157894737</v>
      </c>
      <c r="AV719" s="34">
        <v>2.9411764705882401E-2</v>
      </c>
      <c r="AW719" s="10"/>
      <c r="AX719" s="8"/>
    </row>
    <row r="720" spans="1:50">
      <c r="A720" s="7"/>
      <c r="B720" s="10"/>
      <c r="C720" s="45" t="s">
        <v>688</v>
      </c>
      <c r="D720" s="23" t="s">
        <v>21</v>
      </c>
      <c r="E720" s="68" t="s">
        <v>766</v>
      </c>
      <c r="F720" s="68" t="s">
        <v>766</v>
      </c>
      <c r="G720" s="68" t="s">
        <v>766</v>
      </c>
      <c r="H720" s="68" t="s">
        <v>766</v>
      </c>
      <c r="I720" s="25">
        <v>0.9</v>
      </c>
      <c r="J720" s="26">
        <v>0.97368421052631604</v>
      </c>
      <c r="K720" s="26">
        <v>0.97368421052631604</v>
      </c>
      <c r="L720" s="27">
        <v>0.98507462686567204</v>
      </c>
      <c r="M720" s="26">
        <v>0.98368298368298401</v>
      </c>
      <c r="N720" s="28">
        <v>0.9</v>
      </c>
      <c r="O720" s="26">
        <v>0.99042446762898395</v>
      </c>
      <c r="P720" s="26">
        <v>0.96156178004122705</v>
      </c>
      <c r="Q720" s="26">
        <v>0.98771172367984095</v>
      </c>
      <c r="R720" s="26">
        <v>0.97890788508059001</v>
      </c>
      <c r="S720" s="28">
        <v>0.9</v>
      </c>
      <c r="T720" s="26">
        <v>0.91910818922395299</v>
      </c>
      <c r="U720" s="26">
        <v>0.90202497878016297</v>
      </c>
      <c r="V720" s="26">
        <v>0.94586516107605401</v>
      </c>
      <c r="W720" s="26">
        <v>0.915332554157267</v>
      </c>
      <c r="X720" s="28">
        <v>0.92</v>
      </c>
      <c r="Y720" s="28">
        <v>0.93425378040762697</v>
      </c>
      <c r="Z720" s="28">
        <v>0.94605092792404</v>
      </c>
      <c r="AA720" s="28">
        <v>0.96051779935275095</v>
      </c>
      <c r="AB720" s="28">
        <v>0.94746501491167701</v>
      </c>
      <c r="AC720" s="28">
        <v>0.92</v>
      </c>
      <c r="AD720" s="26">
        <v>0.98603351955307295</v>
      </c>
      <c r="AE720" s="26">
        <v>0.97808219178082201</v>
      </c>
      <c r="AF720" s="26">
        <v>0.98401826484018295</v>
      </c>
      <c r="AG720" s="26">
        <v>0.98079625292740003</v>
      </c>
      <c r="AH720" s="28">
        <v>0.92</v>
      </c>
      <c r="AI720" s="26">
        <v>0.96079352036623999</v>
      </c>
      <c r="AJ720" s="26">
        <v>0.96677394926164295</v>
      </c>
      <c r="AK720" s="26">
        <v>0.97103357472021101</v>
      </c>
      <c r="AL720" s="26">
        <v>0.96622942895436503</v>
      </c>
      <c r="AM720" s="25">
        <v>0.99</v>
      </c>
      <c r="AN720" s="30">
        <v>1</v>
      </c>
      <c r="AO720" s="30">
        <v>1</v>
      </c>
      <c r="AP720" s="30">
        <v>1</v>
      </c>
      <c r="AQ720" s="30">
        <v>1</v>
      </c>
      <c r="AR720" s="50">
        <v>8.1059522893420499E-2</v>
      </c>
      <c r="AS720" s="34">
        <v>8.8888888888888906E-2</v>
      </c>
      <c r="AT720" s="34">
        <v>3.9215686274509803E-2</v>
      </c>
      <c r="AU720" s="34">
        <v>0.1</v>
      </c>
      <c r="AV720" s="34">
        <v>4.8582995951416998E-2</v>
      </c>
      <c r="AW720" s="10"/>
      <c r="AX720" s="8"/>
    </row>
    <row r="721" spans="1:50">
      <c r="A721" s="7"/>
      <c r="B721" s="10"/>
      <c r="C721" s="45" t="s">
        <v>688</v>
      </c>
      <c r="D721" s="23" t="s">
        <v>21</v>
      </c>
      <c r="E721" s="68" t="s">
        <v>767</v>
      </c>
      <c r="F721" s="68" t="s">
        <v>767</v>
      </c>
      <c r="G721" s="68" t="s">
        <v>767</v>
      </c>
      <c r="H721" s="68" t="s">
        <v>767</v>
      </c>
      <c r="I721" s="25">
        <v>0.9</v>
      </c>
      <c r="J721" s="26">
        <v>0.9375</v>
      </c>
      <c r="K721" s="26">
        <v>0.91304347826086996</v>
      </c>
      <c r="L721" s="27">
        <v>0.95555555555555605</v>
      </c>
      <c r="M721" s="26">
        <v>0.92424242424242398</v>
      </c>
      <c r="N721" s="28">
        <v>0.9</v>
      </c>
      <c r="O721" s="26">
        <v>0.93651218858826701</v>
      </c>
      <c r="P721" s="26">
        <v>0.97098939164321296</v>
      </c>
      <c r="Q721" s="26">
        <v>0.92936117936117901</v>
      </c>
      <c r="R721" s="26">
        <v>0.90313018137969103</v>
      </c>
      <c r="S721" s="28">
        <v>0.9</v>
      </c>
      <c r="T721" s="26">
        <v>0.80444682560942904</v>
      </c>
      <c r="U721" s="26">
        <v>0.78653388179259598</v>
      </c>
      <c r="V721" s="26">
        <v>0.74201474201474205</v>
      </c>
      <c r="W721" s="26">
        <v>0.78616289001658002</v>
      </c>
      <c r="X721" s="28">
        <v>0.92</v>
      </c>
      <c r="Y721" s="28">
        <v>0.93035479632063101</v>
      </c>
      <c r="Z721" s="28">
        <v>0.89833641404805897</v>
      </c>
      <c r="AA721" s="28">
        <v>0.93082524271844702</v>
      </c>
      <c r="AB721" s="28">
        <v>0.90806415179579802</v>
      </c>
      <c r="AC721" s="28">
        <v>0.92</v>
      </c>
      <c r="AD721" s="26">
        <v>0.99816176470588203</v>
      </c>
      <c r="AE721" s="26">
        <v>0.99427636958299304</v>
      </c>
      <c r="AF721" s="26">
        <v>0.99740259740259696</v>
      </c>
      <c r="AG721" s="26">
        <v>0.994464675892207</v>
      </c>
      <c r="AH721" s="28">
        <v>0.92</v>
      </c>
      <c r="AI721" s="26">
        <v>0.95950155763239897</v>
      </c>
      <c r="AJ721" s="26">
        <v>0.95738337425464703</v>
      </c>
      <c r="AK721" s="26">
        <v>0.94616639477977205</v>
      </c>
      <c r="AL721" s="26">
        <v>0.94735327963176097</v>
      </c>
      <c r="AM721" s="25">
        <v>0.99</v>
      </c>
      <c r="AN721" s="30">
        <v>1</v>
      </c>
      <c r="AO721" s="30">
        <v>1</v>
      </c>
      <c r="AP721" s="30">
        <v>1</v>
      </c>
      <c r="AQ721" s="30">
        <v>1</v>
      </c>
      <c r="AR721" s="50">
        <v>8.1059522893420499E-2</v>
      </c>
      <c r="AS721" s="34">
        <v>0</v>
      </c>
      <c r="AT721" s="34">
        <v>0</v>
      </c>
      <c r="AU721" s="34">
        <v>8.3333333333333301E-2</v>
      </c>
      <c r="AV721" s="34">
        <v>1.7857142857142901E-2</v>
      </c>
      <c r="AW721" s="10"/>
      <c r="AX721" s="8"/>
    </row>
    <row r="722" spans="1:50">
      <c r="A722" s="7"/>
      <c r="B722" s="10"/>
      <c r="C722" s="45" t="s">
        <v>688</v>
      </c>
      <c r="D722" s="23" t="s">
        <v>21</v>
      </c>
      <c r="E722" s="68" t="s">
        <v>768</v>
      </c>
      <c r="F722" s="68" t="s">
        <v>768</v>
      </c>
      <c r="G722" s="68" t="s">
        <v>768</v>
      </c>
      <c r="H722" s="68" t="s">
        <v>768</v>
      </c>
      <c r="I722" s="25">
        <v>0.9</v>
      </c>
      <c r="J722" s="26">
        <v>0.97297297297297303</v>
      </c>
      <c r="K722" s="26">
        <v>0.95</v>
      </c>
      <c r="L722" s="27">
        <v>0.93333333333333302</v>
      </c>
      <c r="M722" s="26">
        <v>0.96728971962616805</v>
      </c>
      <c r="N722" s="28">
        <v>0.9</v>
      </c>
      <c r="O722" s="26">
        <v>0.94224845995893203</v>
      </c>
      <c r="P722" s="26">
        <v>0.97275940944063199</v>
      </c>
      <c r="Q722" s="26">
        <v>0.97609085475194302</v>
      </c>
      <c r="R722" s="26">
        <v>0.96081215391168495</v>
      </c>
      <c r="S722" s="28">
        <v>0.9</v>
      </c>
      <c r="T722" s="26">
        <v>0.931981519507187</v>
      </c>
      <c r="U722" s="26">
        <v>0.91474318985236003</v>
      </c>
      <c r="V722" s="26">
        <v>0.91990436341900805</v>
      </c>
      <c r="W722" s="26">
        <v>0.92233423257134695</v>
      </c>
      <c r="X722" s="28">
        <v>0.92</v>
      </c>
      <c r="Y722" s="28">
        <v>0.95781637717121604</v>
      </c>
      <c r="Z722" s="28">
        <v>0.96383363471971095</v>
      </c>
      <c r="AA722" s="28">
        <v>0.95081967213114704</v>
      </c>
      <c r="AB722" s="28">
        <v>0.95879828326180305</v>
      </c>
      <c r="AC722" s="28">
        <v>0.92</v>
      </c>
      <c r="AD722" s="26">
        <v>0.98392282958199395</v>
      </c>
      <c r="AE722" s="26">
        <v>0.980582524271845</v>
      </c>
      <c r="AF722" s="26">
        <v>0.994285714285714</v>
      </c>
      <c r="AG722" s="26">
        <v>0.98928238583410999</v>
      </c>
      <c r="AH722" s="28">
        <v>0.92</v>
      </c>
      <c r="AI722" s="26">
        <v>0.96405784772437297</v>
      </c>
      <c r="AJ722" s="26">
        <v>0.970076077768385</v>
      </c>
      <c r="AK722" s="26">
        <v>0.95924020577760205</v>
      </c>
      <c r="AL722" s="26">
        <v>0.96688639007367205</v>
      </c>
      <c r="AM722" s="25">
        <v>0.99</v>
      </c>
      <c r="AN722" s="30">
        <v>1</v>
      </c>
      <c r="AO722" s="30">
        <v>1</v>
      </c>
      <c r="AP722" s="30">
        <v>1</v>
      </c>
      <c r="AQ722" s="30">
        <v>1</v>
      </c>
      <c r="AR722" s="50">
        <v>8.1059522893420499E-2</v>
      </c>
      <c r="AS722" s="34">
        <v>-7.1428571428571397E-2</v>
      </c>
      <c r="AT722" s="34">
        <v>0</v>
      </c>
      <c r="AU722" s="34">
        <v>-6.6666666666666693E-2</v>
      </c>
      <c r="AV722" s="34">
        <v>-9.7087378640776708E-3</v>
      </c>
      <c r="AW722" s="10"/>
      <c r="AX722" s="8"/>
    </row>
    <row r="723" spans="1:50">
      <c r="A723" s="7"/>
      <c r="B723" s="10"/>
      <c r="C723" s="45" t="s">
        <v>688</v>
      </c>
      <c r="D723" s="23" t="s">
        <v>21</v>
      </c>
      <c r="E723" s="68" t="s">
        <v>769</v>
      </c>
      <c r="F723" s="68" t="s">
        <v>769</v>
      </c>
      <c r="G723" s="68" t="s">
        <v>769</v>
      </c>
      <c r="H723" s="68" t="s">
        <v>769</v>
      </c>
      <c r="I723" s="25">
        <v>0.9</v>
      </c>
      <c r="J723" s="26">
        <v>1</v>
      </c>
      <c r="K723" s="26">
        <v>1</v>
      </c>
      <c r="L723" s="27">
        <v>1</v>
      </c>
      <c r="M723" s="26">
        <v>1</v>
      </c>
      <c r="N723" s="28">
        <v>0.9</v>
      </c>
      <c r="O723" s="26">
        <v>0.97619764989454705</v>
      </c>
      <c r="P723" s="26">
        <v>0.93832258064516105</v>
      </c>
      <c r="Q723" s="26">
        <v>0.97664835164835195</v>
      </c>
      <c r="R723" s="26">
        <v>0.95508775955030401</v>
      </c>
      <c r="S723" s="28">
        <v>0.9</v>
      </c>
      <c r="T723" s="26">
        <v>0.93883699909611296</v>
      </c>
      <c r="U723" s="26">
        <v>0.91819354838709699</v>
      </c>
      <c r="V723" s="26">
        <v>0.94848901098901095</v>
      </c>
      <c r="W723" s="26">
        <v>0.93111162097051703</v>
      </c>
      <c r="X723" s="28">
        <v>0.92</v>
      </c>
      <c r="Y723" s="28">
        <v>0.90675675675675704</v>
      </c>
      <c r="Z723" s="28">
        <v>0.89512711864406802</v>
      </c>
      <c r="AA723" s="28">
        <v>0.89440203562341003</v>
      </c>
      <c r="AB723" s="28">
        <v>0.88891537544696098</v>
      </c>
      <c r="AC723" s="28">
        <v>0.92</v>
      </c>
      <c r="AD723" s="26">
        <v>0.997010463378176</v>
      </c>
      <c r="AE723" s="26">
        <v>0.99567723342939496</v>
      </c>
      <c r="AF723" s="26">
        <v>1</v>
      </c>
      <c r="AG723" s="26">
        <v>0.99829434697855701</v>
      </c>
      <c r="AH723" s="28">
        <v>0.92</v>
      </c>
      <c r="AI723" s="26">
        <v>0.96330049261083694</v>
      </c>
      <c r="AJ723" s="26">
        <v>0.95377280265340003</v>
      </c>
      <c r="AK723" s="26">
        <v>0.94248773963441801</v>
      </c>
      <c r="AL723" s="26">
        <v>0.95412335412335403</v>
      </c>
      <c r="AM723" s="25">
        <v>0.99</v>
      </c>
      <c r="AN723" s="30">
        <v>1</v>
      </c>
      <c r="AO723" s="30">
        <v>1</v>
      </c>
      <c r="AP723" s="30">
        <v>1</v>
      </c>
      <c r="AQ723" s="30">
        <v>1</v>
      </c>
      <c r="AR723" s="50">
        <v>8.1059522893420499E-2</v>
      </c>
      <c r="AS723" s="34">
        <v>3.7037037037037E-2</v>
      </c>
      <c r="AT723" s="34">
        <v>4.5454545454545497E-2</v>
      </c>
      <c r="AU723" s="34">
        <v>0.2</v>
      </c>
      <c r="AV723" s="34">
        <v>6.7307692307692304E-2</v>
      </c>
      <c r="AW723" s="10"/>
      <c r="AX723" s="8"/>
    </row>
    <row r="724" spans="1:50">
      <c r="A724" s="7"/>
      <c r="B724" s="10"/>
      <c r="C724" s="45" t="s">
        <v>688</v>
      </c>
      <c r="D724" s="23" t="s">
        <v>21</v>
      </c>
      <c r="E724" s="68" t="s">
        <v>770</v>
      </c>
      <c r="F724" s="68" t="s">
        <v>770</v>
      </c>
      <c r="G724" s="68" t="s">
        <v>770</v>
      </c>
      <c r="H724" s="68" t="s">
        <v>770</v>
      </c>
      <c r="I724" s="25">
        <v>0.9</v>
      </c>
      <c r="J724" s="26">
        <v>0.98181818181818203</v>
      </c>
      <c r="K724" s="26">
        <v>0.98214285714285698</v>
      </c>
      <c r="L724" s="27">
        <v>0.97826086956521696</v>
      </c>
      <c r="M724" s="26">
        <v>0.97704918032786903</v>
      </c>
      <c r="N724" s="28">
        <v>0.9</v>
      </c>
      <c r="O724" s="26">
        <v>0.94119843195818598</v>
      </c>
      <c r="P724" s="26">
        <v>0.92796670971445006</v>
      </c>
      <c r="Q724" s="26">
        <v>0.94642857142857095</v>
      </c>
      <c r="R724" s="26">
        <v>0.93302101368095902</v>
      </c>
      <c r="S724" s="28">
        <v>0.9</v>
      </c>
      <c r="T724" s="26">
        <v>0.79951465372409902</v>
      </c>
      <c r="U724" s="26">
        <v>0.69321279954082404</v>
      </c>
      <c r="V724" s="26">
        <v>0.82936507936507897</v>
      </c>
      <c r="W724" s="26">
        <v>0.73463013884645401</v>
      </c>
      <c r="X724" s="28">
        <v>0.92</v>
      </c>
      <c r="Y724" s="28">
        <v>0.88989169675090296</v>
      </c>
      <c r="Z724" s="28">
        <v>0.88649334178820505</v>
      </c>
      <c r="AA724" s="28">
        <v>0.89104116222760299</v>
      </c>
      <c r="AB724" s="28">
        <v>0.87639446675591304</v>
      </c>
      <c r="AC724" s="28">
        <v>0.92</v>
      </c>
      <c r="AD724" s="26">
        <v>0.99879018320083002</v>
      </c>
      <c r="AE724" s="26">
        <v>0.99857397504456302</v>
      </c>
      <c r="AF724" s="26">
        <v>0.99771363246641898</v>
      </c>
      <c r="AG724" s="26">
        <v>0.99826282074481598</v>
      </c>
      <c r="AH724" s="28">
        <v>0.92</v>
      </c>
      <c r="AI724" s="26">
        <v>0.94895591647331801</v>
      </c>
      <c r="AJ724" s="26">
        <v>0.94547794547794595</v>
      </c>
      <c r="AK724" s="26">
        <v>0.92577813248204299</v>
      </c>
      <c r="AL724" s="26">
        <v>0.93543572593350099</v>
      </c>
      <c r="AM724" s="25">
        <v>0.99</v>
      </c>
      <c r="AN724" s="30">
        <v>1</v>
      </c>
      <c r="AO724" s="30">
        <v>1</v>
      </c>
      <c r="AP724" s="30">
        <v>1</v>
      </c>
      <c r="AQ724" s="30">
        <v>1</v>
      </c>
      <c r="AR724" s="50">
        <v>8.1059522893420499E-2</v>
      </c>
      <c r="AS724" s="34">
        <v>3.7037037037037E-2</v>
      </c>
      <c r="AT724" s="34">
        <v>0</v>
      </c>
      <c r="AU724" s="34">
        <v>0.1</v>
      </c>
      <c r="AV724" s="34">
        <v>4.3209876543209902E-2</v>
      </c>
      <c r="AW724" s="10"/>
      <c r="AX724" s="8"/>
    </row>
    <row r="725" spans="1:50">
      <c r="A725" s="7"/>
      <c r="B725" s="10"/>
      <c r="C725" s="45" t="s">
        <v>688</v>
      </c>
      <c r="D725" s="23" t="s">
        <v>21</v>
      </c>
      <c r="E725" s="68" t="s">
        <v>771</v>
      </c>
      <c r="F725" s="68" t="s">
        <v>771</v>
      </c>
      <c r="G725" s="68" t="s">
        <v>771</v>
      </c>
      <c r="H725" s="68" t="s">
        <v>771</v>
      </c>
      <c r="I725" s="25">
        <v>0.9</v>
      </c>
      <c r="J725" s="26">
        <v>0.931034482758621</v>
      </c>
      <c r="K725" s="26">
        <v>0.96551724137931005</v>
      </c>
      <c r="L725" s="27">
        <v>0.96</v>
      </c>
      <c r="M725" s="26">
        <v>0.95348837209302295</v>
      </c>
      <c r="N725" s="28">
        <v>0.9</v>
      </c>
      <c r="O725" s="26">
        <v>0.93759571209800896</v>
      </c>
      <c r="P725" s="26">
        <v>0.953395851094061</v>
      </c>
      <c r="Q725" s="26">
        <v>0.94764397905759201</v>
      </c>
      <c r="R725" s="26">
        <v>0.94870002795638797</v>
      </c>
      <c r="S725" s="28">
        <v>0.9</v>
      </c>
      <c r="T725" s="26">
        <v>0.88591117917304796</v>
      </c>
      <c r="U725" s="26">
        <v>0.91872691105427695</v>
      </c>
      <c r="V725" s="26">
        <v>0.91448516579406602</v>
      </c>
      <c r="W725" s="26">
        <v>0.91976516634050898</v>
      </c>
      <c r="X725" s="28">
        <v>0.92</v>
      </c>
      <c r="Y725" s="28">
        <v>0.912028725314183</v>
      </c>
      <c r="Z725" s="28">
        <v>0.92144638403989998</v>
      </c>
      <c r="AA725" s="28">
        <v>0.93522906793048999</v>
      </c>
      <c r="AB725" s="28">
        <v>0.92204700981850596</v>
      </c>
      <c r="AC725" s="28">
        <v>0.92</v>
      </c>
      <c r="AD725" s="26">
        <v>1</v>
      </c>
      <c r="AE725" s="26">
        <v>0.985611510791367</v>
      </c>
      <c r="AF725" s="26">
        <v>0.95209580838323304</v>
      </c>
      <c r="AG725" s="26">
        <v>0.97940503432494297</v>
      </c>
      <c r="AH725" s="28">
        <v>0.92</v>
      </c>
      <c r="AI725" s="26">
        <v>0.95675505050505005</v>
      </c>
      <c r="AJ725" s="26">
        <v>0.96135153899560299</v>
      </c>
      <c r="AK725" s="26">
        <v>0.94435075885328801</v>
      </c>
      <c r="AL725" s="26">
        <v>0.95732397554901505</v>
      </c>
      <c r="AM725" s="25">
        <v>0.99</v>
      </c>
      <c r="AN725" s="30">
        <v>1</v>
      </c>
      <c r="AO725" s="30">
        <v>1</v>
      </c>
      <c r="AP725" s="30">
        <v>1</v>
      </c>
      <c r="AQ725" s="30">
        <v>1</v>
      </c>
      <c r="AR725" s="50">
        <v>8.1059522893420499E-2</v>
      </c>
      <c r="AS725" s="34">
        <v>9.0909090909090898E-2</v>
      </c>
      <c r="AT725" s="34">
        <v>0</v>
      </c>
      <c r="AU725" s="34">
        <v>0</v>
      </c>
      <c r="AV725" s="34">
        <v>6.0606060606060601E-2</v>
      </c>
      <c r="AW725" s="10"/>
      <c r="AX725" s="8"/>
    </row>
    <row r="726" spans="1:50">
      <c r="A726" s="7"/>
      <c r="B726" s="10"/>
      <c r="C726" s="45" t="s">
        <v>688</v>
      </c>
      <c r="D726" s="23" t="s">
        <v>21</v>
      </c>
      <c r="E726" s="68" t="s">
        <v>772</v>
      </c>
      <c r="F726" s="68" t="s">
        <v>772</v>
      </c>
      <c r="G726" s="68" t="s">
        <v>772</v>
      </c>
      <c r="H726" s="68" t="s">
        <v>772</v>
      </c>
      <c r="I726" s="25">
        <v>0.9</v>
      </c>
      <c r="J726" s="26">
        <v>1</v>
      </c>
      <c r="K726" s="26">
        <v>0.97058823529411797</v>
      </c>
      <c r="L726" s="27">
        <v>0.931034482758621</v>
      </c>
      <c r="M726" s="26">
        <v>0.979487179487179</v>
      </c>
      <c r="N726" s="28">
        <v>0.9</v>
      </c>
      <c r="O726" s="26">
        <v>0.93052109181141396</v>
      </c>
      <c r="P726" s="26">
        <v>0.96372571963491704</v>
      </c>
      <c r="Q726" s="26">
        <v>0.91407307171853902</v>
      </c>
      <c r="R726" s="26">
        <v>0.94961098637146901</v>
      </c>
      <c r="S726" s="28">
        <v>0.9</v>
      </c>
      <c r="T726" s="26">
        <v>0.84753239591949303</v>
      </c>
      <c r="U726" s="26">
        <v>0.840861221624152</v>
      </c>
      <c r="V726" s="26">
        <v>0.82543978349120395</v>
      </c>
      <c r="W726" s="26">
        <v>0.84716202809252805</v>
      </c>
      <c r="X726" s="28">
        <v>0.92</v>
      </c>
      <c r="Y726" s="28">
        <v>0.91050583657587503</v>
      </c>
      <c r="Z726" s="28">
        <v>0.91161866931479596</v>
      </c>
      <c r="AA726" s="28">
        <v>0.91994917407877996</v>
      </c>
      <c r="AB726" s="28">
        <v>0.89908899789768704</v>
      </c>
      <c r="AC726" s="28">
        <v>0.92</v>
      </c>
      <c r="AD726" s="26">
        <v>0.987341772151899</v>
      </c>
      <c r="AE726" s="26">
        <v>0.97368421052631604</v>
      </c>
      <c r="AF726" s="26">
        <v>0.98418972332015797</v>
      </c>
      <c r="AG726" s="26">
        <v>0.97777777777777797</v>
      </c>
      <c r="AH726" s="28">
        <v>0.92</v>
      </c>
      <c r="AI726" s="26">
        <v>0.94724874943156001</v>
      </c>
      <c r="AJ726" s="26">
        <v>0.947348484848485</v>
      </c>
      <c r="AK726" s="26">
        <v>0.93777581641659302</v>
      </c>
      <c r="AL726" s="26">
        <v>0.944266632526778</v>
      </c>
      <c r="AM726" s="25">
        <v>0.99</v>
      </c>
      <c r="AN726" s="30">
        <v>1</v>
      </c>
      <c r="AO726" s="30">
        <v>1</v>
      </c>
      <c r="AP726" s="30">
        <v>1</v>
      </c>
      <c r="AQ726" s="30">
        <v>1</v>
      </c>
      <c r="AR726" s="50">
        <v>8.1059522893420499E-2</v>
      </c>
      <c r="AS726" s="34">
        <v>6.25E-2</v>
      </c>
      <c r="AT726" s="34">
        <v>0.14285714285714299</v>
      </c>
      <c r="AU726" s="34">
        <v>0</v>
      </c>
      <c r="AV726" s="34">
        <v>5.0632911392405097E-2</v>
      </c>
      <c r="AW726" s="10"/>
      <c r="AX726" s="8"/>
    </row>
    <row r="727" spans="1:50">
      <c r="A727" s="7"/>
      <c r="B727" s="10"/>
      <c r="C727" s="45" t="s">
        <v>688</v>
      </c>
      <c r="D727" s="23" t="s">
        <v>21</v>
      </c>
      <c r="E727" s="68" t="s">
        <v>773</v>
      </c>
      <c r="F727" s="68" t="s">
        <v>773</v>
      </c>
      <c r="G727" s="68" t="s">
        <v>773</v>
      </c>
      <c r="H727" s="68" t="s">
        <v>773</v>
      </c>
      <c r="I727" s="25">
        <v>0.9</v>
      </c>
      <c r="J727" s="26">
        <v>1</v>
      </c>
      <c r="K727" s="26">
        <v>1</v>
      </c>
      <c r="L727" s="27">
        <v>1</v>
      </c>
      <c r="M727" s="26">
        <v>0.79518072289156605</v>
      </c>
      <c r="N727" s="28">
        <v>0.9</v>
      </c>
      <c r="O727" s="26">
        <v>0.97537473233404703</v>
      </c>
      <c r="P727" s="26">
        <v>0.97980684811237895</v>
      </c>
      <c r="Q727" s="26">
        <v>0.96675531914893598</v>
      </c>
      <c r="R727" s="26">
        <v>0.97657602607190097</v>
      </c>
      <c r="S727" s="28">
        <v>0.9</v>
      </c>
      <c r="T727" s="26">
        <v>0.95235546038543895</v>
      </c>
      <c r="U727" s="26">
        <v>0.93678665496049196</v>
      </c>
      <c r="V727" s="26">
        <v>0.93351063829787195</v>
      </c>
      <c r="W727" s="26">
        <v>0.944495366126897</v>
      </c>
      <c r="X727" s="28">
        <v>0.92</v>
      </c>
      <c r="Y727" s="28">
        <v>0.90374331550802101</v>
      </c>
      <c r="Z727" s="28">
        <v>0.93359375</v>
      </c>
      <c r="AA727" s="28">
        <v>0.91111111111111098</v>
      </c>
      <c r="AB727" s="28">
        <v>0.89446529080675397</v>
      </c>
      <c r="AC727" s="28">
        <v>0.92</v>
      </c>
      <c r="AD727" s="26">
        <v>0.99242424242424199</v>
      </c>
      <c r="AE727" s="26">
        <v>1</v>
      </c>
      <c r="AF727" s="26">
        <v>0.984732824427481</v>
      </c>
      <c r="AG727" s="26">
        <v>0.99061032863849796</v>
      </c>
      <c r="AH727" s="28">
        <v>0.92</v>
      </c>
      <c r="AI727" s="26">
        <v>0.968777876895629</v>
      </c>
      <c r="AJ727" s="26">
        <v>0.97491938373342901</v>
      </c>
      <c r="AK727" s="26">
        <v>0.94874100719424503</v>
      </c>
      <c r="AL727" s="26">
        <v>0.964444072617753</v>
      </c>
      <c r="AM727" s="25">
        <v>0.99</v>
      </c>
      <c r="AN727" s="30">
        <v>1</v>
      </c>
      <c r="AO727" s="30">
        <v>1</v>
      </c>
      <c r="AP727" s="30">
        <v>1</v>
      </c>
      <c r="AQ727" s="30">
        <v>1</v>
      </c>
      <c r="AR727" s="50">
        <v>8.1059522893420499E-2</v>
      </c>
      <c r="AS727" s="34">
        <v>0</v>
      </c>
      <c r="AT727" s="34">
        <v>0.2</v>
      </c>
      <c r="AU727" s="34">
        <v>0.11111111111111099</v>
      </c>
      <c r="AV727" s="34">
        <v>7.69230769230769E-2</v>
      </c>
      <c r="AW727" s="10"/>
      <c r="AX727" s="8"/>
    </row>
    <row r="728" spans="1:50">
      <c r="A728" s="7"/>
      <c r="B728" s="10"/>
      <c r="C728" s="45" t="s">
        <v>688</v>
      </c>
      <c r="D728" s="23" t="s">
        <v>21</v>
      </c>
      <c r="E728" s="68" t="s">
        <v>774</v>
      </c>
      <c r="F728" s="68" t="s">
        <v>774</v>
      </c>
      <c r="G728" s="68" t="s">
        <v>774</v>
      </c>
      <c r="H728" s="68" t="s">
        <v>774</v>
      </c>
      <c r="I728" s="25">
        <v>0.9</v>
      </c>
      <c r="J728" s="26">
        <v>0.91666666666666696</v>
      </c>
      <c r="K728" s="26">
        <v>0.97222222222222199</v>
      </c>
      <c r="L728" s="27">
        <v>0.92592592592592604</v>
      </c>
      <c r="M728" s="26">
        <v>0.95604395604395598</v>
      </c>
      <c r="N728" s="28">
        <v>0.9</v>
      </c>
      <c r="O728" s="26">
        <v>0.98085189527159</v>
      </c>
      <c r="P728" s="26">
        <v>0.97692307692307701</v>
      </c>
      <c r="Q728" s="26">
        <v>0.98033707865168496</v>
      </c>
      <c r="R728" s="26">
        <v>0.979512053862304</v>
      </c>
      <c r="S728" s="28">
        <v>0.9</v>
      </c>
      <c r="T728" s="26">
        <v>0.97577178585384905</v>
      </c>
      <c r="U728" s="26">
        <v>0.97446153846153805</v>
      </c>
      <c r="V728" s="26">
        <v>0.97284644194756598</v>
      </c>
      <c r="W728" s="26">
        <v>0.96662564251067795</v>
      </c>
      <c r="X728" s="28">
        <v>0.92</v>
      </c>
      <c r="Y728" s="28">
        <v>0.96748878923766801</v>
      </c>
      <c r="Z728" s="28">
        <v>0.96163069544364499</v>
      </c>
      <c r="AA728" s="28">
        <v>0.95559210526315796</v>
      </c>
      <c r="AB728" s="28">
        <v>0.95914054244452296</v>
      </c>
      <c r="AC728" s="28">
        <v>0.92</v>
      </c>
      <c r="AD728" s="26">
        <v>0.99930458970792801</v>
      </c>
      <c r="AE728" s="26">
        <v>0.99632843791722303</v>
      </c>
      <c r="AF728" s="26">
        <v>0.99902565768106499</v>
      </c>
      <c r="AG728" s="26">
        <v>0.998125172318721</v>
      </c>
      <c r="AH728" s="28">
        <v>0.92</v>
      </c>
      <c r="AI728" s="26">
        <v>0.98464213271515499</v>
      </c>
      <c r="AJ728" s="26">
        <v>0.983559209064652</v>
      </c>
      <c r="AK728" s="26">
        <v>0.97154115586690004</v>
      </c>
      <c r="AL728" s="26">
        <v>0.97891442643135596</v>
      </c>
      <c r="AM728" s="25">
        <v>0.99</v>
      </c>
      <c r="AN728" s="30">
        <v>1</v>
      </c>
      <c r="AO728" s="30">
        <v>1</v>
      </c>
      <c r="AP728" s="30">
        <v>1</v>
      </c>
      <c r="AQ728" s="30">
        <v>1</v>
      </c>
      <c r="AR728" s="50">
        <v>8.1059522893420499E-2</v>
      </c>
      <c r="AS728" s="34">
        <v>0.25</v>
      </c>
      <c r="AT728" s="34">
        <v>6.6666666666666693E-2</v>
      </c>
      <c r="AU728" s="34">
        <v>0</v>
      </c>
      <c r="AV728" s="34">
        <v>5.5555555555555601E-2</v>
      </c>
      <c r="AW728" s="10"/>
      <c r="AX728" s="8"/>
    </row>
    <row r="729" spans="1:50">
      <c r="A729" s="7"/>
      <c r="B729" s="10"/>
      <c r="C729" s="45" t="s">
        <v>688</v>
      </c>
      <c r="D729" s="23" t="s">
        <v>21</v>
      </c>
      <c r="E729" s="68" t="s">
        <v>775</v>
      </c>
      <c r="F729" s="68" t="s">
        <v>775</v>
      </c>
      <c r="G729" s="68" t="s">
        <v>775</v>
      </c>
      <c r="H729" s="68" t="s">
        <v>775</v>
      </c>
      <c r="I729" s="25">
        <v>0.9</v>
      </c>
      <c r="J729" s="26">
        <v>0.96052631578947401</v>
      </c>
      <c r="K729" s="26">
        <v>0.94666666666666699</v>
      </c>
      <c r="L729" s="27">
        <v>0.96875</v>
      </c>
      <c r="M729" s="26">
        <v>0.958620689655172</v>
      </c>
      <c r="N729" s="28">
        <v>0.9</v>
      </c>
      <c r="O729" s="26">
        <v>0.99298147108366097</v>
      </c>
      <c r="P729" s="26">
        <v>0.98823667803787796</v>
      </c>
      <c r="Q729" s="26">
        <v>0.99305072967338404</v>
      </c>
      <c r="R729" s="26">
        <v>0.99241500744954603</v>
      </c>
      <c r="S729" s="28">
        <v>0.9</v>
      </c>
      <c r="T729" s="26">
        <v>0.94174620999438496</v>
      </c>
      <c r="U729" s="26">
        <v>0.94953534878249601</v>
      </c>
      <c r="V729" s="26">
        <v>0.95413481584433602</v>
      </c>
      <c r="W729" s="26">
        <v>0.94655289177840995</v>
      </c>
      <c r="X729" s="28">
        <v>0.92</v>
      </c>
      <c r="Y729" s="28">
        <v>0.95726892707849498</v>
      </c>
      <c r="Z729" s="28">
        <v>0.950605778191985</v>
      </c>
      <c r="AA729" s="28">
        <v>0.96067796610169498</v>
      </c>
      <c r="AB729" s="28">
        <v>0.95498010748935602</v>
      </c>
      <c r="AC729" s="28">
        <v>0.92</v>
      </c>
      <c r="AD729" s="26">
        <v>0.99947773860817302</v>
      </c>
      <c r="AE729" s="26">
        <v>0.99905622219226098</v>
      </c>
      <c r="AF729" s="26">
        <v>0.99841980510929695</v>
      </c>
      <c r="AG729" s="26">
        <v>0.99875838633789304</v>
      </c>
      <c r="AH729" s="28">
        <v>0.92</v>
      </c>
      <c r="AI729" s="26">
        <v>0.97436173650759395</v>
      </c>
      <c r="AJ729" s="26">
        <v>0.97468246526297797</v>
      </c>
      <c r="AK729" s="26">
        <v>0.97375193000514704</v>
      </c>
      <c r="AL729" s="26">
        <v>0.97232407551880196</v>
      </c>
      <c r="AM729" s="25">
        <v>0.99</v>
      </c>
      <c r="AN729" s="30">
        <v>1</v>
      </c>
      <c r="AO729" s="30">
        <v>1</v>
      </c>
      <c r="AP729" s="30">
        <v>1</v>
      </c>
      <c r="AQ729" s="30">
        <v>1</v>
      </c>
      <c r="AR729" s="50">
        <v>8.1059522893420499E-2</v>
      </c>
      <c r="AS729" s="34">
        <v>2.5000000000000001E-2</v>
      </c>
      <c r="AT729" s="34">
        <v>4.7619047619047603E-2</v>
      </c>
      <c r="AU729" s="34">
        <v>0</v>
      </c>
      <c r="AV729" s="34">
        <v>1.3698630136986301E-2</v>
      </c>
      <c r="AW729" s="10"/>
      <c r="AX729" s="8"/>
    </row>
    <row r="730" spans="1:50">
      <c r="A730" s="7"/>
      <c r="B730" s="10"/>
      <c r="C730" s="45" t="s">
        <v>688</v>
      </c>
      <c r="D730" s="23" t="s">
        <v>21</v>
      </c>
      <c r="E730" s="68" t="s">
        <v>776</v>
      </c>
      <c r="F730" s="68" t="s">
        <v>776</v>
      </c>
      <c r="G730" s="68" t="s">
        <v>776</v>
      </c>
      <c r="H730" s="68" t="s">
        <v>776</v>
      </c>
      <c r="I730" s="25">
        <v>0.9</v>
      </c>
      <c r="J730" s="26">
        <v>0.95918367346938804</v>
      </c>
      <c r="K730" s="26">
        <v>1</v>
      </c>
      <c r="L730" s="27">
        <v>0.92105263157894701</v>
      </c>
      <c r="M730" s="26">
        <v>0.96799999999999997</v>
      </c>
      <c r="N730" s="28">
        <v>0.9</v>
      </c>
      <c r="O730" s="26">
        <v>0.98961578400830696</v>
      </c>
      <c r="P730" s="26">
        <v>0.98074009954555297</v>
      </c>
      <c r="Q730" s="26">
        <v>0.98750821827744895</v>
      </c>
      <c r="R730" s="26">
        <v>0.98638915106055303</v>
      </c>
      <c r="S730" s="28">
        <v>0.9</v>
      </c>
      <c r="T730" s="26">
        <v>0.94678089304257496</v>
      </c>
      <c r="U730" s="26">
        <v>0.95585371131789698</v>
      </c>
      <c r="V730" s="26">
        <v>0.95660749506903398</v>
      </c>
      <c r="W730" s="26">
        <v>0.95901842928816206</v>
      </c>
      <c r="X730" s="28">
        <v>0.92</v>
      </c>
      <c r="Y730" s="28">
        <v>0.95665171898355705</v>
      </c>
      <c r="Z730" s="28">
        <v>0.97217847769028898</v>
      </c>
      <c r="AA730" s="28">
        <v>0.96196606202457602</v>
      </c>
      <c r="AB730" s="28">
        <v>0.96436888681881705</v>
      </c>
      <c r="AC730" s="28">
        <v>0.92</v>
      </c>
      <c r="AD730" s="26">
        <v>0.99876847290640403</v>
      </c>
      <c r="AE730" s="26">
        <v>0.99814011159330396</v>
      </c>
      <c r="AF730" s="26">
        <v>0.99916712937257102</v>
      </c>
      <c r="AG730" s="26">
        <v>0.99870435241614297</v>
      </c>
      <c r="AH730" s="28">
        <v>0.92</v>
      </c>
      <c r="AI730" s="26">
        <v>0.97842003853564596</v>
      </c>
      <c r="AJ730" s="26">
        <v>0.98575585847756197</v>
      </c>
      <c r="AK730" s="26">
        <v>0.97554179566563504</v>
      </c>
      <c r="AL730" s="26">
        <v>0.98213974863349895</v>
      </c>
      <c r="AM730" s="25">
        <v>0.99</v>
      </c>
      <c r="AN730" s="30">
        <v>1</v>
      </c>
      <c r="AO730" s="30">
        <v>1</v>
      </c>
      <c r="AP730" s="30">
        <v>1</v>
      </c>
      <c r="AQ730" s="30">
        <v>1</v>
      </c>
      <c r="AR730" s="50">
        <v>8.1059522893420499E-2</v>
      </c>
      <c r="AS730" s="34">
        <v>0</v>
      </c>
      <c r="AT730" s="34">
        <v>0</v>
      </c>
      <c r="AU730" s="34">
        <v>0</v>
      </c>
      <c r="AV730" s="34">
        <v>0</v>
      </c>
      <c r="AW730" s="10"/>
      <c r="AX730" s="8"/>
    </row>
    <row r="731" spans="1:50">
      <c r="A731" s="7"/>
      <c r="B731" s="10"/>
      <c r="C731" s="45" t="s">
        <v>688</v>
      </c>
      <c r="D731" s="23" t="s">
        <v>21</v>
      </c>
      <c r="E731" s="68" t="s">
        <v>777</v>
      </c>
      <c r="F731" s="68" t="s">
        <v>777</v>
      </c>
      <c r="G731" s="68" t="s">
        <v>777</v>
      </c>
      <c r="H731" s="68" t="s">
        <v>777</v>
      </c>
      <c r="I731" s="25">
        <v>0.9</v>
      </c>
      <c r="J731" s="26">
        <v>0.92156862745098</v>
      </c>
      <c r="K731" s="26">
        <v>0.94117647058823495</v>
      </c>
      <c r="L731" s="27">
        <v>1</v>
      </c>
      <c r="M731" s="26">
        <v>0.94444444444444398</v>
      </c>
      <c r="N731" s="28">
        <v>0.9</v>
      </c>
      <c r="O731" s="26">
        <v>0.97005862646566199</v>
      </c>
      <c r="P731" s="26">
        <v>0.97877233327436797</v>
      </c>
      <c r="Q731" s="26">
        <v>0.96551724137931005</v>
      </c>
      <c r="R731" s="26">
        <v>0.97345378184555698</v>
      </c>
      <c r="S731" s="28">
        <v>0.9</v>
      </c>
      <c r="T731" s="26">
        <v>0.93069514237855899</v>
      </c>
      <c r="U731" s="26">
        <v>0.92747213868742295</v>
      </c>
      <c r="V731" s="26">
        <v>0.92423506556580903</v>
      </c>
      <c r="W731" s="26">
        <v>0.928562938309759</v>
      </c>
      <c r="X731" s="28">
        <v>0.92</v>
      </c>
      <c r="Y731" s="28">
        <v>0.94323432343234304</v>
      </c>
      <c r="Z731" s="28">
        <v>0.94540612516644495</v>
      </c>
      <c r="AA731" s="28">
        <v>0.92671984047856404</v>
      </c>
      <c r="AB731" s="28">
        <v>0.93928536845163202</v>
      </c>
      <c r="AC731" s="28">
        <v>0.92</v>
      </c>
      <c r="AD731" s="26">
        <v>0.99882567849686799</v>
      </c>
      <c r="AE731" s="26">
        <v>0.98150398271905004</v>
      </c>
      <c r="AF731" s="26">
        <v>0.97972811829239204</v>
      </c>
      <c r="AG731" s="26">
        <v>0.98021721410790197</v>
      </c>
      <c r="AH731" s="28">
        <v>0.92</v>
      </c>
      <c r="AI731" s="26">
        <v>0.97044334975369495</v>
      </c>
      <c r="AJ731" s="26">
        <v>0.96699544764795098</v>
      </c>
      <c r="AK731" s="26">
        <v>0.94736842105263197</v>
      </c>
      <c r="AL731" s="26">
        <v>0.96264230498945902</v>
      </c>
      <c r="AM731" s="25">
        <v>0.99</v>
      </c>
      <c r="AN731" s="30">
        <v>1</v>
      </c>
      <c r="AO731" s="30">
        <v>1</v>
      </c>
      <c r="AP731" s="30">
        <v>1</v>
      </c>
      <c r="AQ731" s="30">
        <v>1</v>
      </c>
      <c r="AR731" s="50">
        <v>8.1059522893420499E-2</v>
      </c>
      <c r="AS731" s="34">
        <v>0.15384615384615399</v>
      </c>
      <c r="AT731" s="34">
        <v>0</v>
      </c>
      <c r="AU731" s="34">
        <v>6.25E-2</v>
      </c>
      <c r="AV731" s="34">
        <v>8.0357142857142905E-2</v>
      </c>
      <c r="AW731" s="10"/>
      <c r="AX731" s="8"/>
    </row>
    <row r="732" spans="1:50">
      <c r="A732" s="7"/>
      <c r="B732" s="10"/>
      <c r="C732" s="45" t="s">
        <v>688</v>
      </c>
      <c r="D732" s="23" t="s">
        <v>21</v>
      </c>
      <c r="E732" s="68" t="s">
        <v>778</v>
      </c>
      <c r="F732" s="68" t="s">
        <v>778</v>
      </c>
      <c r="G732" s="68" t="s">
        <v>778</v>
      </c>
      <c r="H732" s="68" t="s">
        <v>778</v>
      </c>
      <c r="I732" s="25">
        <v>0.9</v>
      </c>
      <c r="J732" s="26">
        <v>0.95</v>
      </c>
      <c r="K732" s="26">
        <v>0.95</v>
      </c>
      <c r="L732" s="27">
        <v>0.8125</v>
      </c>
      <c r="M732" s="26">
        <v>0.92660550458715596</v>
      </c>
      <c r="N732" s="28">
        <v>0.9</v>
      </c>
      <c r="O732" s="26">
        <v>0.940734557595993</v>
      </c>
      <c r="P732" s="26">
        <v>0.95031271716469801</v>
      </c>
      <c r="Q732" s="26">
        <v>0.96808510638297895</v>
      </c>
      <c r="R732" s="26">
        <v>0.94082933354315801</v>
      </c>
      <c r="S732" s="28">
        <v>0.9</v>
      </c>
      <c r="T732" s="26">
        <v>0.916110183639399</v>
      </c>
      <c r="U732" s="26">
        <v>0.94162612925642797</v>
      </c>
      <c r="V732" s="26">
        <v>0.95335515548281502</v>
      </c>
      <c r="W732" s="26">
        <v>0.92682351089778903</v>
      </c>
      <c r="X732" s="28">
        <v>0.92</v>
      </c>
      <c r="Y732" s="28">
        <v>0.936555891238671</v>
      </c>
      <c r="Z732" s="28">
        <v>0.95279720279720304</v>
      </c>
      <c r="AA732" s="28">
        <v>0.94817813765182202</v>
      </c>
      <c r="AB732" s="28">
        <v>0.94084224598930499</v>
      </c>
      <c r="AC732" s="28">
        <v>0.92</v>
      </c>
      <c r="AD732" s="26">
        <v>0.87823421936700696</v>
      </c>
      <c r="AE732" s="26">
        <v>0.99476696647587903</v>
      </c>
      <c r="AF732" s="26">
        <v>0.99820114472608301</v>
      </c>
      <c r="AG732" s="26">
        <v>0.90870096411781898</v>
      </c>
      <c r="AH732" s="28">
        <v>0.92</v>
      </c>
      <c r="AI732" s="26">
        <v>0.96547654175272901</v>
      </c>
      <c r="AJ732" s="26">
        <v>0.97066136250621604</v>
      </c>
      <c r="AK732" s="26">
        <v>0.96175752644426404</v>
      </c>
      <c r="AL732" s="26">
        <v>0.963036268321387</v>
      </c>
      <c r="AM732" s="25">
        <v>0.99</v>
      </c>
      <c r="AN732" s="30">
        <v>1</v>
      </c>
      <c r="AO732" s="30">
        <v>1</v>
      </c>
      <c r="AP732" s="30">
        <v>1</v>
      </c>
      <c r="AQ732" s="30">
        <v>1</v>
      </c>
      <c r="AR732" s="50">
        <v>8.1059522893420499E-2</v>
      </c>
      <c r="AS732" s="34">
        <v>0</v>
      </c>
      <c r="AT732" s="34">
        <v>0.25</v>
      </c>
      <c r="AU732" s="34">
        <v>0</v>
      </c>
      <c r="AV732" s="34">
        <v>4.5454545454545497E-2</v>
      </c>
      <c r="AW732" s="10"/>
      <c r="AX732" s="8"/>
    </row>
    <row r="733" spans="1:50">
      <c r="A733" s="7"/>
      <c r="B733" s="10"/>
      <c r="C733" s="45" t="s">
        <v>688</v>
      </c>
      <c r="D733" s="23" t="s">
        <v>21</v>
      </c>
      <c r="E733" s="68" t="s">
        <v>779</v>
      </c>
      <c r="F733" s="68" t="s">
        <v>779</v>
      </c>
      <c r="G733" s="68" t="s">
        <v>779</v>
      </c>
      <c r="H733" s="68" t="s">
        <v>779</v>
      </c>
      <c r="I733" s="25">
        <v>0.9</v>
      </c>
      <c r="J733" s="26">
        <v>0.96551724137931005</v>
      </c>
      <c r="K733" s="26">
        <v>1</v>
      </c>
      <c r="L733" s="27">
        <v>1</v>
      </c>
      <c r="M733" s="26">
        <v>0.97619047619047605</v>
      </c>
      <c r="N733" s="28">
        <v>0.9</v>
      </c>
      <c r="O733" s="26">
        <v>0.98789254634884605</v>
      </c>
      <c r="P733" s="26">
        <v>0.98955453149001504</v>
      </c>
      <c r="Q733" s="26">
        <v>0.99101796407185605</v>
      </c>
      <c r="R733" s="26">
        <v>0.98918217221981797</v>
      </c>
      <c r="S733" s="28">
        <v>0.9</v>
      </c>
      <c r="T733" s="26">
        <v>0.95535376466137001</v>
      </c>
      <c r="U733" s="26">
        <v>0.95883256528417804</v>
      </c>
      <c r="V733" s="26">
        <v>0.94211576846307399</v>
      </c>
      <c r="W733" s="26">
        <v>0.95276215202654002</v>
      </c>
      <c r="X733" s="28">
        <v>0.92</v>
      </c>
      <c r="Y733" s="28">
        <v>0.97136038186157503</v>
      </c>
      <c r="Z733" s="28">
        <v>0.96969696969696995</v>
      </c>
      <c r="AA733" s="28">
        <v>0.96649029982363299</v>
      </c>
      <c r="AB733" s="28">
        <v>0.96440769369045498</v>
      </c>
      <c r="AC733" s="28">
        <v>0.92</v>
      </c>
      <c r="AD733" s="26">
        <v>0.99698795180722899</v>
      </c>
      <c r="AE733" s="26">
        <v>0.99830795262267302</v>
      </c>
      <c r="AF733" s="26">
        <v>0.99711815561959605</v>
      </c>
      <c r="AG733" s="26">
        <v>0.99766233766233803</v>
      </c>
      <c r="AH733" s="28">
        <v>0.92</v>
      </c>
      <c r="AI733" s="26">
        <v>0.98765077541642698</v>
      </c>
      <c r="AJ733" s="26">
        <v>0.98124162572577001</v>
      </c>
      <c r="AK733" s="26">
        <v>0.97378277153558102</v>
      </c>
      <c r="AL733" s="26">
        <v>0.98049709257448703</v>
      </c>
      <c r="AM733" s="25">
        <v>0.99</v>
      </c>
      <c r="AN733" s="30">
        <v>1</v>
      </c>
      <c r="AO733" s="30">
        <v>1</v>
      </c>
      <c r="AP733" s="30">
        <v>1</v>
      </c>
      <c r="AQ733" s="30">
        <v>1</v>
      </c>
      <c r="AR733" s="50">
        <v>8.1059522893420499E-2</v>
      </c>
      <c r="AS733" s="34">
        <v>0</v>
      </c>
      <c r="AT733" s="34">
        <v>0</v>
      </c>
      <c r="AU733" s="34">
        <v>0.125</v>
      </c>
      <c r="AV733" s="34">
        <v>4.6153846153846198E-2</v>
      </c>
      <c r="AW733" s="10"/>
      <c r="AX733" s="8"/>
    </row>
    <row r="734" spans="1:50">
      <c r="A734" s="7"/>
      <c r="B734" s="10"/>
      <c r="C734" s="45" t="s">
        <v>688</v>
      </c>
      <c r="D734" s="23" t="s">
        <v>21</v>
      </c>
      <c r="E734" s="68" t="s">
        <v>780</v>
      </c>
      <c r="F734" s="68" t="s">
        <v>780</v>
      </c>
      <c r="G734" s="68" t="s">
        <v>780</v>
      </c>
      <c r="H734" s="68" t="s">
        <v>780</v>
      </c>
      <c r="I734" s="25">
        <v>0.9</v>
      </c>
      <c r="J734" s="26">
        <v>0.97560975609756095</v>
      </c>
      <c r="K734" s="26">
        <v>1</v>
      </c>
      <c r="L734" s="27">
        <v>0.97435897435897401</v>
      </c>
      <c r="M734" s="26">
        <v>0.96638655462184897</v>
      </c>
      <c r="N734" s="28">
        <v>0.9</v>
      </c>
      <c r="O734" s="26">
        <v>0.97848898216159497</v>
      </c>
      <c r="P734" s="26">
        <v>0.96469568984188903</v>
      </c>
      <c r="Q734" s="26">
        <v>0.98410680228862002</v>
      </c>
      <c r="R734" s="26">
        <v>0.97125112691575699</v>
      </c>
      <c r="S734" s="28">
        <v>0.9</v>
      </c>
      <c r="T734" s="26">
        <v>0.93205666316893998</v>
      </c>
      <c r="U734" s="26">
        <v>0.93523933290015204</v>
      </c>
      <c r="V734" s="26">
        <v>0.92752701843610896</v>
      </c>
      <c r="W734" s="26">
        <v>0.93313633176399902</v>
      </c>
      <c r="X734" s="28">
        <v>0.92</v>
      </c>
      <c r="Y734" s="28">
        <v>0.95031055900621098</v>
      </c>
      <c r="Z734" s="28">
        <v>0.94839449541284404</v>
      </c>
      <c r="AA734" s="28">
        <v>0.95294784580498904</v>
      </c>
      <c r="AB734" s="28">
        <v>0.95160107553165496</v>
      </c>
      <c r="AC734" s="28">
        <v>0.92</v>
      </c>
      <c r="AD734" s="26">
        <v>0.99939080109655798</v>
      </c>
      <c r="AE734" s="26">
        <v>0.99857346647646195</v>
      </c>
      <c r="AF734" s="26">
        <v>0.99947173798203903</v>
      </c>
      <c r="AG734" s="26">
        <v>0.99919621749409004</v>
      </c>
      <c r="AH734" s="28">
        <v>0.92</v>
      </c>
      <c r="AI734" s="26">
        <v>0.96569972559780504</v>
      </c>
      <c r="AJ734" s="26">
        <v>0.96936852026390197</v>
      </c>
      <c r="AK734" s="26">
        <v>0.96285200718993402</v>
      </c>
      <c r="AL734" s="26">
        <v>0.96961306354277599</v>
      </c>
      <c r="AM734" s="25">
        <v>0.99</v>
      </c>
      <c r="AN734" s="30">
        <v>1</v>
      </c>
      <c r="AO734" s="30">
        <v>1</v>
      </c>
      <c r="AP734" s="30">
        <v>1</v>
      </c>
      <c r="AQ734" s="30">
        <v>1</v>
      </c>
      <c r="AR734" s="50">
        <v>8.1059522893420499E-2</v>
      </c>
      <c r="AS734" s="34">
        <v>0</v>
      </c>
      <c r="AT734" s="34">
        <v>0</v>
      </c>
      <c r="AU734" s="34">
        <v>6.6666666666666693E-2</v>
      </c>
      <c r="AV734" s="34">
        <v>2.04081632653061E-2</v>
      </c>
      <c r="AW734" s="10"/>
      <c r="AX734" s="8"/>
    </row>
    <row r="735" spans="1:50">
      <c r="A735" s="7"/>
      <c r="B735" s="10"/>
      <c r="C735" s="45" t="s">
        <v>688</v>
      </c>
      <c r="D735" s="23" t="s">
        <v>21</v>
      </c>
      <c r="E735" s="68" t="s">
        <v>781</v>
      </c>
      <c r="F735" s="68" t="s">
        <v>781</v>
      </c>
      <c r="G735" s="68" t="s">
        <v>781</v>
      </c>
      <c r="H735" s="68" t="s">
        <v>781</v>
      </c>
      <c r="I735" s="25">
        <v>0.9</v>
      </c>
      <c r="J735" s="26">
        <v>0.86486486486486502</v>
      </c>
      <c r="K735" s="26">
        <v>0.76923076923076905</v>
      </c>
      <c r="L735" s="27">
        <v>0.875</v>
      </c>
      <c r="M735" s="26">
        <v>0.87793427230046905</v>
      </c>
      <c r="N735" s="28">
        <v>0.9</v>
      </c>
      <c r="O735" s="26">
        <v>0.98235482836060295</v>
      </c>
      <c r="P735" s="26">
        <v>0.98361508452535795</v>
      </c>
      <c r="Q735" s="26">
        <v>0.96397694524495703</v>
      </c>
      <c r="R735" s="26">
        <v>0.97567730282962095</v>
      </c>
      <c r="S735" s="28">
        <v>0.9</v>
      </c>
      <c r="T735" s="26">
        <v>0.94513955726660204</v>
      </c>
      <c r="U735" s="26">
        <v>0.95084525357607297</v>
      </c>
      <c r="V735" s="26">
        <v>0.95028818443803997</v>
      </c>
      <c r="W735" s="26">
        <v>0.94942805538831998</v>
      </c>
      <c r="X735" s="28">
        <v>0.92</v>
      </c>
      <c r="Y735" s="28">
        <v>0.96362023070097602</v>
      </c>
      <c r="Z735" s="28">
        <v>0.96146435452793799</v>
      </c>
      <c r="AA735" s="28">
        <v>0.94565217391304301</v>
      </c>
      <c r="AB735" s="28">
        <v>0.94739075095460301</v>
      </c>
      <c r="AC735" s="28">
        <v>0.92</v>
      </c>
      <c r="AD735" s="26">
        <v>0.99874765184721304</v>
      </c>
      <c r="AE735" s="26">
        <v>0.99980970504281597</v>
      </c>
      <c r="AF735" s="26">
        <v>0.99906751212234202</v>
      </c>
      <c r="AG735" s="26">
        <v>0.99905694123768296</v>
      </c>
      <c r="AH735" s="28">
        <v>0.92</v>
      </c>
      <c r="AI735" s="26">
        <v>0.97903909561940605</v>
      </c>
      <c r="AJ735" s="26">
        <v>0.98094004441154703</v>
      </c>
      <c r="AK735" s="26">
        <v>0.96569158540989497</v>
      </c>
      <c r="AL735" s="26">
        <v>0.97382751488032404</v>
      </c>
      <c r="AM735" s="25">
        <v>0.99</v>
      </c>
      <c r="AN735" s="30">
        <v>1</v>
      </c>
      <c r="AO735" s="30">
        <v>1</v>
      </c>
      <c r="AP735" s="30">
        <v>1</v>
      </c>
      <c r="AQ735" s="30">
        <v>1</v>
      </c>
      <c r="AR735" s="50">
        <v>8.1059522893420499E-2</v>
      </c>
      <c r="AS735" s="34">
        <v>0.16666666666666699</v>
      </c>
      <c r="AT735" s="34">
        <v>0</v>
      </c>
      <c r="AU735" s="34">
        <v>0</v>
      </c>
      <c r="AV735" s="34">
        <v>5.1724137931034503E-2</v>
      </c>
      <c r="AW735" s="10"/>
      <c r="AX735" s="8"/>
    </row>
    <row r="736" spans="1:50">
      <c r="A736" s="7"/>
      <c r="B736" s="10"/>
      <c r="C736" s="45" t="s">
        <v>688</v>
      </c>
      <c r="D736" s="23" t="s">
        <v>21</v>
      </c>
      <c r="E736" s="68" t="s">
        <v>782</v>
      </c>
      <c r="F736" s="68" t="s">
        <v>782</v>
      </c>
      <c r="G736" s="68" t="s">
        <v>782</v>
      </c>
      <c r="H736" s="68" t="s">
        <v>782</v>
      </c>
      <c r="I736" s="25">
        <v>0.9</v>
      </c>
      <c r="J736" s="26">
        <v>0.89473684210526305</v>
      </c>
      <c r="K736" s="26">
        <v>0.85714285714285698</v>
      </c>
      <c r="L736" s="27">
        <v>0.94444444444444398</v>
      </c>
      <c r="M736" s="26">
        <v>0.92857142857142905</v>
      </c>
      <c r="N736" s="28">
        <v>0.9</v>
      </c>
      <c r="O736" s="26">
        <v>0.950169875424689</v>
      </c>
      <c r="P736" s="26">
        <v>0.95495495495495497</v>
      </c>
      <c r="Q736" s="26">
        <v>0.96398891966759004</v>
      </c>
      <c r="R736" s="26">
        <v>0.95090191055608897</v>
      </c>
      <c r="S736" s="28">
        <v>0.9</v>
      </c>
      <c r="T736" s="26">
        <v>0.90656851642129099</v>
      </c>
      <c r="U736" s="26">
        <v>0.922238027501185</v>
      </c>
      <c r="V736" s="26">
        <v>0.95706371191135697</v>
      </c>
      <c r="W736" s="26">
        <v>0.91087629416159699</v>
      </c>
      <c r="X736" s="28">
        <v>0.92</v>
      </c>
      <c r="Y736" s="28">
        <v>0.92894280762564996</v>
      </c>
      <c r="Z736" s="28">
        <v>0.95707656612529002</v>
      </c>
      <c r="AA736" s="28">
        <v>0.95870967741935498</v>
      </c>
      <c r="AB736" s="28">
        <v>0.94270833333333304</v>
      </c>
      <c r="AC736" s="28">
        <v>0.92</v>
      </c>
      <c r="AD736" s="26">
        <v>1</v>
      </c>
      <c r="AE736" s="26">
        <v>1</v>
      </c>
      <c r="AF736" s="26">
        <v>0.99877225291589899</v>
      </c>
      <c r="AG736" s="26">
        <v>0.99918463489762599</v>
      </c>
      <c r="AH736" s="28">
        <v>0.92</v>
      </c>
      <c r="AI736" s="26">
        <v>0.96457533077251401</v>
      </c>
      <c r="AJ736" s="26">
        <v>0.976446837146703</v>
      </c>
      <c r="AK736" s="26">
        <v>0.97394789579158303</v>
      </c>
      <c r="AL736" s="26">
        <v>0.96873817273484197</v>
      </c>
      <c r="AM736" s="25">
        <v>0.99</v>
      </c>
      <c r="AN736" s="30">
        <v>1</v>
      </c>
      <c r="AO736" s="30">
        <v>1</v>
      </c>
      <c r="AP736" s="30">
        <v>1</v>
      </c>
      <c r="AQ736" s="30">
        <v>1</v>
      </c>
      <c r="AR736" s="50">
        <v>8.1059522893420499E-2</v>
      </c>
      <c r="AS736" s="34">
        <v>0</v>
      </c>
      <c r="AT736" s="34">
        <v>0</v>
      </c>
      <c r="AU736" s="34">
        <v>0</v>
      </c>
      <c r="AV736" s="34">
        <v>0.105263157894737</v>
      </c>
      <c r="AW736" s="10"/>
      <c r="AX736" s="8"/>
    </row>
    <row r="737" spans="1:50">
      <c r="A737" s="7"/>
      <c r="B737" s="10"/>
      <c r="C737" s="45" t="s">
        <v>688</v>
      </c>
      <c r="D737" s="23" t="s">
        <v>21</v>
      </c>
      <c r="E737" s="68" t="s">
        <v>783</v>
      </c>
      <c r="F737" s="68" t="s">
        <v>783</v>
      </c>
      <c r="G737" s="68" t="s">
        <v>783</v>
      </c>
      <c r="H737" s="68" t="s">
        <v>783</v>
      </c>
      <c r="I737" s="25">
        <v>0.9</v>
      </c>
      <c r="J737" s="26">
        <v>1</v>
      </c>
      <c r="K737" s="26">
        <v>0.91304347826086996</v>
      </c>
      <c r="L737" s="27">
        <v>1</v>
      </c>
      <c r="M737" s="26">
        <v>0.94117647058823495</v>
      </c>
      <c r="N737" s="28">
        <v>0.9</v>
      </c>
      <c r="O737" s="26">
        <v>0.98656330749354004</v>
      </c>
      <c r="P737" s="26">
        <v>0.98208191126279898</v>
      </c>
      <c r="Q737" s="26">
        <v>0.98286413708690301</v>
      </c>
      <c r="R737" s="26">
        <v>0.98443113772455104</v>
      </c>
      <c r="S737" s="28">
        <v>0.9</v>
      </c>
      <c r="T737" s="26">
        <v>0.95297157622739004</v>
      </c>
      <c r="U737" s="26">
        <v>0.948378839590444</v>
      </c>
      <c r="V737" s="26">
        <v>0.95593635250917997</v>
      </c>
      <c r="W737" s="26">
        <v>0.95199600798403206</v>
      </c>
      <c r="X737" s="28">
        <v>0.92</v>
      </c>
      <c r="Y737" s="28">
        <v>0.95609756097561005</v>
      </c>
      <c r="Z737" s="28">
        <v>0.94776119402985104</v>
      </c>
      <c r="AA737" s="28">
        <v>0.94976076555023903</v>
      </c>
      <c r="AB737" s="28">
        <v>0.94311767260095503</v>
      </c>
      <c r="AC737" s="28">
        <v>0.92</v>
      </c>
      <c r="AD737" s="26">
        <v>0.99324324324324298</v>
      </c>
      <c r="AE737" s="26">
        <v>0.99699248120300799</v>
      </c>
      <c r="AF737" s="26">
        <v>0.99684542586750802</v>
      </c>
      <c r="AG737" s="26">
        <v>0.97825517422059205</v>
      </c>
      <c r="AH737" s="28">
        <v>0.92</v>
      </c>
      <c r="AI737" s="26">
        <v>0.97441364605543701</v>
      </c>
      <c r="AJ737" s="26">
        <v>0.96388888888888902</v>
      </c>
      <c r="AK737" s="26">
        <v>0.970873786407767</v>
      </c>
      <c r="AL737" s="26">
        <v>0.96924699772801004</v>
      </c>
      <c r="AM737" s="25">
        <v>0.99</v>
      </c>
      <c r="AN737" s="30">
        <v>1</v>
      </c>
      <c r="AO737" s="30">
        <v>1</v>
      </c>
      <c r="AP737" s="30">
        <v>1</v>
      </c>
      <c r="AQ737" s="30">
        <v>1</v>
      </c>
      <c r="AR737" s="50">
        <v>8.1059522893420499E-2</v>
      </c>
      <c r="AS737" s="34">
        <v>0</v>
      </c>
      <c r="AT737" s="34">
        <v>0</v>
      </c>
      <c r="AU737" s="34">
        <v>0</v>
      </c>
      <c r="AV737" s="34">
        <v>3.2258064516128997E-2</v>
      </c>
      <c r="AW737" s="10"/>
      <c r="AX737" s="8"/>
    </row>
    <row r="738" spans="1:50">
      <c r="A738" s="7"/>
      <c r="B738" s="10"/>
      <c r="C738" s="45" t="s">
        <v>688</v>
      </c>
      <c r="D738" s="23" t="s">
        <v>21</v>
      </c>
      <c r="E738" s="68" t="s">
        <v>784</v>
      </c>
      <c r="F738" s="68" t="s">
        <v>784</v>
      </c>
      <c r="G738" s="68" t="s">
        <v>784</v>
      </c>
      <c r="H738" s="68" t="s">
        <v>784</v>
      </c>
      <c r="I738" s="25">
        <v>0.9</v>
      </c>
      <c r="J738" s="26">
        <v>0.97297297297297303</v>
      </c>
      <c r="K738" s="26">
        <v>0.97368421052631604</v>
      </c>
      <c r="L738" s="27">
        <v>1</v>
      </c>
      <c r="M738" s="26">
        <v>0.97142857142857097</v>
      </c>
      <c r="N738" s="28">
        <v>0.9</v>
      </c>
      <c r="O738" s="26">
        <v>0.93494828524768603</v>
      </c>
      <c r="P738" s="26">
        <v>0.94055482166446502</v>
      </c>
      <c r="Q738" s="26">
        <v>0.904522613065327</v>
      </c>
      <c r="R738" s="26">
        <v>0.92997957099080697</v>
      </c>
      <c r="S738" s="28">
        <v>0.9</v>
      </c>
      <c r="T738" s="26">
        <v>0.91562329885683202</v>
      </c>
      <c r="U738" s="26">
        <v>0.90951122853368604</v>
      </c>
      <c r="V738" s="26">
        <v>0.90703517587939697</v>
      </c>
      <c r="W738" s="26">
        <v>0.90704800817160403</v>
      </c>
      <c r="X738" s="28">
        <v>0.92</v>
      </c>
      <c r="Y738" s="28">
        <v>0.92487046632124303</v>
      </c>
      <c r="Z738" s="28">
        <v>0.91858237547892696</v>
      </c>
      <c r="AA738" s="28">
        <v>0.92211404728790003</v>
      </c>
      <c r="AB738" s="28">
        <v>0.89868578255675002</v>
      </c>
      <c r="AC738" s="28">
        <v>0.92</v>
      </c>
      <c r="AD738" s="26">
        <v>0.99593495934959397</v>
      </c>
      <c r="AE738" s="26">
        <v>0.99629629629629601</v>
      </c>
      <c r="AF738" s="26">
        <v>0.95268138801261804</v>
      </c>
      <c r="AG738" s="26">
        <v>0.97463284379172199</v>
      </c>
      <c r="AH738" s="28">
        <v>0.92</v>
      </c>
      <c r="AI738" s="26">
        <v>0.95231668915879397</v>
      </c>
      <c r="AJ738" s="26">
        <v>0.95542427497314697</v>
      </c>
      <c r="AK738" s="26">
        <v>0.94074394463667799</v>
      </c>
      <c r="AL738" s="26">
        <v>0.94459635690547294</v>
      </c>
      <c r="AM738" s="25">
        <v>0.99</v>
      </c>
      <c r="AN738" s="30">
        <v>1</v>
      </c>
      <c r="AO738" s="30">
        <v>1</v>
      </c>
      <c r="AP738" s="30">
        <v>1</v>
      </c>
      <c r="AQ738" s="30">
        <v>1</v>
      </c>
      <c r="AR738" s="50">
        <v>8.1059522893420499E-2</v>
      </c>
      <c r="AS738" s="34">
        <v>-0.2</v>
      </c>
      <c r="AT738" s="34">
        <v>0</v>
      </c>
      <c r="AU738" s="34">
        <v>0.14285714285714299</v>
      </c>
      <c r="AV738" s="34">
        <v>0</v>
      </c>
      <c r="AW738" s="10"/>
      <c r="AX738" s="8"/>
    </row>
    <row r="739" spans="1:50">
      <c r="A739" s="7"/>
      <c r="B739" s="10"/>
      <c r="C739" s="45" t="s">
        <v>688</v>
      </c>
      <c r="D739" s="23" t="s">
        <v>21</v>
      </c>
      <c r="E739" s="68" t="s">
        <v>785</v>
      </c>
      <c r="F739" s="68" t="s">
        <v>785</v>
      </c>
      <c r="G739" s="68" t="s">
        <v>785</v>
      </c>
      <c r="H739" s="68" t="s">
        <v>785</v>
      </c>
      <c r="I739" s="25">
        <v>0.9</v>
      </c>
      <c r="J739" s="26">
        <v>0.96825396825396803</v>
      </c>
      <c r="K739" s="26">
        <v>0.9375</v>
      </c>
      <c r="L739" s="27">
        <v>0.96491228070175405</v>
      </c>
      <c r="M739" s="26">
        <v>0.94520547945205502</v>
      </c>
      <c r="N739" s="28">
        <v>0.9</v>
      </c>
      <c r="O739" s="26">
        <v>0.96134913400182298</v>
      </c>
      <c r="P739" s="26">
        <v>0.95957767722473597</v>
      </c>
      <c r="Q739" s="26">
        <v>0.95753064798598997</v>
      </c>
      <c r="R739" s="26">
        <v>0.96390401985796004</v>
      </c>
      <c r="S739" s="28">
        <v>0.9</v>
      </c>
      <c r="T739" s="26">
        <v>0.91376481312670899</v>
      </c>
      <c r="U739" s="26">
        <v>0.91840120663650104</v>
      </c>
      <c r="V739" s="26">
        <v>0.91768826619965005</v>
      </c>
      <c r="W739" s="26">
        <v>0.92246431772736703</v>
      </c>
      <c r="X739" s="28">
        <v>0.92</v>
      </c>
      <c r="Y739" s="28">
        <v>0.91968911917098495</v>
      </c>
      <c r="Z739" s="28">
        <v>0.93058284217419796</v>
      </c>
      <c r="AA739" s="28">
        <v>0.91744840525328297</v>
      </c>
      <c r="AB739" s="28">
        <v>0.91804290785615095</v>
      </c>
      <c r="AC739" s="28">
        <v>0.92</v>
      </c>
      <c r="AD739" s="26">
        <v>1</v>
      </c>
      <c r="AE739" s="26">
        <v>0.99005964214711695</v>
      </c>
      <c r="AF739" s="26">
        <v>0.99363057324840798</v>
      </c>
      <c r="AG739" s="26">
        <v>0.99222797927461104</v>
      </c>
      <c r="AH739" s="28">
        <v>0.92</v>
      </c>
      <c r="AI739" s="26">
        <v>0.95920517838326103</v>
      </c>
      <c r="AJ739" s="26">
        <v>0.96665440725757001</v>
      </c>
      <c r="AK739" s="26">
        <v>0.95104477611940297</v>
      </c>
      <c r="AL739" s="26">
        <v>0.962382710135535</v>
      </c>
      <c r="AM739" s="25">
        <v>0.99</v>
      </c>
      <c r="AN739" s="30">
        <v>1</v>
      </c>
      <c r="AO739" s="30">
        <v>1</v>
      </c>
      <c r="AP739" s="30">
        <v>1</v>
      </c>
      <c r="AQ739" s="30">
        <v>1</v>
      </c>
      <c r="AR739" s="50">
        <v>8.1059522893420499E-2</v>
      </c>
      <c r="AS739" s="34">
        <v>6.25E-2</v>
      </c>
      <c r="AT739" s="34">
        <v>0.05</v>
      </c>
      <c r="AU739" s="34">
        <v>0.29411764705882398</v>
      </c>
      <c r="AV739" s="34">
        <v>0.12962962962963001</v>
      </c>
      <c r="AW739" s="10"/>
      <c r="AX739" s="8"/>
    </row>
    <row r="740" spans="1:50">
      <c r="A740" s="7"/>
      <c r="B740" s="10"/>
      <c r="C740" s="45" t="s">
        <v>688</v>
      </c>
      <c r="D740" s="23" t="s">
        <v>21</v>
      </c>
      <c r="E740" s="68" t="s">
        <v>786</v>
      </c>
      <c r="F740" s="68" t="s">
        <v>786</v>
      </c>
      <c r="G740" s="68" t="s">
        <v>786</v>
      </c>
      <c r="H740" s="68" t="s">
        <v>786</v>
      </c>
      <c r="I740" s="25">
        <v>0.9</v>
      </c>
      <c r="J740" s="26">
        <v>1</v>
      </c>
      <c r="K740" s="26">
        <v>1</v>
      </c>
      <c r="L740" s="27">
        <v>1</v>
      </c>
      <c r="M740" s="26">
        <v>1</v>
      </c>
      <c r="N740" s="28">
        <v>0.9</v>
      </c>
      <c r="O740" s="26">
        <v>0.97421671018276801</v>
      </c>
      <c r="P740" s="26">
        <v>0.97623089983022104</v>
      </c>
      <c r="Q740" s="26">
        <v>0.97454545454545405</v>
      </c>
      <c r="R740" s="26">
        <v>0.97401260774475795</v>
      </c>
      <c r="S740" s="28">
        <v>0.9</v>
      </c>
      <c r="T740" s="26">
        <v>0.94386422976501305</v>
      </c>
      <c r="U740" s="26">
        <v>0.94538766270514996</v>
      </c>
      <c r="V740" s="26">
        <v>0.93818181818181801</v>
      </c>
      <c r="W740" s="26">
        <v>0.94307217290621403</v>
      </c>
      <c r="X740" s="28">
        <v>0.92</v>
      </c>
      <c r="Y740" s="28">
        <v>0.952380952380952</v>
      </c>
      <c r="Z740" s="28">
        <v>0.94545454545454499</v>
      </c>
      <c r="AA740" s="28">
        <v>0.95468750000000002</v>
      </c>
      <c r="AB740" s="28">
        <v>0.94796061884669502</v>
      </c>
      <c r="AC740" s="28">
        <v>0.92</v>
      </c>
      <c r="AD740" s="26">
        <v>0.99307313174370604</v>
      </c>
      <c r="AE740" s="26">
        <v>0.99550425273389997</v>
      </c>
      <c r="AF740" s="26">
        <v>0.99297063776817795</v>
      </c>
      <c r="AG740" s="26">
        <v>0.99364632638267003</v>
      </c>
      <c r="AH740" s="28">
        <v>0.92</v>
      </c>
      <c r="AI740" s="26">
        <v>0.97497308934338001</v>
      </c>
      <c r="AJ740" s="26">
        <v>0.97201192934159197</v>
      </c>
      <c r="AK740" s="26">
        <v>0.97222222222222199</v>
      </c>
      <c r="AL740" s="26">
        <v>0.97387844841124405</v>
      </c>
      <c r="AM740" s="25">
        <v>0.99</v>
      </c>
      <c r="AN740" s="30">
        <v>1</v>
      </c>
      <c r="AO740" s="30">
        <v>1</v>
      </c>
      <c r="AP740" s="30">
        <v>1</v>
      </c>
      <c r="AQ740" s="30">
        <v>1</v>
      </c>
      <c r="AR740" s="50">
        <v>8.1059522893420499E-2</v>
      </c>
      <c r="AS740" s="34">
        <v>8.3333333333333301E-2</v>
      </c>
      <c r="AT740" s="34">
        <v>6.6666666666666693E-2</v>
      </c>
      <c r="AU740" s="34">
        <v>0.125</v>
      </c>
      <c r="AV740" s="34">
        <v>9.8360655737704902E-2</v>
      </c>
      <c r="AW740" s="10"/>
      <c r="AX740" s="8"/>
    </row>
    <row r="741" spans="1:50">
      <c r="A741" s="7"/>
      <c r="B741" s="10"/>
      <c r="C741" s="45" t="s">
        <v>688</v>
      </c>
      <c r="D741" s="23" t="s">
        <v>21</v>
      </c>
      <c r="E741" s="68" t="s">
        <v>787</v>
      </c>
      <c r="F741" s="68" t="s">
        <v>787</v>
      </c>
      <c r="G741" s="68" t="s">
        <v>787</v>
      </c>
      <c r="H741" s="68" t="s">
        <v>787</v>
      </c>
      <c r="I741" s="25">
        <v>0.9</v>
      </c>
      <c r="J741" s="26">
        <v>0.984375</v>
      </c>
      <c r="K741" s="26">
        <v>0.96923076923076901</v>
      </c>
      <c r="L741" s="27">
        <v>0.931034482758621</v>
      </c>
      <c r="M741" s="26">
        <v>0.95912806539509499</v>
      </c>
      <c r="N741" s="28">
        <v>0.9</v>
      </c>
      <c r="O741" s="26">
        <v>0.96988322065150601</v>
      </c>
      <c r="P741" s="26">
        <v>0.97264537264537299</v>
      </c>
      <c r="Q741" s="26">
        <v>0.96389022628791499</v>
      </c>
      <c r="R741" s="26">
        <v>0.97452399086062502</v>
      </c>
      <c r="S741" s="28">
        <v>0.9</v>
      </c>
      <c r="T741" s="26">
        <v>0.96025404630198696</v>
      </c>
      <c r="U741" s="26">
        <v>0.95397215397215396</v>
      </c>
      <c r="V741" s="26">
        <v>0.95907558979297103</v>
      </c>
      <c r="W741" s="26">
        <v>0.95891089108910899</v>
      </c>
      <c r="X741" s="28">
        <v>0.92</v>
      </c>
      <c r="Y741" s="28">
        <v>0.92578496669838295</v>
      </c>
      <c r="Z741" s="28">
        <v>0.93474962063732903</v>
      </c>
      <c r="AA741" s="28">
        <v>0.93899999999999995</v>
      </c>
      <c r="AB741" s="28">
        <v>0.92663090500086498</v>
      </c>
      <c r="AC741" s="28">
        <v>0.92</v>
      </c>
      <c r="AD741" s="26">
        <v>0.921875</v>
      </c>
      <c r="AE741" s="26">
        <v>0.96480938416422302</v>
      </c>
      <c r="AF741" s="26">
        <v>0.97989949748743699</v>
      </c>
      <c r="AG741" s="26">
        <v>0.96466244725738404</v>
      </c>
      <c r="AH741" s="28">
        <v>0.92</v>
      </c>
      <c r="AI741" s="26">
        <v>0.96611598111935304</v>
      </c>
      <c r="AJ741" s="26">
        <v>0.95986531986531998</v>
      </c>
      <c r="AK741" s="26">
        <v>0.96458739441195596</v>
      </c>
      <c r="AL741" s="26">
        <v>0.96296296296296302</v>
      </c>
      <c r="AM741" s="25">
        <v>0.99</v>
      </c>
      <c r="AN741" s="30">
        <v>1</v>
      </c>
      <c r="AO741" s="30">
        <v>1</v>
      </c>
      <c r="AP741" s="30">
        <v>1</v>
      </c>
      <c r="AQ741" s="30">
        <v>1</v>
      </c>
      <c r="AR741" s="50">
        <v>8.1059522893420499E-2</v>
      </c>
      <c r="AS741" s="34">
        <v>0</v>
      </c>
      <c r="AT741" s="34">
        <v>0</v>
      </c>
      <c r="AU741" s="34">
        <v>0.11764705882352899</v>
      </c>
      <c r="AV741" s="34">
        <v>5.3097345132743397E-2</v>
      </c>
      <c r="AW741" s="10"/>
      <c r="AX741" s="8"/>
    </row>
    <row r="742" spans="1:50">
      <c r="A742" s="7"/>
      <c r="B742" s="10"/>
      <c r="C742" s="45" t="s">
        <v>688</v>
      </c>
      <c r="D742" s="23" t="s">
        <v>21</v>
      </c>
      <c r="E742" s="68" t="s">
        <v>788</v>
      </c>
      <c r="F742" s="68" t="s">
        <v>788</v>
      </c>
      <c r="G742" s="68" t="s">
        <v>788</v>
      </c>
      <c r="H742" s="68" t="s">
        <v>788</v>
      </c>
      <c r="I742" s="25">
        <v>0.9</v>
      </c>
      <c r="J742" s="26">
        <v>0.97499999999999998</v>
      </c>
      <c r="K742" s="26">
        <v>1</v>
      </c>
      <c r="L742" s="27">
        <v>0.97297297297297303</v>
      </c>
      <c r="M742" s="26">
        <v>0.95594713656387698</v>
      </c>
      <c r="N742" s="28">
        <v>0.9</v>
      </c>
      <c r="O742" s="26">
        <v>0.987758224942617</v>
      </c>
      <c r="P742" s="26">
        <v>0.98987723454662901</v>
      </c>
      <c r="Q742" s="26">
        <v>0.99186046511627901</v>
      </c>
      <c r="R742" s="26">
        <v>0.99006323396567297</v>
      </c>
      <c r="S742" s="28">
        <v>0.9</v>
      </c>
      <c r="T742" s="26">
        <v>0.95052282580974201</v>
      </c>
      <c r="U742" s="26">
        <v>0.94464785698901599</v>
      </c>
      <c r="V742" s="26">
        <v>0.94651162790697696</v>
      </c>
      <c r="W742" s="26">
        <v>0.94825855665964098</v>
      </c>
      <c r="X742" s="28">
        <v>0.92</v>
      </c>
      <c r="Y742" s="28">
        <v>0.94143167028199604</v>
      </c>
      <c r="Z742" s="28">
        <v>0.93783303730017797</v>
      </c>
      <c r="AA742" s="28">
        <v>0.94915254237288105</v>
      </c>
      <c r="AB742" s="28">
        <v>0.93854748603352001</v>
      </c>
      <c r="AC742" s="28">
        <v>0.92</v>
      </c>
      <c r="AD742" s="26">
        <v>0.99841628959275996</v>
      </c>
      <c r="AE742" s="26">
        <v>0.99657846715328502</v>
      </c>
      <c r="AF742" s="26">
        <v>0.99616070204305496</v>
      </c>
      <c r="AG742" s="26">
        <v>0.99728081740276897</v>
      </c>
      <c r="AH742" s="28">
        <v>0.92</v>
      </c>
      <c r="AI742" s="26">
        <v>0.97357555739058599</v>
      </c>
      <c r="AJ742" s="26">
        <v>0.96863628487263898</v>
      </c>
      <c r="AK742" s="26">
        <v>0.96852207293666004</v>
      </c>
      <c r="AL742" s="26">
        <v>0.96987684231778704</v>
      </c>
      <c r="AM742" s="25">
        <v>0.99</v>
      </c>
      <c r="AN742" s="30">
        <v>1</v>
      </c>
      <c r="AO742" s="30">
        <v>1</v>
      </c>
      <c r="AP742" s="30">
        <v>1</v>
      </c>
      <c r="AQ742" s="30">
        <v>1</v>
      </c>
      <c r="AR742" s="50">
        <v>8.1059522893420499E-2</v>
      </c>
      <c r="AS742" s="34">
        <v>0</v>
      </c>
      <c r="AT742" s="34">
        <v>6.25E-2</v>
      </c>
      <c r="AU742" s="34">
        <v>0</v>
      </c>
      <c r="AV742" s="34">
        <v>6.4935064935064901E-2</v>
      </c>
      <c r="AW742" s="10"/>
      <c r="AX742" s="8"/>
    </row>
    <row r="743" spans="1:50">
      <c r="A743" s="7"/>
      <c r="B743" s="10"/>
      <c r="C743" s="45" t="s">
        <v>688</v>
      </c>
      <c r="D743" s="23" t="s">
        <v>21</v>
      </c>
      <c r="E743" s="68" t="s">
        <v>789</v>
      </c>
      <c r="F743" s="68" t="s">
        <v>789</v>
      </c>
      <c r="G743" s="68" t="s">
        <v>789</v>
      </c>
      <c r="H743" s="68" t="s">
        <v>789</v>
      </c>
      <c r="I743" s="25">
        <v>0.9</v>
      </c>
      <c r="J743" s="26">
        <v>0.91666666666666696</v>
      </c>
      <c r="K743" s="26">
        <v>0.94444444444444398</v>
      </c>
      <c r="L743" s="27">
        <v>0.89655172413793105</v>
      </c>
      <c r="M743" s="26">
        <v>0.91707317073170702</v>
      </c>
      <c r="N743" s="28">
        <v>0.9</v>
      </c>
      <c r="O743" s="26">
        <v>0.96903187011425096</v>
      </c>
      <c r="P743" s="26">
        <v>0.95691158156911604</v>
      </c>
      <c r="Q743" s="26">
        <v>0.98378776713338201</v>
      </c>
      <c r="R743" s="26">
        <v>0.97161623269997699</v>
      </c>
      <c r="S743" s="28">
        <v>0.9</v>
      </c>
      <c r="T743" s="26">
        <v>0.926037282020445</v>
      </c>
      <c r="U743" s="26">
        <v>0.90161892901618901</v>
      </c>
      <c r="V743" s="26">
        <v>0.91746499631540201</v>
      </c>
      <c r="W743" s="26">
        <v>0.92041989209476904</v>
      </c>
      <c r="X743" s="28">
        <v>0.92</v>
      </c>
      <c r="Y743" s="28">
        <v>0.94401041666666696</v>
      </c>
      <c r="Z743" s="28">
        <v>0.92442497261774403</v>
      </c>
      <c r="AA743" s="28">
        <v>0.94005847953216404</v>
      </c>
      <c r="AB743" s="28">
        <v>0.93232115285640804</v>
      </c>
      <c r="AC743" s="28">
        <v>0.92</v>
      </c>
      <c r="AD743" s="26">
        <v>0.99715851430891</v>
      </c>
      <c r="AE743" s="26">
        <v>0.99511866689109596</v>
      </c>
      <c r="AF743" s="26">
        <v>0.99823053589484301</v>
      </c>
      <c r="AG743" s="26">
        <v>0.99637712166595305</v>
      </c>
      <c r="AH743" s="28">
        <v>0.92</v>
      </c>
      <c r="AI743" s="26">
        <v>0.97118437118437095</v>
      </c>
      <c r="AJ743" s="26">
        <v>0.95048701298701299</v>
      </c>
      <c r="AK743" s="26">
        <v>0.95641527913809998</v>
      </c>
      <c r="AL743" s="26">
        <v>0.96108670741023705</v>
      </c>
      <c r="AM743" s="25">
        <v>0.99</v>
      </c>
      <c r="AN743" s="30">
        <v>1</v>
      </c>
      <c r="AO743" s="30">
        <v>1</v>
      </c>
      <c r="AP743" s="30">
        <v>1</v>
      </c>
      <c r="AQ743" s="30">
        <v>1</v>
      </c>
      <c r="AR743" s="50">
        <v>8.1059522893420499E-2</v>
      </c>
      <c r="AS743" s="34">
        <v>9.0909090909090898E-2</v>
      </c>
      <c r="AT743" s="34">
        <v>0</v>
      </c>
      <c r="AU743" s="34">
        <v>0</v>
      </c>
      <c r="AV743" s="34">
        <v>7.7922077922077906E-2</v>
      </c>
      <c r="AW743" s="10"/>
      <c r="AX743" s="8"/>
    </row>
    <row r="744" spans="1:50">
      <c r="A744" s="7"/>
      <c r="B744" s="10"/>
      <c r="C744" s="45" t="s">
        <v>688</v>
      </c>
      <c r="D744" s="23" t="s">
        <v>21</v>
      </c>
      <c r="E744" s="68" t="s">
        <v>790</v>
      </c>
      <c r="F744" s="68" t="s">
        <v>790</v>
      </c>
      <c r="G744" s="68" t="s">
        <v>790</v>
      </c>
      <c r="H744" s="68" t="s">
        <v>790</v>
      </c>
      <c r="I744" s="25">
        <v>0.9</v>
      </c>
      <c r="J744" s="26">
        <v>0.95121951219512202</v>
      </c>
      <c r="K744" s="26">
        <v>0.95348837209302295</v>
      </c>
      <c r="L744" s="27">
        <v>0.92105263157894701</v>
      </c>
      <c r="M744" s="26">
        <v>0.92116182572614103</v>
      </c>
      <c r="N744" s="28">
        <v>0.9</v>
      </c>
      <c r="O744" s="26">
        <v>0.950370938859043</v>
      </c>
      <c r="P744" s="26">
        <v>0.95062982527427897</v>
      </c>
      <c r="Q744" s="26">
        <v>0.95565006075334102</v>
      </c>
      <c r="R744" s="26">
        <v>0.94903062925737103</v>
      </c>
      <c r="S744" s="28">
        <v>0.9</v>
      </c>
      <c r="T744" s="26">
        <v>0.91685853159375796</v>
      </c>
      <c r="U744" s="26">
        <v>0.91852905323039402</v>
      </c>
      <c r="V744" s="26">
        <v>0.93256379100850595</v>
      </c>
      <c r="W744" s="26">
        <v>0.91973514981184201</v>
      </c>
      <c r="X744" s="28">
        <v>0.92</v>
      </c>
      <c r="Y744" s="28">
        <v>0.83658008658008698</v>
      </c>
      <c r="Z744" s="28">
        <v>0.84956521739130397</v>
      </c>
      <c r="AA744" s="28">
        <v>0.85778275475923804</v>
      </c>
      <c r="AB744" s="28">
        <v>0.81023795240951801</v>
      </c>
      <c r="AC744" s="28">
        <v>0.92</v>
      </c>
      <c r="AD744" s="26">
        <v>0.99250936329588002</v>
      </c>
      <c r="AE744" s="26">
        <v>0.98727272727272697</v>
      </c>
      <c r="AF744" s="26">
        <v>0.97661870503597104</v>
      </c>
      <c r="AG744" s="26">
        <v>0.98348294434470396</v>
      </c>
      <c r="AH744" s="28">
        <v>0.92</v>
      </c>
      <c r="AI744" s="26">
        <v>0.93668528864059597</v>
      </c>
      <c r="AJ744" s="26">
        <v>0.94434381689445102</v>
      </c>
      <c r="AK744" s="26">
        <v>0.92992125984252005</v>
      </c>
      <c r="AL744" s="26">
        <v>0.934954033157672</v>
      </c>
      <c r="AM744" s="25">
        <v>0.99</v>
      </c>
      <c r="AN744" s="30">
        <v>1</v>
      </c>
      <c r="AO744" s="30">
        <v>1</v>
      </c>
      <c r="AP744" s="30">
        <v>1</v>
      </c>
      <c r="AQ744" s="30">
        <v>1</v>
      </c>
      <c r="AR744" s="50">
        <v>8.1059522893420499E-2</v>
      </c>
      <c r="AS744" s="34">
        <v>0</v>
      </c>
      <c r="AT744" s="34">
        <v>4.5454545454545497E-2</v>
      </c>
      <c r="AU744" s="34">
        <v>0</v>
      </c>
      <c r="AV744" s="34">
        <v>2.53164556962025E-2</v>
      </c>
      <c r="AW744" s="10"/>
      <c r="AX744" s="8"/>
    </row>
    <row r="745" spans="1:50">
      <c r="A745" s="7"/>
      <c r="B745" s="10"/>
      <c r="C745" s="45" t="s">
        <v>688</v>
      </c>
      <c r="D745" s="23" t="s">
        <v>21</v>
      </c>
      <c r="E745" s="68" t="s">
        <v>791</v>
      </c>
      <c r="F745" s="68" t="s">
        <v>791</v>
      </c>
      <c r="G745" s="68" t="s">
        <v>791</v>
      </c>
      <c r="H745" s="68" t="s">
        <v>791</v>
      </c>
      <c r="I745" s="25">
        <v>0.9</v>
      </c>
      <c r="J745" s="26">
        <v>1</v>
      </c>
      <c r="K745" s="26">
        <v>0.96969696969696995</v>
      </c>
      <c r="L745" s="27">
        <v>0.96153846153846201</v>
      </c>
      <c r="M745" s="26">
        <v>0.97297297297297303</v>
      </c>
      <c r="N745" s="28">
        <v>0.9</v>
      </c>
      <c r="O745" s="26">
        <v>0.96834744203165302</v>
      </c>
      <c r="P745" s="26">
        <v>0.96483733158067697</v>
      </c>
      <c r="Q745" s="26">
        <v>0.97214854111405802</v>
      </c>
      <c r="R745" s="26">
        <v>0.96456748379825297</v>
      </c>
      <c r="S745" s="28">
        <v>0.9</v>
      </c>
      <c r="T745" s="26">
        <v>0.91497975708502</v>
      </c>
      <c r="U745" s="26">
        <v>0.91685836345711502</v>
      </c>
      <c r="V745" s="26">
        <v>0.94363395225464197</v>
      </c>
      <c r="W745" s="26">
        <v>0.92892364046210196</v>
      </c>
      <c r="X745" s="28">
        <v>0.92</v>
      </c>
      <c r="Y745" s="28">
        <v>0.92931034482758601</v>
      </c>
      <c r="Z745" s="28">
        <v>0.94451450189155095</v>
      </c>
      <c r="AA745" s="28">
        <v>0.93645990922844202</v>
      </c>
      <c r="AB745" s="28">
        <v>0.93014492753623201</v>
      </c>
      <c r="AC745" s="28">
        <v>0.92</v>
      </c>
      <c r="AD745" s="26">
        <v>0.97322709163346599</v>
      </c>
      <c r="AE745" s="26">
        <v>0.99869416426513002</v>
      </c>
      <c r="AF745" s="26">
        <v>0.99661215441883799</v>
      </c>
      <c r="AG745" s="26">
        <v>0.91518864626044905</v>
      </c>
      <c r="AH745" s="28">
        <v>0.92</v>
      </c>
      <c r="AI745" s="26">
        <v>0.96178343949044598</v>
      </c>
      <c r="AJ745" s="26">
        <v>0.95675957280541801</v>
      </c>
      <c r="AK745" s="26">
        <v>0.96357768556938705</v>
      </c>
      <c r="AL745" s="26">
        <v>0.96153410378427395</v>
      </c>
      <c r="AM745" s="25">
        <v>0.99</v>
      </c>
      <c r="AN745" s="30">
        <v>1</v>
      </c>
      <c r="AO745" s="30">
        <v>1</v>
      </c>
      <c r="AP745" s="30">
        <v>1</v>
      </c>
      <c r="AQ745" s="30">
        <v>1</v>
      </c>
      <c r="AR745" s="50">
        <v>8.1059522893420499E-2</v>
      </c>
      <c r="AS745" s="34">
        <v>0.125</v>
      </c>
      <c r="AT745" s="34">
        <v>0</v>
      </c>
      <c r="AU745" s="34">
        <v>0.125</v>
      </c>
      <c r="AV745" s="34">
        <v>9.5238095238095205E-2</v>
      </c>
      <c r="AW745" s="10"/>
      <c r="AX745" s="8"/>
    </row>
    <row r="746" spans="1:50">
      <c r="A746" s="7"/>
      <c r="B746" s="10"/>
      <c r="C746" s="45" t="s">
        <v>688</v>
      </c>
      <c r="D746" s="23" t="s">
        <v>21</v>
      </c>
      <c r="E746" s="68" t="s">
        <v>792</v>
      </c>
      <c r="F746" s="68" t="s">
        <v>792</v>
      </c>
      <c r="G746" s="68" t="s">
        <v>792</v>
      </c>
      <c r="H746" s="68" t="s">
        <v>792</v>
      </c>
      <c r="I746" s="25">
        <v>0.9</v>
      </c>
      <c r="J746" s="26">
        <v>1</v>
      </c>
      <c r="K746" s="26">
        <v>0.96875</v>
      </c>
      <c r="L746" s="27">
        <v>1</v>
      </c>
      <c r="M746" s="26">
        <v>0.99425287356321801</v>
      </c>
      <c r="N746" s="28">
        <v>0.9</v>
      </c>
      <c r="O746" s="26">
        <v>0.98159509202453998</v>
      </c>
      <c r="P746" s="26">
        <v>0.97149573905377595</v>
      </c>
      <c r="Q746" s="26">
        <v>0.98691955526487896</v>
      </c>
      <c r="R746" s="26">
        <v>0.97530783764414597</v>
      </c>
      <c r="S746" s="28">
        <v>0.9</v>
      </c>
      <c r="T746" s="26">
        <v>0.94308111792774396</v>
      </c>
      <c r="U746" s="26">
        <v>0.93241257713782</v>
      </c>
      <c r="V746" s="26">
        <v>0.95683453237410099</v>
      </c>
      <c r="W746" s="26">
        <v>0.9453384585315</v>
      </c>
      <c r="X746" s="28">
        <v>0.92</v>
      </c>
      <c r="Y746" s="28">
        <v>0.954983922829582</v>
      </c>
      <c r="Z746" s="28">
        <v>0.96208530805687198</v>
      </c>
      <c r="AA746" s="28">
        <v>0.94793261868300105</v>
      </c>
      <c r="AB746" s="28">
        <v>0.95421753607103199</v>
      </c>
      <c r="AC746" s="28">
        <v>0.92</v>
      </c>
      <c r="AD746" s="26">
        <v>0.824219725343321</v>
      </c>
      <c r="AE746" s="26">
        <v>0.99163720424258905</v>
      </c>
      <c r="AF746" s="26">
        <v>0.82804738249904497</v>
      </c>
      <c r="AG746" s="26">
        <v>0.92824005891016204</v>
      </c>
      <c r="AH746" s="28">
        <v>0.92</v>
      </c>
      <c r="AI746" s="26">
        <v>0.97526005060444199</v>
      </c>
      <c r="AJ746" s="26">
        <v>0.96868377678361195</v>
      </c>
      <c r="AK746" s="26">
        <v>0.97068254695373302</v>
      </c>
      <c r="AL746" s="26">
        <v>0.97099615039814402</v>
      </c>
      <c r="AM746" s="25">
        <v>0.99</v>
      </c>
      <c r="AN746" s="30">
        <v>1</v>
      </c>
      <c r="AO746" s="30">
        <v>1</v>
      </c>
      <c r="AP746" s="30">
        <v>1</v>
      </c>
      <c r="AQ746" s="30">
        <v>1</v>
      </c>
      <c r="AR746" s="50">
        <v>8.1059522893420499E-2</v>
      </c>
      <c r="AS746" s="34">
        <v>0</v>
      </c>
      <c r="AT746" s="34">
        <v>0.1</v>
      </c>
      <c r="AU746" s="34">
        <v>0.2</v>
      </c>
      <c r="AV746" s="34">
        <v>7.8431372549019607E-2</v>
      </c>
      <c r="AW746" s="10"/>
      <c r="AX746" s="8"/>
    </row>
    <row r="747" spans="1:50">
      <c r="A747" s="7"/>
      <c r="B747" s="10"/>
      <c r="C747" s="45" t="s">
        <v>688</v>
      </c>
      <c r="D747" s="23" t="s">
        <v>21</v>
      </c>
      <c r="E747" s="68" t="s">
        <v>793</v>
      </c>
      <c r="F747" s="68" t="s">
        <v>793</v>
      </c>
      <c r="G747" s="68" t="s">
        <v>793</v>
      </c>
      <c r="H747" s="68" t="s">
        <v>793</v>
      </c>
      <c r="I747" s="25">
        <v>0.9</v>
      </c>
      <c r="J747" s="26">
        <v>0.95348837209302295</v>
      </c>
      <c r="K747" s="26">
        <v>0.95744680851063801</v>
      </c>
      <c r="L747" s="27">
        <v>0.97142857142857097</v>
      </c>
      <c r="M747" s="26">
        <v>0.95378151260504196</v>
      </c>
      <c r="N747" s="28">
        <v>0.9</v>
      </c>
      <c r="O747" s="26">
        <v>0.98498694516971297</v>
      </c>
      <c r="P747" s="26">
        <v>0.98400426552919196</v>
      </c>
      <c r="Q747" s="26">
        <v>0.99058823529411799</v>
      </c>
      <c r="R747" s="26">
        <v>0.98378079498679105</v>
      </c>
      <c r="S747" s="28">
        <v>0.9</v>
      </c>
      <c r="T747" s="26">
        <v>0.96507832898172297</v>
      </c>
      <c r="U747" s="26">
        <v>0.97014129565449203</v>
      </c>
      <c r="V747" s="26">
        <v>0.97568627450980405</v>
      </c>
      <c r="W747" s="26">
        <v>0.96283098851139604</v>
      </c>
      <c r="X747" s="28">
        <v>0.92</v>
      </c>
      <c r="Y747" s="28">
        <v>0.99673735725937995</v>
      </c>
      <c r="Z747" s="28">
        <v>0.99755201958384299</v>
      </c>
      <c r="AA747" s="28">
        <v>0.996805111821086</v>
      </c>
      <c r="AB747" s="28">
        <v>0.99576271186440701</v>
      </c>
      <c r="AC747" s="28">
        <v>0.92</v>
      </c>
      <c r="AD747" s="26">
        <v>0.99795361527967297</v>
      </c>
      <c r="AE747" s="26">
        <v>0.99625066952329899</v>
      </c>
      <c r="AF747" s="26">
        <v>0.99122807017543901</v>
      </c>
      <c r="AG747" s="26">
        <v>0.99454956807897998</v>
      </c>
      <c r="AH747" s="28">
        <v>0.92</v>
      </c>
      <c r="AI747" s="26">
        <v>0.98939352733206398</v>
      </c>
      <c r="AJ747" s="26">
        <v>0.99584063047285498</v>
      </c>
      <c r="AK747" s="26">
        <v>0.99579168858495504</v>
      </c>
      <c r="AL747" s="26">
        <v>0.99364310579688198</v>
      </c>
      <c r="AM747" s="25">
        <v>0.99</v>
      </c>
      <c r="AN747" s="30">
        <v>1</v>
      </c>
      <c r="AO747" s="30">
        <v>1</v>
      </c>
      <c r="AP747" s="30">
        <v>1</v>
      </c>
      <c r="AQ747" s="30">
        <v>1</v>
      </c>
      <c r="AR747" s="50">
        <v>8.1059522893420499E-2</v>
      </c>
      <c r="AS747" s="34">
        <v>0</v>
      </c>
      <c r="AT747" s="34">
        <v>-7.1428571428571397E-2</v>
      </c>
      <c r="AU747" s="34">
        <v>0</v>
      </c>
      <c r="AV747" s="34">
        <v>-2.7027027027027001E-2</v>
      </c>
      <c r="AW747" s="10"/>
      <c r="AX747" s="8"/>
    </row>
    <row r="748" spans="1:50">
      <c r="A748" s="7"/>
      <c r="B748" s="10"/>
      <c r="C748" s="45" t="s">
        <v>688</v>
      </c>
      <c r="D748" s="23" t="s">
        <v>21</v>
      </c>
      <c r="E748" s="68" t="s">
        <v>794</v>
      </c>
      <c r="F748" s="68" t="s">
        <v>794</v>
      </c>
      <c r="G748" s="68" t="s">
        <v>794</v>
      </c>
      <c r="H748" s="68" t="s">
        <v>794</v>
      </c>
      <c r="I748" s="25">
        <v>0.9</v>
      </c>
      <c r="J748" s="26">
        <v>1</v>
      </c>
      <c r="K748" s="26">
        <v>0.96296296296296302</v>
      </c>
      <c r="L748" s="27">
        <v>1</v>
      </c>
      <c r="M748" s="26">
        <v>0.993670886075949</v>
      </c>
      <c r="N748" s="28">
        <v>0.9</v>
      </c>
      <c r="O748" s="26">
        <v>0.97960954446854698</v>
      </c>
      <c r="P748" s="26">
        <v>0.97775346462436197</v>
      </c>
      <c r="Q748" s="26">
        <v>0.97837281153450095</v>
      </c>
      <c r="R748" s="26">
        <v>0.97984173261141205</v>
      </c>
      <c r="S748" s="28">
        <v>0.9</v>
      </c>
      <c r="T748" s="26">
        <v>0.94880694143166999</v>
      </c>
      <c r="U748" s="26">
        <v>0.95113056163384402</v>
      </c>
      <c r="V748" s="26">
        <v>0.94850669412976296</v>
      </c>
      <c r="W748" s="26">
        <v>0.95251978342357302</v>
      </c>
      <c r="X748" s="28">
        <v>0.92</v>
      </c>
      <c r="Y748" s="28">
        <v>0.90996168582375503</v>
      </c>
      <c r="Z748" s="28">
        <v>0.938864628820961</v>
      </c>
      <c r="AA748" s="28">
        <v>0.88297872340425498</v>
      </c>
      <c r="AB748" s="28">
        <v>0.88143795368129996</v>
      </c>
      <c r="AC748" s="28">
        <v>0.92</v>
      </c>
      <c r="AD748" s="26">
        <v>0.99713525680376502</v>
      </c>
      <c r="AE748" s="26">
        <v>0.98852800953516096</v>
      </c>
      <c r="AF748" s="26">
        <v>0.99602443517890005</v>
      </c>
      <c r="AG748" s="26">
        <v>0.991110528385997</v>
      </c>
      <c r="AH748" s="28">
        <v>0.92</v>
      </c>
      <c r="AI748" s="26">
        <v>0.967456667845773</v>
      </c>
      <c r="AJ748" s="26">
        <v>0.976384839650146</v>
      </c>
      <c r="AK748" s="26">
        <v>0.95350451075641895</v>
      </c>
      <c r="AL748" s="26">
        <v>0.96396215019126197</v>
      </c>
      <c r="AM748" s="25">
        <v>0.99</v>
      </c>
      <c r="AN748" s="30">
        <v>1</v>
      </c>
      <c r="AO748" s="30">
        <v>1</v>
      </c>
      <c r="AP748" s="30">
        <v>1</v>
      </c>
      <c r="AQ748" s="30">
        <v>1</v>
      </c>
      <c r="AR748" s="50">
        <v>8.1059522893420499E-2</v>
      </c>
      <c r="AS748" s="34">
        <v>0</v>
      </c>
      <c r="AT748" s="34">
        <v>0</v>
      </c>
      <c r="AU748" s="34">
        <v>0</v>
      </c>
      <c r="AV748" s="34">
        <v>4.8780487804878099E-2</v>
      </c>
      <c r="AW748" s="10"/>
      <c r="AX748" s="8"/>
    </row>
    <row r="749" spans="1:50">
      <c r="A749" s="7"/>
      <c r="B749" s="10"/>
      <c r="C749" s="45" t="s">
        <v>688</v>
      </c>
      <c r="D749" s="23" t="s">
        <v>21</v>
      </c>
      <c r="E749" s="68" t="s">
        <v>795</v>
      </c>
      <c r="F749" s="68" t="s">
        <v>795</v>
      </c>
      <c r="G749" s="68" t="s">
        <v>795</v>
      </c>
      <c r="H749" s="68" t="s">
        <v>795</v>
      </c>
      <c r="I749" s="25">
        <v>0.9</v>
      </c>
      <c r="J749" s="26">
        <v>1</v>
      </c>
      <c r="K749" s="26">
        <v>0.97727272727272696</v>
      </c>
      <c r="L749" s="27">
        <v>0.97058823529411797</v>
      </c>
      <c r="M749" s="26">
        <v>0.98755186721991695</v>
      </c>
      <c r="N749" s="28">
        <v>0.9</v>
      </c>
      <c r="O749" s="26">
        <v>0.97829232995658499</v>
      </c>
      <c r="P749" s="26">
        <v>0.93587930221593596</v>
      </c>
      <c r="Q749" s="26">
        <v>0.95649021029731696</v>
      </c>
      <c r="R749" s="26">
        <v>0.96160000000000001</v>
      </c>
      <c r="S749" s="28">
        <v>0.9</v>
      </c>
      <c r="T749" s="26">
        <v>0.94819102749638196</v>
      </c>
      <c r="U749" s="26">
        <v>0.94483734087694504</v>
      </c>
      <c r="V749" s="26">
        <v>0.93691080493110901</v>
      </c>
      <c r="W749" s="26">
        <v>0.94653793103448303</v>
      </c>
      <c r="X749" s="28">
        <v>0.92</v>
      </c>
      <c r="Y749" s="28">
        <v>0.90414878397710996</v>
      </c>
      <c r="Z749" s="28">
        <v>0.94479830148620003</v>
      </c>
      <c r="AA749" s="28">
        <v>0.90813648293963301</v>
      </c>
      <c r="AB749" s="28">
        <v>0.923191648023863</v>
      </c>
      <c r="AC749" s="28">
        <v>0.92</v>
      </c>
      <c r="AD749" s="26">
        <v>0.99333333333333296</v>
      </c>
      <c r="AE749" s="26">
        <v>0.98901098901098905</v>
      </c>
      <c r="AF749" s="26">
        <v>0.99777777777777799</v>
      </c>
      <c r="AG749" s="26">
        <v>0.99302093718843498</v>
      </c>
      <c r="AH749" s="28">
        <v>0.92</v>
      </c>
      <c r="AI749" s="26">
        <v>0.96990852190659604</v>
      </c>
      <c r="AJ749" s="26">
        <v>0.97858796296296302</v>
      </c>
      <c r="AK749" s="26">
        <v>0.95235871088276502</v>
      </c>
      <c r="AL749" s="26">
        <v>0.97200776558761104</v>
      </c>
      <c r="AM749" s="25">
        <v>0.99</v>
      </c>
      <c r="AN749" s="30">
        <v>1</v>
      </c>
      <c r="AO749" s="30">
        <v>1</v>
      </c>
      <c r="AP749" s="30">
        <v>1</v>
      </c>
      <c r="AQ749" s="30">
        <v>1</v>
      </c>
      <c r="AR749" s="50">
        <v>8.1059522893420499E-2</v>
      </c>
      <c r="AS749" s="34">
        <v>0</v>
      </c>
      <c r="AT749" s="34">
        <v>0</v>
      </c>
      <c r="AU749" s="34">
        <v>0</v>
      </c>
      <c r="AV749" s="34">
        <v>2.7027027027027001E-2</v>
      </c>
      <c r="AW749" s="10"/>
      <c r="AX749" s="8"/>
    </row>
    <row r="750" spans="1:50">
      <c r="A750" s="7"/>
      <c r="B750" s="10"/>
      <c r="C750" s="45" t="s">
        <v>688</v>
      </c>
      <c r="D750" s="23" t="s">
        <v>21</v>
      </c>
      <c r="E750" s="68" t="s">
        <v>796</v>
      </c>
      <c r="F750" s="68" t="s">
        <v>796</v>
      </c>
      <c r="G750" s="68" t="s">
        <v>796</v>
      </c>
      <c r="H750" s="68" t="s">
        <v>796</v>
      </c>
      <c r="I750" s="25">
        <v>0.9</v>
      </c>
      <c r="J750" s="26">
        <v>1</v>
      </c>
      <c r="K750" s="26">
        <v>0.97435897435897401</v>
      </c>
      <c r="L750" s="27">
        <v>1</v>
      </c>
      <c r="M750" s="26">
        <v>0.99519230769230804</v>
      </c>
      <c r="N750" s="28">
        <v>0.9</v>
      </c>
      <c r="O750" s="26">
        <v>0.97268106734434601</v>
      </c>
      <c r="P750" s="26">
        <v>0.97136682874122104</v>
      </c>
      <c r="Q750" s="26">
        <v>0.98563611491108105</v>
      </c>
      <c r="R750" s="26">
        <v>0.97624516441005804</v>
      </c>
      <c r="S750" s="28">
        <v>0.9</v>
      </c>
      <c r="T750" s="26">
        <v>0.956797966963151</v>
      </c>
      <c r="U750" s="26">
        <v>0.95894111291193995</v>
      </c>
      <c r="V750" s="26">
        <v>0.94870041039671704</v>
      </c>
      <c r="W750" s="26">
        <v>0.95726547388781402</v>
      </c>
      <c r="X750" s="28">
        <v>0.92</v>
      </c>
      <c r="Y750" s="28">
        <v>0.92836676217765002</v>
      </c>
      <c r="Z750" s="28">
        <v>0.92963752665245203</v>
      </c>
      <c r="AA750" s="28">
        <v>0.89358372456963997</v>
      </c>
      <c r="AB750" s="28">
        <v>0.90607878945995302</v>
      </c>
      <c r="AC750" s="28">
        <v>0.92</v>
      </c>
      <c r="AD750" s="26">
        <v>1</v>
      </c>
      <c r="AE750" s="26">
        <v>0.99873444421008195</v>
      </c>
      <c r="AF750" s="26">
        <v>0.99931991294885703</v>
      </c>
      <c r="AG750" s="26">
        <v>0.99946406240695496</v>
      </c>
      <c r="AH750" s="28">
        <v>0.92</v>
      </c>
      <c r="AI750" s="26">
        <v>0.96723868954758196</v>
      </c>
      <c r="AJ750" s="26">
        <v>0.97456896551724104</v>
      </c>
      <c r="AK750" s="26">
        <v>0.96144693003331705</v>
      </c>
      <c r="AL750" s="26">
        <v>0.97050596260489796</v>
      </c>
      <c r="AM750" s="25">
        <v>0.99</v>
      </c>
      <c r="AN750" s="30">
        <v>1</v>
      </c>
      <c r="AO750" s="30">
        <v>1</v>
      </c>
      <c r="AP750" s="30">
        <v>1</v>
      </c>
      <c r="AQ750" s="30">
        <v>1</v>
      </c>
      <c r="AR750" s="50">
        <v>8.1059522893420499E-2</v>
      </c>
      <c r="AS750" s="34">
        <v>-0.14285714285714299</v>
      </c>
      <c r="AT750" s="34">
        <v>0.14285714285714299</v>
      </c>
      <c r="AU750" s="34">
        <v>0</v>
      </c>
      <c r="AV750" s="34">
        <v>8.8888888888888906E-2</v>
      </c>
      <c r="AW750" s="10"/>
      <c r="AX750" s="8"/>
    </row>
    <row r="751" spans="1:50">
      <c r="A751" s="7"/>
      <c r="B751" s="10"/>
      <c r="C751" s="45" t="s">
        <v>688</v>
      </c>
      <c r="D751" s="23" t="s">
        <v>21</v>
      </c>
      <c r="E751" s="68" t="s">
        <v>797</v>
      </c>
      <c r="F751" s="68" t="s">
        <v>797</v>
      </c>
      <c r="G751" s="68" t="s">
        <v>797</v>
      </c>
      <c r="H751" s="68" t="s">
        <v>797</v>
      </c>
      <c r="I751" s="25">
        <v>0.9</v>
      </c>
      <c r="J751" s="26">
        <v>1</v>
      </c>
      <c r="K751" s="26">
        <v>1</v>
      </c>
      <c r="L751" s="27">
        <v>0.91666666666666696</v>
      </c>
      <c r="M751" s="26">
        <v>0.98843930635838195</v>
      </c>
      <c r="N751" s="28">
        <v>0.9</v>
      </c>
      <c r="O751" s="26">
        <v>0.96766666666666701</v>
      </c>
      <c r="P751" s="26">
        <v>0.93040596520298302</v>
      </c>
      <c r="Q751" s="26">
        <v>0.96468561584840695</v>
      </c>
      <c r="R751" s="26">
        <v>0.96103319159738498</v>
      </c>
      <c r="S751" s="28">
        <v>0.9</v>
      </c>
      <c r="T751" s="26">
        <v>0.95066666666666699</v>
      </c>
      <c r="U751" s="26">
        <v>0.932615299640983</v>
      </c>
      <c r="V751" s="26">
        <v>0.95262704565030099</v>
      </c>
      <c r="W751" s="26">
        <v>0.95341752871739505</v>
      </c>
      <c r="X751" s="28">
        <v>0.92</v>
      </c>
      <c r="Y751" s="28">
        <v>0.95158597662771305</v>
      </c>
      <c r="Z751" s="28">
        <v>0.96043956043956002</v>
      </c>
      <c r="AA751" s="28">
        <v>0.94139194139194105</v>
      </c>
      <c r="AB751" s="28">
        <v>0.95244456318461101</v>
      </c>
      <c r="AC751" s="28">
        <v>0.92</v>
      </c>
      <c r="AD751" s="26">
        <v>0.99328859060402697</v>
      </c>
      <c r="AE751" s="26">
        <v>0.99470899470899499</v>
      </c>
      <c r="AF751" s="26">
        <v>0.98933901918976497</v>
      </c>
      <c r="AG751" s="26">
        <v>0.99411764705882399</v>
      </c>
      <c r="AH751" s="28">
        <v>0.92</v>
      </c>
      <c r="AI751" s="26">
        <v>0.97972222222222205</v>
      </c>
      <c r="AJ751" s="26">
        <v>0.98256455528580899</v>
      </c>
      <c r="AK751" s="26">
        <v>0.96414141414141397</v>
      </c>
      <c r="AL751" s="26">
        <v>0.98025641025640997</v>
      </c>
      <c r="AM751" s="25">
        <v>0.99</v>
      </c>
      <c r="AN751" s="30">
        <v>1</v>
      </c>
      <c r="AO751" s="30">
        <v>1</v>
      </c>
      <c r="AP751" s="30">
        <v>1</v>
      </c>
      <c r="AQ751" s="30">
        <v>1</v>
      </c>
      <c r="AR751" s="50">
        <v>8.1059522893420499E-2</v>
      </c>
      <c r="AS751" s="34">
        <v>0</v>
      </c>
      <c r="AT751" s="34">
        <v>7.1428571428571397E-2</v>
      </c>
      <c r="AU751" s="34">
        <v>0.14285714285714299</v>
      </c>
      <c r="AV751" s="34">
        <v>9.8360655737704902E-2</v>
      </c>
      <c r="AW751" s="10"/>
      <c r="AX751" s="8"/>
    </row>
    <row r="752" spans="1:50">
      <c r="A752" s="7"/>
      <c r="B752" s="10"/>
      <c r="C752" s="45" t="s">
        <v>688</v>
      </c>
      <c r="D752" s="23" t="s">
        <v>21</v>
      </c>
      <c r="E752" s="68" t="s">
        <v>798</v>
      </c>
      <c r="F752" s="68" t="s">
        <v>798</v>
      </c>
      <c r="G752" s="68" t="s">
        <v>798</v>
      </c>
      <c r="H752" s="68" t="s">
        <v>798</v>
      </c>
      <c r="I752" s="25">
        <v>0.9</v>
      </c>
      <c r="J752" s="26">
        <v>0.96551724137931005</v>
      </c>
      <c r="K752" s="26">
        <v>0.89655172413793105</v>
      </c>
      <c r="L752" s="27">
        <v>1</v>
      </c>
      <c r="M752" s="26">
        <v>0.95172413793103405</v>
      </c>
      <c r="N752" s="28">
        <v>0.9</v>
      </c>
      <c r="O752" s="26">
        <v>0.96556671449067399</v>
      </c>
      <c r="P752" s="26">
        <v>0.956456002419111</v>
      </c>
      <c r="Q752" s="26">
        <v>0.94745908699397097</v>
      </c>
      <c r="R752" s="26">
        <v>0.95419359420495697</v>
      </c>
      <c r="S752" s="28">
        <v>0.9</v>
      </c>
      <c r="T752" s="26">
        <v>0.95659971305595404</v>
      </c>
      <c r="U752" s="26">
        <v>0.93256728152404</v>
      </c>
      <c r="V752" s="26">
        <v>0.93281653746769999</v>
      </c>
      <c r="W752" s="26">
        <v>0.93686527945458398</v>
      </c>
      <c r="X752" s="28">
        <v>0.92</v>
      </c>
      <c r="Y752" s="28">
        <v>0.93537414965986398</v>
      </c>
      <c r="Z752" s="28">
        <v>0.956797966963151</v>
      </c>
      <c r="AA752" s="28">
        <v>0.951672862453532</v>
      </c>
      <c r="AB752" s="28">
        <v>0.94779722389861198</v>
      </c>
      <c r="AC752" s="28">
        <v>0.92</v>
      </c>
      <c r="AD752" s="26">
        <v>0.99541284403669705</v>
      </c>
      <c r="AE752" s="26">
        <v>0.99399999999999999</v>
      </c>
      <c r="AF752" s="26">
        <v>0.98653846153846203</v>
      </c>
      <c r="AG752" s="26">
        <v>0.98920169687620496</v>
      </c>
      <c r="AH752" s="28">
        <v>0.92</v>
      </c>
      <c r="AI752" s="26">
        <v>0.97600710900473897</v>
      </c>
      <c r="AJ752" s="26">
        <v>0.97728382999511498</v>
      </c>
      <c r="AK752" s="26">
        <v>0.97057092407298395</v>
      </c>
      <c r="AL752" s="26">
        <v>0.975395228513941</v>
      </c>
      <c r="AM752" s="25">
        <v>0.99</v>
      </c>
      <c r="AN752" s="30">
        <v>1</v>
      </c>
      <c r="AO752" s="30">
        <v>1</v>
      </c>
      <c r="AP752" s="30">
        <v>1</v>
      </c>
      <c r="AQ752" s="30">
        <v>1</v>
      </c>
      <c r="AR752" s="50">
        <v>8.1059522893420499E-2</v>
      </c>
      <c r="AS752" s="34">
        <v>0.28571428571428598</v>
      </c>
      <c r="AT752" s="34">
        <v>0</v>
      </c>
      <c r="AU752" s="34">
        <v>0</v>
      </c>
      <c r="AV752" s="34">
        <v>8.1632653061224497E-2</v>
      </c>
      <c r="AW752" s="10"/>
      <c r="AX752" s="8"/>
    </row>
    <row r="753" spans="1:50">
      <c r="A753" s="7"/>
      <c r="B753" s="10"/>
      <c r="C753" s="45" t="s">
        <v>688</v>
      </c>
      <c r="D753" s="23" t="s">
        <v>21</v>
      </c>
      <c r="E753" s="68" t="s">
        <v>799</v>
      </c>
      <c r="F753" s="68" t="s">
        <v>799</v>
      </c>
      <c r="G753" s="68" t="s">
        <v>799</v>
      </c>
      <c r="H753" s="68" t="s">
        <v>799</v>
      </c>
      <c r="I753" s="25">
        <v>0.9</v>
      </c>
      <c r="J753" s="26">
        <v>1</v>
      </c>
      <c r="K753" s="26">
        <v>1</v>
      </c>
      <c r="L753" s="27">
        <v>1</v>
      </c>
      <c r="M753" s="26">
        <v>0.99421965317919103</v>
      </c>
      <c r="N753" s="28">
        <v>0.9</v>
      </c>
      <c r="O753" s="26">
        <v>0.95913818722139699</v>
      </c>
      <c r="P753" s="26">
        <v>0.93960364894620996</v>
      </c>
      <c r="Q753" s="26">
        <v>0.97096774193548396</v>
      </c>
      <c r="R753" s="26">
        <v>0.95615895912883597</v>
      </c>
      <c r="S753" s="28">
        <v>0.9</v>
      </c>
      <c r="T753" s="26">
        <v>0.90564635958395201</v>
      </c>
      <c r="U753" s="26">
        <v>0.905316137150047</v>
      </c>
      <c r="V753" s="26">
        <v>0.90806451612903205</v>
      </c>
      <c r="W753" s="26">
        <v>0.90941875265167604</v>
      </c>
      <c r="X753" s="28">
        <v>0.92</v>
      </c>
      <c r="Y753" s="28">
        <v>0.91929824561403495</v>
      </c>
      <c r="Z753" s="28">
        <v>0.91518987341772196</v>
      </c>
      <c r="AA753" s="28">
        <v>0.90420168067226903</v>
      </c>
      <c r="AB753" s="28">
        <v>0.91323210412147504</v>
      </c>
      <c r="AC753" s="28">
        <v>0.92</v>
      </c>
      <c r="AD753" s="26">
        <v>1</v>
      </c>
      <c r="AE753" s="26">
        <v>0.99785361665593497</v>
      </c>
      <c r="AF753" s="26">
        <v>0.99893955461293704</v>
      </c>
      <c r="AG753" s="26">
        <v>0.999059233449477</v>
      </c>
      <c r="AH753" s="28">
        <v>0.92</v>
      </c>
      <c r="AI753" s="26">
        <v>0.94849785407725296</v>
      </c>
      <c r="AJ753" s="26">
        <v>0.96044343663391296</v>
      </c>
      <c r="AK753" s="26">
        <v>0.942779291553134</v>
      </c>
      <c r="AL753" s="26">
        <v>0.95877713167136902</v>
      </c>
      <c r="AM753" s="25">
        <v>0.99</v>
      </c>
      <c r="AN753" s="30">
        <v>1</v>
      </c>
      <c r="AO753" s="30">
        <v>1</v>
      </c>
      <c r="AP753" s="30">
        <v>1</v>
      </c>
      <c r="AQ753" s="30">
        <v>1</v>
      </c>
      <c r="AR753" s="50">
        <v>8.1059522893420499E-2</v>
      </c>
      <c r="AS753" s="34">
        <v>0.11111111111111099</v>
      </c>
      <c r="AT753" s="34">
        <v>0</v>
      </c>
      <c r="AU753" s="34">
        <v>0</v>
      </c>
      <c r="AV753" s="34">
        <v>2.04081632653061E-2</v>
      </c>
      <c r="AW753" s="10"/>
      <c r="AX753" s="8"/>
    </row>
    <row r="754" spans="1:50">
      <c r="A754" s="7"/>
      <c r="B754" s="10"/>
      <c r="C754" s="45" t="s">
        <v>688</v>
      </c>
      <c r="D754" s="23" t="s">
        <v>21</v>
      </c>
      <c r="E754" s="68" t="s">
        <v>800</v>
      </c>
      <c r="F754" s="68" t="s">
        <v>800</v>
      </c>
      <c r="G754" s="68" t="s">
        <v>800</v>
      </c>
      <c r="H754" s="68" t="s">
        <v>800</v>
      </c>
      <c r="I754" s="25">
        <v>0.9</v>
      </c>
      <c r="J754" s="26">
        <v>0.97058823529411797</v>
      </c>
      <c r="K754" s="26">
        <v>0.97222222222222199</v>
      </c>
      <c r="L754" s="27">
        <v>1</v>
      </c>
      <c r="M754" s="26">
        <v>0.949238578680203</v>
      </c>
      <c r="N754" s="28">
        <v>0.9</v>
      </c>
      <c r="O754" s="26">
        <v>0.96446402349486005</v>
      </c>
      <c r="P754" s="26">
        <v>0.96396169354838701</v>
      </c>
      <c r="Q754" s="26">
        <v>0.97467672413793105</v>
      </c>
      <c r="R754" s="26">
        <v>0.96508618315986605</v>
      </c>
      <c r="S754" s="28">
        <v>0.9</v>
      </c>
      <c r="T754" s="26">
        <v>0.91306901615271696</v>
      </c>
      <c r="U754" s="26">
        <v>0.90877016129032295</v>
      </c>
      <c r="V754" s="26">
        <v>0.93157327586206895</v>
      </c>
      <c r="W754" s="26">
        <v>0.91519356792774897</v>
      </c>
      <c r="X754" s="28">
        <v>0.92</v>
      </c>
      <c r="Y754" s="28">
        <v>0.91188811188811203</v>
      </c>
      <c r="Z754" s="28">
        <v>0.94368932038834996</v>
      </c>
      <c r="AA754" s="28">
        <v>0.94536817102137805</v>
      </c>
      <c r="AB754" s="28">
        <v>0.93035055350553497</v>
      </c>
      <c r="AC754" s="28">
        <v>0.92</v>
      </c>
      <c r="AD754" s="26">
        <v>0.99993644337104404</v>
      </c>
      <c r="AE754" s="26">
        <v>0.999839150715779</v>
      </c>
      <c r="AF754" s="26">
        <v>0.96666974425260799</v>
      </c>
      <c r="AG754" s="26">
        <v>0.99481059354696599</v>
      </c>
      <c r="AH754" s="28">
        <v>0.92</v>
      </c>
      <c r="AI754" s="26">
        <v>0.96021348859776801</v>
      </c>
      <c r="AJ754" s="26">
        <v>0.96838735494197703</v>
      </c>
      <c r="AK754" s="26">
        <v>0.96408737504627895</v>
      </c>
      <c r="AL754" s="26">
        <v>0.96395555555555601</v>
      </c>
      <c r="AM754" s="25">
        <v>0.99</v>
      </c>
      <c r="AN754" s="30">
        <v>1</v>
      </c>
      <c r="AO754" s="30">
        <v>1</v>
      </c>
      <c r="AP754" s="30">
        <v>1</v>
      </c>
      <c r="AQ754" s="30">
        <v>1</v>
      </c>
      <c r="AR754" s="50">
        <v>8.1059522893420499E-2</v>
      </c>
      <c r="AS754" s="34">
        <v>0.08</v>
      </c>
      <c r="AT754" s="34">
        <v>0</v>
      </c>
      <c r="AU754" s="34">
        <v>0</v>
      </c>
      <c r="AV754" s="34">
        <v>7.2289156626505993E-2</v>
      </c>
      <c r="AW754" s="10"/>
      <c r="AX754" s="8"/>
    </row>
    <row r="755" spans="1:50">
      <c r="A755" s="7"/>
      <c r="B755" s="10"/>
      <c r="C755" s="45" t="s">
        <v>688</v>
      </c>
      <c r="D755" s="23" t="s">
        <v>21</v>
      </c>
      <c r="E755" s="68" t="s">
        <v>801</v>
      </c>
      <c r="F755" s="68" t="s">
        <v>801</v>
      </c>
      <c r="G755" s="68" t="s">
        <v>801</v>
      </c>
      <c r="H755" s="68" t="s">
        <v>801</v>
      </c>
      <c r="I755" s="25">
        <v>0.9</v>
      </c>
      <c r="J755" s="26">
        <v>0.96875</v>
      </c>
      <c r="K755" s="26">
        <v>0.97222222222222199</v>
      </c>
      <c r="L755" s="27">
        <v>1</v>
      </c>
      <c r="M755" s="26">
        <v>0.95767195767195801</v>
      </c>
      <c r="N755" s="28">
        <v>0.9</v>
      </c>
      <c r="O755" s="26">
        <v>0.97673750717978203</v>
      </c>
      <c r="P755" s="26">
        <v>0.97418896519062304</v>
      </c>
      <c r="Q755" s="26">
        <v>0.97588832487309596</v>
      </c>
      <c r="R755" s="26">
        <v>0.97645211930926201</v>
      </c>
      <c r="S755" s="28">
        <v>0.9</v>
      </c>
      <c r="T755" s="26">
        <v>0.94198736358414703</v>
      </c>
      <c r="U755" s="26">
        <v>0.94908832583471503</v>
      </c>
      <c r="V755" s="26">
        <v>0.95431472081218305</v>
      </c>
      <c r="W755" s="26">
        <v>0.94456774752341299</v>
      </c>
      <c r="X755" s="28">
        <v>0.92</v>
      </c>
      <c r="Y755" s="28">
        <v>0.91282051282051302</v>
      </c>
      <c r="Z755" s="28">
        <v>0.94736842105263197</v>
      </c>
      <c r="AA755" s="28">
        <v>0.93636363636363595</v>
      </c>
      <c r="AB755" s="28">
        <v>0.93462075383899501</v>
      </c>
      <c r="AC755" s="28">
        <v>0.92</v>
      </c>
      <c r="AD755" s="26">
        <v>1</v>
      </c>
      <c r="AE755" s="26">
        <v>0.99738391105297597</v>
      </c>
      <c r="AF755" s="26">
        <v>0.99954751131221697</v>
      </c>
      <c r="AG755" s="26">
        <v>0.99911991199119898</v>
      </c>
      <c r="AH755" s="28">
        <v>0.92</v>
      </c>
      <c r="AI755" s="26">
        <v>0.97161623269997699</v>
      </c>
      <c r="AJ755" s="26">
        <v>0.97694799009335098</v>
      </c>
      <c r="AK755" s="26">
        <v>0.96974861525351497</v>
      </c>
      <c r="AL755" s="26">
        <v>0.97518991788521503</v>
      </c>
      <c r="AM755" s="25">
        <v>0.99</v>
      </c>
      <c r="AN755" s="30">
        <v>1</v>
      </c>
      <c r="AO755" s="30">
        <v>1</v>
      </c>
      <c r="AP755" s="30">
        <v>1</v>
      </c>
      <c r="AQ755" s="30">
        <v>1</v>
      </c>
      <c r="AR755" s="50">
        <v>8.1059522893420499E-2</v>
      </c>
      <c r="AS755" s="34">
        <v>0.18181818181818199</v>
      </c>
      <c r="AT755" s="34">
        <v>0.2</v>
      </c>
      <c r="AU755" s="34">
        <v>0</v>
      </c>
      <c r="AV755" s="34">
        <v>0.14285714285714299</v>
      </c>
      <c r="AW755" s="10"/>
      <c r="AX755" s="8"/>
    </row>
    <row r="756" spans="1:50">
      <c r="A756" s="7"/>
      <c r="B756" s="10"/>
      <c r="C756" s="45" t="s">
        <v>688</v>
      </c>
      <c r="D756" s="23" t="s">
        <v>21</v>
      </c>
      <c r="E756" s="68" t="s">
        <v>802</v>
      </c>
      <c r="F756" s="68" t="s">
        <v>802</v>
      </c>
      <c r="G756" s="68" t="s">
        <v>802</v>
      </c>
      <c r="H756" s="68" t="s">
        <v>802</v>
      </c>
      <c r="I756" s="25">
        <v>0.9</v>
      </c>
      <c r="J756" s="26">
        <v>0.97222222222222199</v>
      </c>
      <c r="K756" s="26">
        <v>0.94285714285714295</v>
      </c>
      <c r="L756" s="27">
        <v>0.95833333333333304</v>
      </c>
      <c r="M756" s="26">
        <v>0.95161290322580605</v>
      </c>
      <c r="N756" s="28">
        <v>0.9</v>
      </c>
      <c r="O756" s="26">
        <v>0.95243553008596005</v>
      </c>
      <c r="P756" s="26">
        <v>0.94230335812485899</v>
      </c>
      <c r="Q756" s="26">
        <v>0.95222513089005201</v>
      </c>
      <c r="R756" s="26">
        <v>0.94757466638424104</v>
      </c>
      <c r="S756" s="28">
        <v>0.9</v>
      </c>
      <c r="T756" s="26">
        <v>0.93896848137535804</v>
      </c>
      <c r="U756" s="26">
        <v>0.9272030651341</v>
      </c>
      <c r="V756" s="26">
        <v>0.94306282722513102</v>
      </c>
      <c r="W756" s="26">
        <v>0.92925227705994495</v>
      </c>
      <c r="X756" s="28">
        <v>0.92</v>
      </c>
      <c r="Y756" s="28">
        <v>0.87468354430379702</v>
      </c>
      <c r="Z756" s="28">
        <v>0.90539262062440895</v>
      </c>
      <c r="AA756" s="28">
        <v>0.87983978638184202</v>
      </c>
      <c r="AB756" s="28">
        <v>0.87367205542725201</v>
      </c>
      <c r="AC756" s="28">
        <v>0.92</v>
      </c>
      <c r="AD756" s="26">
        <v>0.998501872659176</v>
      </c>
      <c r="AE756" s="26">
        <v>0.99461123941493501</v>
      </c>
      <c r="AF756" s="26">
        <v>1</v>
      </c>
      <c r="AG756" s="26">
        <v>0.99726572209793696</v>
      </c>
      <c r="AH756" s="28">
        <v>0.92</v>
      </c>
      <c r="AI756" s="26">
        <v>0.95350467289719598</v>
      </c>
      <c r="AJ756" s="26">
        <v>0.96450673461958503</v>
      </c>
      <c r="AK756" s="26">
        <v>0.94205443371378395</v>
      </c>
      <c r="AL756" s="26">
        <v>0.95748621640248099</v>
      </c>
      <c r="AM756" s="25">
        <v>0.99</v>
      </c>
      <c r="AN756" s="30">
        <v>1</v>
      </c>
      <c r="AO756" s="30">
        <v>1</v>
      </c>
      <c r="AP756" s="30">
        <v>1</v>
      </c>
      <c r="AQ756" s="30">
        <v>1</v>
      </c>
      <c r="AR756" s="50">
        <v>8.1059522893420499E-2</v>
      </c>
      <c r="AS756" s="34">
        <v>0</v>
      </c>
      <c r="AT756" s="34">
        <v>4.7619047619047603E-2</v>
      </c>
      <c r="AU756" s="34">
        <v>0.14285714285714299</v>
      </c>
      <c r="AV756" s="34">
        <v>3.8961038961039002E-2</v>
      </c>
      <c r="AW756" s="10"/>
      <c r="AX756" s="8"/>
    </row>
    <row r="757" spans="1:50">
      <c r="A757" s="7"/>
      <c r="B757" s="10"/>
      <c r="C757" s="45" t="s">
        <v>688</v>
      </c>
      <c r="D757" s="23" t="s">
        <v>21</v>
      </c>
      <c r="E757" s="68" t="s">
        <v>803</v>
      </c>
      <c r="F757" s="68" t="s">
        <v>803</v>
      </c>
      <c r="G757" s="68" t="s">
        <v>803</v>
      </c>
      <c r="H757" s="68" t="s">
        <v>803</v>
      </c>
      <c r="I757" s="25">
        <v>0.9</v>
      </c>
      <c r="J757" s="26">
        <v>1</v>
      </c>
      <c r="K757" s="26">
        <v>1</v>
      </c>
      <c r="L757" s="27">
        <v>1</v>
      </c>
      <c r="M757" s="26">
        <v>1</v>
      </c>
      <c r="N757" s="28">
        <v>0.9</v>
      </c>
      <c r="O757" s="26">
        <v>0.96803008932769197</v>
      </c>
      <c r="P757" s="26">
        <v>0.89876265466816696</v>
      </c>
      <c r="Q757" s="26">
        <v>0.93398268398268403</v>
      </c>
      <c r="R757" s="26">
        <v>0.950655894361915</v>
      </c>
      <c r="S757" s="28">
        <v>0.9</v>
      </c>
      <c r="T757" s="26">
        <v>0.94452280206864103</v>
      </c>
      <c r="U757" s="26">
        <v>0.94825646794150698</v>
      </c>
      <c r="V757" s="26">
        <v>0.91666666666666696</v>
      </c>
      <c r="W757" s="26">
        <v>0.94049170358787204</v>
      </c>
      <c r="X757" s="28">
        <v>0.92</v>
      </c>
      <c r="Y757" s="28">
        <v>0.950207468879668</v>
      </c>
      <c r="Z757" s="28">
        <v>0.89545454545454595</v>
      </c>
      <c r="AA757" s="28">
        <v>0.926086956521739</v>
      </c>
      <c r="AB757" s="28">
        <v>0.92342683851402596</v>
      </c>
      <c r="AC757" s="28">
        <v>0.92</v>
      </c>
      <c r="AD757" s="26">
        <v>0.99393939393939401</v>
      </c>
      <c r="AE757" s="26">
        <v>0.99711815561959605</v>
      </c>
      <c r="AF757" s="26">
        <v>1</v>
      </c>
      <c r="AG757" s="26">
        <v>0.99538106235565804</v>
      </c>
      <c r="AH757" s="28">
        <v>0.92</v>
      </c>
      <c r="AI757" s="26">
        <v>0.97508623993867405</v>
      </c>
      <c r="AJ757" s="26">
        <v>0.96783889389840705</v>
      </c>
      <c r="AK757" s="26">
        <v>0.959537572254335</v>
      </c>
      <c r="AL757" s="26">
        <v>0.97229877747155702</v>
      </c>
      <c r="AM757" s="25">
        <v>0.99</v>
      </c>
      <c r="AN757" s="30">
        <v>1</v>
      </c>
      <c r="AO757" s="30">
        <v>1</v>
      </c>
      <c r="AP757" s="30">
        <v>1</v>
      </c>
      <c r="AQ757" s="30">
        <v>1</v>
      </c>
      <c r="AR757" s="50">
        <v>8.1059522893420499E-2</v>
      </c>
      <c r="AS757" s="34">
        <v>0</v>
      </c>
      <c r="AT757" s="34">
        <v>0.27272727272727298</v>
      </c>
      <c r="AU757" s="34">
        <v>0</v>
      </c>
      <c r="AV757" s="34">
        <v>0.11111111111111099</v>
      </c>
      <c r="AW757" s="10"/>
      <c r="AX757" s="8"/>
    </row>
    <row r="758" spans="1:50">
      <c r="A758" s="7"/>
      <c r="B758" s="10"/>
      <c r="C758" s="45" t="s">
        <v>688</v>
      </c>
      <c r="D758" s="23" t="s">
        <v>21</v>
      </c>
      <c r="E758" s="68" t="s">
        <v>804</v>
      </c>
      <c r="F758" s="68" t="s">
        <v>804</v>
      </c>
      <c r="G758" s="68" t="s">
        <v>804</v>
      </c>
      <c r="H758" s="68" t="s">
        <v>804</v>
      </c>
      <c r="I758" s="25">
        <v>0.9</v>
      </c>
      <c r="J758" s="26">
        <v>0.83333333333333304</v>
      </c>
      <c r="K758" s="26">
        <v>0.83333333333333304</v>
      </c>
      <c r="L758" s="27">
        <v>0.88888888888888895</v>
      </c>
      <c r="M758" s="26">
        <v>0.84126984126984095</v>
      </c>
      <c r="N758" s="28">
        <v>0.9</v>
      </c>
      <c r="O758" s="26">
        <v>0.96467817896389296</v>
      </c>
      <c r="P758" s="26">
        <v>0.95603674540682404</v>
      </c>
      <c r="Q758" s="26">
        <v>0.97058823529411797</v>
      </c>
      <c r="R758" s="26">
        <v>0.95310344827586202</v>
      </c>
      <c r="S758" s="28">
        <v>0.9</v>
      </c>
      <c r="T758" s="26">
        <v>0.96075353218210402</v>
      </c>
      <c r="U758" s="26">
        <v>0.95341207349081403</v>
      </c>
      <c r="V758" s="26">
        <v>0.96712802768166095</v>
      </c>
      <c r="W758" s="26">
        <v>0.93409961685823795</v>
      </c>
      <c r="X758" s="28">
        <v>0.92</v>
      </c>
      <c r="Y758" s="28">
        <v>0.82078853046595002</v>
      </c>
      <c r="Z758" s="28">
        <v>0.95786516853932602</v>
      </c>
      <c r="AA758" s="28">
        <v>0.69721115537848599</v>
      </c>
      <c r="AB758" s="28">
        <v>0.88279132791327897</v>
      </c>
      <c r="AC758" s="28">
        <v>0.92</v>
      </c>
      <c r="AD758" s="26">
        <v>1</v>
      </c>
      <c r="AE758" s="26">
        <v>0.996</v>
      </c>
      <c r="AF758" s="26">
        <v>0.94160583941605802</v>
      </c>
      <c r="AG758" s="26">
        <v>0.97746243739565897</v>
      </c>
      <c r="AH758" s="28">
        <v>0.92</v>
      </c>
      <c r="AI758" s="26">
        <v>0.95170637475853204</v>
      </c>
      <c r="AJ758" s="26">
        <v>0.98404255319148903</v>
      </c>
      <c r="AK758" s="26">
        <v>0.89264173703256899</v>
      </c>
      <c r="AL758" s="26">
        <v>0.96662917135358095</v>
      </c>
      <c r="AM758" s="25">
        <v>0.99</v>
      </c>
      <c r="AN758" s="30">
        <v>1</v>
      </c>
      <c r="AO758" s="30">
        <v>1</v>
      </c>
      <c r="AP758" s="30">
        <v>1</v>
      </c>
      <c r="AQ758" s="30">
        <v>1</v>
      </c>
      <c r="AR758" s="50">
        <v>8.1059522893420499E-2</v>
      </c>
      <c r="AS758" s="34">
        <v>0.14285714285714299</v>
      </c>
      <c r="AT758" s="34">
        <v>0</v>
      </c>
      <c r="AU758" s="34">
        <v>0</v>
      </c>
      <c r="AV758" s="34">
        <v>2.32558139534884E-2</v>
      </c>
      <c r="AW758" s="10"/>
      <c r="AX758" s="8"/>
    </row>
    <row r="759" spans="1:50">
      <c r="A759" s="7"/>
      <c r="B759" s="10"/>
      <c r="C759" s="45" t="s">
        <v>688</v>
      </c>
      <c r="D759" s="23" t="s">
        <v>21</v>
      </c>
      <c r="E759" s="68" t="s">
        <v>805</v>
      </c>
      <c r="F759" s="68" t="s">
        <v>805</v>
      </c>
      <c r="G759" s="68" t="s">
        <v>805</v>
      </c>
      <c r="H759" s="68" t="s">
        <v>805</v>
      </c>
      <c r="I759" s="25">
        <v>0.9</v>
      </c>
      <c r="J759" s="26">
        <v>1</v>
      </c>
      <c r="K759" s="26">
        <v>1</v>
      </c>
      <c r="L759" s="27">
        <v>1</v>
      </c>
      <c r="M759" s="26">
        <v>1</v>
      </c>
      <c r="N759" s="28">
        <v>0.9</v>
      </c>
      <c r="O759" s="26">
        <v>0.99037037037037001</v>
      </c>
      <c r="P759" s="26">
        <v>0.99236641221374</v>
      </c>
      <c r="Q759" s="26">
        <v>0.98543689320388395</v>
      </c>
      <c r="R759" s="26">
        <v>0.99236743438671704</v>
      </c>
      <c r="S759" s="28">
        <v>0.9</v>
      </c>
      <c r="T759" s="26">
        <v>0.94814814814814796</v>
      </c>
      <c r="U759" s="26">
        <v>0.95830886670581295</v>
      </c>
      <c r="V759" s="26">
        <v>0.95145631067961201</v>
      </c>
      <c r="W759" s="26">
        <v>0.96009641135511503</v>
      </c>
      <c r="X759" s="28">
        <v>0.92</v>
      </c>
      <c r="Y759" s="28">
        <v>0.94407894736842102</v>
      </c>
      <c r="Z759" s="28">
        <v>0.94117647058823495</v>
      </c>
      <c r="AA759" s="28">
        <v>0.95818815331010498</v>
      </c>
      <c r="AB759" s="28">
        <v>0.94733727810650903</v>
      </c>
      <c r="AC759" s="28">
        <v>0.92</v>
      </c>
      <c r="AD759" s="26">
        <v>0.99786780383795304</v>
      </c>
      <c r="AE759" s="26">
        <v>1</v>
      </c>
      <c r="AF759" s="26">
        <v>1</v>
      </c>
      <c r="AG759" s="26">
        <v>0.99969623329283097</v>
      </c>
      <c r="AH759" s="28">
        <v>0.92</v>
      </c>
      <c r="AI759" s="26">
        <v>0.97460701330108801</v>
      </c>
      <c r="AJ759" s="26">
        <v>0.97885338345864703</v>
      </c>
      <c r="AK759" s="26">
        <v>0.97679558011049705</v>
      </c>
      <c r="AL759" s="26">
        <v>0.97968988862197004</v>
      </c>
      <c r="AM759" s="25">
        <v>0.99</v>
      </c>
      <c r="AN759" s="30">
        <v>1</v>
      </c>
      <c r="AO759" s="30">
        <v>1</v>
      </c>
      <c r="AP759" s="30">
        <v>1</v>
      </c>
      <c r="AQ759" s="30">
        <v>1</v>
      </c>
      <c r="AR759" s="50">
        <v>8.1059522893420499E-2</v>
      </c>
      <c r="AS759" s="34">
        <v>0</v>
      </c>
      <c r="AT759" s="34">
        <v>0</v>
      </c>
      <c r="AU759" s="34">
        <v>0</v>
      </c>
      <c r="AV759" s="34">
        <v>0</v>
      </c>
      <c r="AW759" s="10"/>
      <c r="AX759" s="8"/>
    </row>
    <row r="760" spans="1:50">
      <c r="A760" s="7"/>
      <c r="B760" s="10"/>
      <c r="C760" s="45" t="s">
        <v>688</v>
      </c>
      <c r="D760" s="23" t="s">
        <v>21</v>
      </c>
      <c r="E760" s="68" t="s">
        <v>806</v>
      </c>
      <c r="F760" s="68" t="s">
        <v>806</v>
      </c>
      <c r="G760" s="68" t="s">
        <v>806</v>
      </c>
      <c r="H760" s="68" t="s">
        <v>806</v>
      </c>
      <c r="I760" s="25">
        <v>0.9</v>
      </c>
      <c r="J760" s="26">
        <v>0.86486486486486502</v>
      </c>
      <c r="K760" s="26">
        <v>0.86111111111111105</v>
      </c>
      <c r="L760" s="27">
        <v>0.80769230769230804</v>
      </c>
      <c r="M760" s="26">
        <v>0.84878048780487803</v>
      </c>
      <c r="N760" s="28">
        <v>0.9</v>
      </c>
      <c r="O760" s="26">
        <v>0.94711359404096795</v>
      </c>
      <c r="P760" s="26">
        <v>0.72800960672470705</v>
      </c>
      <c r="Q760" s="26">
        <v>0.94353741496598598</v>
      </c>
      <c r="R760" s="26">
        <v>0.88085338422738702</v>
      </c>
      <c r="S760" s="28">
        <v>0.9</v>
      </c>
      <c r="T760" s="26">
        <v>0.899068901303538</v>
      </c>
      <c r="U760" s="26">
        <v>0.87811468027619299</v>
      </c>
      <c r="V760" s="26">
        <v>0.91564625850340098</v>
      </c>
      <c r="W760" s="26">
        <v>0.89216822302501497</v>
      </c>
      <c r="X760" s="28">
        <v>0.92</v>
      </c>
      <c r="Y760" s="28">
        <v>0.90818030050083498</v>
      </c>
      <c r="Z760" s="28">
        <v>0.92784810126582296</v>
      </c>
      <c r="AA760" s="28">
        <v>0.87133550488599398</v>
      </c>
      <c r="AB760" s="28">
        <v>0.90410958904109595</v>
      </c>
      <c r="AC760" s="28">
        <v>0.92</v>
      </c>
      <c r="AD760" s="26">
        <v>0.990504017531045</v>
      </c>
      <c r="AE760" s="26">
        <v>0.98865910607071406</v>
      </c>
      <c r="AF760" s="26">
        <v>0.98986856516976995</v>
      </c>
      <c r="AG760" s="26">
        <v>0.98293384467881095</v>
      </c>
      <c r="AH760" s="28">
        <v>0.92</v>
      </c>
      <c r="AI760" s="26">
        <v>0.94733637747336397</v>
      </c>
      <c r="AJ760" s="26">
        <v>0.95220766618146502</v>
      </c>
      <c r="AK760" s="26">
        <v>0.93621103117505999</v>
      </c>
      <c r="AL760" s="26">
        <v>0.94223063223508496</v>
      </c>
      <c r="AM760" s="25">
        <v>0.99</v>
      </c>
      <c r="AN760" s="30">
        <v>1</v>
      </c>
      <c r="AO760" s="30">
        <v>1</v>
      </c>
      <c r="AP760" s="30">
        <v>1</v>
      </c>
      <c r="AQ760" s="30">
        <v>1</v>
      </c>
      <c r="AR760" s="50">
        <v>8.1059522893420499E-2</v>
      </c>
      <c r="AS760" s="34">
        <v>0</v>
      </c>
      <c r="AT760" s="34">
        <v>3.125E-2</v>
      </c>
      <c r="AU760" s="34">
        <v>0</v>
      </c>
      <c r="AV760" s="34">
        <v>2.5423728813559299E-2</v>
      </c>
      <c r="AW760" s="10"/>
      <c r="AX760" s="8"/>
    </row>
    <row r="761" spans="1:50">
      <c r="A761" s="7"/>
      <c r="B761" s="10"/>
      <c r="C761" s="45" t="s">
        <v>688</v>
      </c>
      <c r="D761" s="23" t="s">
        <v>21</v>
      </c>
      <c r="E761" s="68" t="s">
        <v>807</v>
      </c>
      <c r="F761" s="68" t="s">
        <v>807</v>
      </c>
      <c r="G761" s="68" t="s">
        <v>807</v>
      </c>
      <c r="H761" s="68" t="s">
        <v>807</v>
      </c>
      <c r="I761" s="25">
        <v>0.9</v>
      </c>
      <c r="J761" s="26">
        <v>0.931034482758621</v>
      </c>
      <c r="K761" s="26">
        <v>0.96551724137931005</v>
      </c>
      <c r="L761" s="27">
        <v>0.92</v>
      </c>
      <c r="M761" s="26">
        <v>0.95857988165680497</v>
      </c>
      <c r="N761" s="28">
        <v>0.9</v>
      </c>
      <c r="O761" s="26">
        <v>0.95445302968686496</v>
      </c>
      <c r="P761" s="26">
        <v>0.95461254612546098</v>
      </c>
      <c r="Q761" s="26">
        <v>0.97478329393222996</v>
      </c>
      <c r="R761" s="26">
        <v>0.96323643712109397</v>
      </c>
      <c r="S761" s="28">
        <v>0.9</v>
      </c>
      <c r="T761" s="26">
        <v>0.89548596990646601</v>
      </c>
      <c r="U761" s="26">
        <v>0.85535055350553502</v>
      </c>
      <c r="V761" s="26">
        <v>0.940898345153664</v>
      </c>
      <c r="W761" s="26">
        <v>0.91442561790766397</v>
      </c>
      <c r="X761" s="28">
        <v>0.92</v>
      </c>
      <c r="Y761" s="28">
        <v>0.93511450381679395</v>
      </c>
      <c r="Z761" s="28">
        <v>0.93593749999999998</v>
      </c>
      <c r="AA761" s="28">
        <v>0.94555353901996397</v>
      </c>
      <c r="AB761" s="28">
        <v>0.93508287292817704</v>
      </c>
      <c r="AC761" s="28">
        <v>0.92</v>
      </c>
      <c r="AD761" s="26">
        <v>0.99898449039881798</v>
      </c>
      <c r="AE761" s="26">
        <v>0.99626137841352402</v>
      </c>
      <c r="AF761" s="26">
        <v>0.99405149934810999</v>
      </c>
      <c r="AG761" s="26">
        <v>0.99573954314579904</v>
      </c>
      <c r="AH761" s="28">
        <v>0.92</v>
      </c>
      <c r="AI761" s="26">
        <v>0.96518245731503205</v>
      </c>
      <c r="AJ761" s="26">
        <v>0.95942720763723199</v>
      </c>
      <c r="AK761" s="26">
        <v>0.96538461538461495</v>
      </c>
      <c r="AL761" s="26">
        <v>0.96734098547783598</v>
      </c>
      <c r="AM761" s="25">
        <v>0.99</v>
      </c>
      <c r="AN761" s="30">
        <v>1</v>
      </c>
      <c r="AO761" s="30">
        <v>1</v>
      </c>
      <c r="AP761" s="30">
        <v>1</v>
      </c>
      <c r="AQ761" s="30">
        <v>1</v>
      </c>
      <c r="AR761" s="50">
        <v>8.1059522893420499E-2</v>
      </c>
      <c r="AS761" s="34">
        <v>0</v>
      </c>
      <c r="AT761" s="34">
        <v>0</v>
      </c>
      <c r="AU761" s="34">
        <v>0</v>
      </c>
      <c r="AV761" s="34">
        <v>2.1739130434782601E-2</v>
      </c>
      <c r="AW761" s="10"/>
      <c r="AX761" s="8"/>
    </row>
    <row r="762" spans="1:50">
      <c r="A762" s="7"/>
      <c r="B762" s="10"/>
      <c r="C762" s="45" t="s">
        <v>688</v>
      </c>
      <c r="D762" s="23" t="s">
        <v>21</v>
      </c>
      <c r="E762" s="68" t="s">
        <v>808</v>
      </c>
      <c r="F762" s="68" t="s">
        <v>808</v>
      </c>
      <c r="G762" s="68" t="s">
        <v>808</v>
      </c>
      <c r="H762" s="68" t="s">
        <v>808</v>
      </c>
      <c r="I762" s="25">
        <v>0.9</v>
      </c>
      <c r="J762" s="26">
        <v>0.95652173913043503</v>
      </c>
      <c r="K762" s="26">
        <v>0.97826086956521696</v>
      </c>
      <c r="L762" s="27">
        <v>1</v>
      </c>
      <c r="M762" s="26">
        <v>0.97489539748954002</v>
      </c>
      <c r="N762" s="28">
        <v>0.9</v>
      </c>
      <c r="O762" s="26">
        <v>0.95781527531083499</v>
      </c>
      <c r="P762" s="26">
        <v>0.92475163813147299</v>
      </c>
      <c r="Q762" s="26">
        <v>0.95608974358974397</v>
      </c>
      <c r="R762" s="26">
        <v>0.95066699202863203</v>
      </c>
      <c r="S762" s="28">
        <v>0.9</v>
      </c>
      <c r="T762" s="26">
        <v>0.976465364120782</v>
      </c>
      <c r="U762" s="26">
        <v>0.960896216444726</v>
      </c>
      <c r="V762" s="26">
        <v>0.97788461538461502</v>
      </c>
      <c r="W762" s="26">
        <v>0.97108345534407003</v>
      </c>
      <c r="X762" s="28">
        <v>0.92</v>
      </c>
      <c r="Y762" s="28">
        <v>0.98653846153846203</v>
      </c>
      <c r="Z762" s="28">
        <v>0.97885196374622396</v>
      </c>
      <c r="AA762" s="28">
        <v>0.97865072587531998</v>
      </c>
      <c r="AB762" s="28">
        <v>0.97765089722675402</v>
      </c>
      <c r="AC762" s="28">
        <v>0.92</v>
      </c>
      <c r="AD762" s="26">
        <v>0.97872095698182704</v>
      </c>
      <c r="AE762" s="26">
        <v>0.97031023191439103</v>
      </c>
      <c r="AF762" s="26">
        <v>0.98393353763307501</v>
      </c>
      <c r="AG762" s="26">
        <v>0.97139233102115297</v>
      </c>
      <c r="AH762" s="28">
        <v>0.92</v>
      </c>
      <c r="AI762" s="26">
        <v>0.98990081154192999</v>
      </c>
      <c r="AJ762" s="26">
        <v>0.98431307793923395</v>
      </c>
      <c r="AK762" s="26">
        <v>0.98765432098765404</v>
      </c>
      <c r="AL762" s="26">
        <v>0.98610568788233799</v>
      </c>
      <c r="AM762" s="25">
        <v>0.99</v>
      </c>
      <c r="AN762" s="30">
        <v>1</v>
      </c>
      <c r="AO762" s="30">
        <v>1</v>
      </c>
      <c r="AP762" s="30">
        <v>1</v>
      </c>
      <c r="AQ762" s="30">
        <v>1</v>
      </c>
      <c r="AR762" s="50">
        <v>8.1059522893420499E-2</v>
      </c>
      <c r="AS762" s="34">
        <v>7.69230769230769E-2</v>
      </c>
      <c r="AT762" s="34">
        <v>0</v>
      </c>
      <c r="AU762" s="34">
        <v>0</v>
      </c>
      <c r="AV762" s="34">
        <v>1.38888888888889E-2</v>
      </c>
      <c r="AW762" s="10"/>
      <c r="AX762" s="8"/>
    </row>
    <row r="763" spans="1:50">
      <c r="A763" s="7"/>
      <c r="B763" s="10"/>
      <c r="C763" s="45" t="s">
        <v>688</v>
      </c>
      <c r="D763" s="23" t="s">
        <v>21</v>
      </c>
      <c r="E763" s="68" t="s">
        <v>809</v>
      </c>
      <c r="F763" s="68" t="s">
        <v>809</v>
      </c>
      <c r="G763" s="68" t="s">
        <v>809</v>
      </c>
      <c r="H763" s="68" t="s">
        <v>809</v>
      </c>
      <c r="I763" s="25">
        <v>0.9</v>
      </c>
      <c r="J763" s="26">
        <v>0.94117647058823495</v>
      </c>
      <c r="K763" s="26">
        <v>1</v>
      </c>
      <c r="L763" s="27">
        <v>1</v>
      </c>
      <c r="M763" s="26">
        <v>0.96875</v>
      </c>
      <c r="N763" s="28">
        <v>0.9</v>
      </c>
      <c r="O763" s="26">
        <v>0.96451271186440701</v>
      </c>
      <c r="P763" s="26">
        <v>0.96917996697853603</v>
      </c>
      <c r="Q763" s="26">
        <v>0.98459167950693405</v>
      </c>
      <c r="R763" s="26">
        <v>0.971017369727047</v>
      </c>
      <c r="S763" s="28">
        <v>0.9</v>
      </c>
      <c r="T763" s="26">
        <v>0.96610169491525399</v>
      </c>
      <c r="U763" s="26">
        <v>0.96257567418822199</v>
      </c>
      <c r="V763" s="26">
        <v>0.97303543913713397</v>
      </c>
      <c r="W763" s="26">
        <v>0.96694789081885901</v>
      </c>
      <c r="X763" s="28">
        <v>0.92</v>
      </c>
      <c r="Y763" s="28">
        <v>0.98185941043083902</v>
      </c>
      <c r="Z763" s="28">
        <v>0.97242647058823495</v>
      </c>
      <c r="AA763" s="28">
        <v>0.963809523809524</v>
      </c>
      <c r="AB763" s="28">
        <v>0.97458606083943</v>
      </c>
      <c r="AC763" s="28">
        <v>0.92</v>
      </c>
      <c r="AD763" s="26">
        <v>0.99940569051333505</v>
      </c>
      <c r="AE763" s="26">
        <v>0.99803052683407201</v>
      </c>
      <c r="AF763" s="26">
        <v>0.99303320252215699</v>
      </c>
      <c r="AG763" s="26">
        <v>0.99707078001639105</v>
      </c>
      <c r="AH763" s="28">
        <v>0.92</v>
      </c>
      <c r="AI763" s="26">
        <v>0.98798798798798804</v>
      </c>
      <c r="AJ763" s="26">
        <v>0.98348157560355798</v>
      </c>
      <c r="AK763" s="26">
        <v>0.98300438596491202</v>
      </c>
      <c r="AL763" s="26">
        <v>0.98666877021377297</v>
      </c>
      <c r="AM763" s="25">
        <v>0.99</v>
      </c>
      <c r="AN763" s="30">
        <v>1</v>
      </c>
      <c r="AO763" s="30">
        <v>1</v>
      </c>
      <c r="AP763" s="30">
        <v>1</v>
      </c>
      <c r="AQ763" s="30">
        <v>1</v>
      </c>
      <c r="AR763" s="50">
        <v>8.1059522893420499E-2</v>
      </c>
      <c r="AS763" s="34">
        <v>0</v>
      </c>
      <c r="AT763" s="34">
        <v>0</v>
      </c>
      <c r="AU763" s="34">
        <v>0</v>
      </c>
      <c r="AV763" s="34">
        <v>8.3333333333333301E-2</v>
      </c>
      <c r="AW763" s="10"/>
      <c r="AX763" s="8"/>
    </row>
    <row r="764" spans="1:50">
      <c r="A764" s="7"/>
      <c r="B764" s="10"/>
      <c r="C764" s="45" t="s">
        <v>688</v>
      </c>
      <c r="D764" s="23" t="s">
        <v>21</v>
      </c>
      <c r="E764" s="68" t="s">
        <v>810</v>
      </c>
      <c r="F764" s="68" t="s">
        <v>810</v>
      </c>
      <c r="G764" s="68" t="s">
        <v>810</v>
      </c>
      <c r="H764" s="68" t="s">
        <v>810</v>
      </c>
      <c r="I764" s="25">
        <v>0.9</v>
      </c>
      <c r="J764" s="26">
        <v>1</v>
      </c>
      <c r="K764" s="26">
        <v>0.97368421052631604</v>
      </c>
      <c r="L764" s="27">
        <v>1</v>
      </c>
      <c r="M764" s="26">
        <v>0.976958525345622</v>
      </c>
      <c r="N764" s="28">
        <v>0.9</v>
      </c>
      <c r="O764" s="26">
        <v>0.97832699619771901</v>
      </c>
      <c r="P764" s="26">
        <v>0.95271342430974304</v>
      </c>
      <c r="Q764" s="26">
        <v>0.97853014037985098</v>
      </c>
      <c r="R764" s="26">
        <v>0.971768826619965</v>
      </c>
      <c r="S764" s="28">
        <v>0.9</v>
      </c>
      <c r="T764" s="26">
        <v>0.92775665399239504</v>
      </c>
      <c r="U764" s="26">
        <v>0.92986353538559197</v>
      </c>
      <c r="V764" s="26">
        <v>0.93971924029727505</v>
      </c>
      <c r="W764" s="26">
        <v>0.93260945709281995</v>
      </c>
      <c r="X764" s="28">
        <v>0.92</v>
      </c>
      <c r="Y764" s="28">
        <v>0.92421441774491697</v>
      </c>
      <c r="Z764" s="28">
        <v>0.95884146341463405</v>
      </c>
      <c r="AA764" s="28">
        <v>0.96025104602510503</v>
      </c>
      <c r="AB764" s="28">
        <v>0.94424964936886402</v>
      </c>
      <c r="AC764" s="28">
        <v>0.92</v>
      </c>
      <c r="AD764" s="26">
        <v>0.99846889952153095</v>
      </c>
      <c r="AE764" s="26">
        <v>0.994986683377722</v>
      </c>
      <c r="AF764" s="26">
        <v>0.99729570840681903</v>
      </c>
      <c r="AG764" s="26">
        <v>0.996880229161349</v>
      </c>
      <c r="AH764" s="28">
        <v>0.92</v>
      </c>
      <c r="AI764" s="26">
        <v>0.96878940731399699</v>
      </c>
      <c r="AJ764" s="26">
        <v>0.97689075630252098</v>
      </c>
      <c r="AK764" s="26">
        <v>0.96812278630460402</v>
      </c>
      <c r="AL764" s="26">
        <v>0.97432605905006398</v>
      </c>
      <c r="AM764" s="25">
        <v>0.99</v>
      </c>
      <c r="AN764" s="30">
        <v>1</v>
      </c>
      <c r="AO764" s="30">
        <v>1</v>
      </c>
      <c r="AP764" s="30">
        <v>1</v>
      </c>
      <c r="AQ764" s="30">
        <v>1</v>
      </c>
      <c r="AR764" s="50">
        <v>8.1059522893420499E-2</v>
      </c>
      <c r="AS764" s="34">
        <v>0</v>
      </c>
      <c r="AT764" s="34">
        <v>0</v>
      </c>
      <c r="AU764" s="34">
        <v>0</v>
      </c>
      <c r="AV764" s="34">
        <v>3.5087719298245598E-2</v>
      </c>
      <c r="AW764" s="10"/>
      <c r="AX764" s="8"/>
    </row>
    <row r="765" spans="1:50">
      <c r="A765" s="7"/>
      <c r="B765" s="10"/>
      <c r="C765" s="45" t="s">
        <v>688</v>
      </c>
      <c r="D765" s="23" t="s">
        <v>21</v>
      </c>
      <c r="E765" s="68" t="s">
        <v>811</v>
      </c>
      <c r="F765" s="68" t="s">
        <v>811</v>
      </c>
      <c r="G765" s="68" t="s">
        <v>811</v>
      </c>
      <c r="H765" s="68" t="s">
        <v>811</v>
      </c>
      <c r="I765" s="25">
        <v>0.9</v>
      </c>
      <c r="J765" s="26">
        <v>0.96666666666666701</v>
      </c>
      <c r="K765" s="26">
        <v>0.93333333333333302</v>
      </c>
      <c r="L765" s="27">
        <v>0.95833333333333304</v>
      </c>
      <c r="M765" s="26">
        <v>0.952380952380952</v>
      </c>
      <c r="N765" s="28">
        <v>0.9</v>
      </c>
      <c r="O765" s="26">
        <v>0.90758928571428599</v>
      </c>
      <c r="P765" s="26">
        <v>0.78514588859416401</v>
      </c>
      <c r="Q765" s="26">
        <v>0.96303696303696296</v>
      </c>
      <c r="R765" s="26">
        <v>0.90357539039167201</v>
      </c>
      <c r="S765" s="28">
        <v>0.9</v>
      </c>
      <c r="T765" s="26">
        <v>0.91205357142857102</v>
      </c>
      <c r="U765" s="26">
        <v>0.87533156498673703</v>
      </c>
      <c r="V765" s="26">
        <v>0.92407592407592398</v>
      </c>
      <c r="W765" s="26">
        <v>0.90314873282703301</v>
      </c>
      <c r="X765" s="28">
        <v>0.92</v>
      </c>
      <c r="Y765" s="28">
        <v>0.93518518518518501</v>
      </c>
      <c r="Z765" s="28">
        <v>0.91437802907915999</v>
      </c>
      <c r="AA765" s="28">
        <v>0.92477876106194701</v>
      </c>
      <c r="AB765" s="28">
        <v>0.92286058658095604</v>
      </c>
      <c r="AC765" s="28">
        <v>0.92</v>
      </c>
      <c r="AD765" s="26">
        <v>0.99852046687489704</v>
      </c>
      <c r="AE765" s="26">
        <v>0.99904290955495301</v>
      </c>
      <c r="AF765" s="26">
        <v>0.99922750096562396</v>
      </c>
      <c r="AG765" s="26">
        <v>0.99890584970110996</v>
      </c>
      <c r="AH765" s="28">
        <v>0.92</v>
      </c>
      <c r="AI765" s="26">
        <v>0.96332335329341301</v>
      </c>
      <c r="AJ765" s="26">
        <v>0.95550782448603899</v>
      </c>
      <c r="AK765" s="26">
        <v>0.95251204404680001</v>
      </c>
      <c r="AL765" s="26">
        <v>0.95784658691062596</v>
      </c>
      <c r="AM765" s="25">
        <v>0.99</v>
      </c>
      <c r="AN765" s="30">
        <v>1</v>
      </c>
      <c r="AO765" s="30">
        <v>1</v>
      </c>
      <c r="AP765" s="30">
        <v>1</v>
      </c>
      <c r="AQ765" s="30">
        <v>1</v>
      </c>
      <c r="AR765" s="50">
        <v>8.1059522893420499E-2</v>
      </c>
      <c r="AS765" s="34">
        <v>0.125</v>
      </c>
      <c r="AT765" s="34">
        <v>8.3333333333333301E-2</v>
      </c>
      <c r="AU765" s="34">
        <v>0</v>
      </c>
      <c r="AV765" s="34">
        <v>0.140350877192982</v>
      </c>
      <c r="AW765" s="10"/>
      <c r="AX765" s="8"/>
    </row>
    <row r="766" spans="1:50">
      <c r="A766" s="7"/>
      <c r="B766" s="10"/>
      <c r="C766" s="45" t="s">
        <v>688</v>
      </c>
      <c r="D766" s="23" t="s">
        <v>21</v>
      </c>
      <c r="E766" s="68" t="s">
        <v>812</v>
      </c>
      <c r="F766" s="68" t="s">
        <v>812</v>
      </c>
      <c r="G766" s="68" t="s">
        <v>812</v>
      </c>
      <c r="H766" s="68" t="s">
        <v>812</v>
      </c>
      <c r="I766" s="25">
        <v>0.9</v>
      </c>
      <c r="J766" s="26">
        <v>0.97368421052631604</v>
      </c>
      <c r="K766" s="26">
        <v>1</v>
      </c>
      <c r="L766" s="27">
        <v>1</v>
      </c>
      <c r="M766" s="26">
        <v>0.98630136986301398</v>
      </c>
      <c r="N766" s="28">
        <v>0.9</v>
      </c>
      <c r="O766" s="26">
        <v>0.97507929315813302</v>
      </c>
      <c r="P766" s="26">
        <v>0.95475785896346599</v>
      </c>
      <c r="Q766" s="26">
        <v>0.98497316636851495</v>
      </c>
      <c r="R766" s="26">
        <v>0.97253293562018395</v>
      </c>
      <c r="S766" s="28">
        <v>0.9</v>
      </c>
      <c r="T766" s="26">
        <v>0.93769823289533305</v>
      </c>
      <c r="U766" s="26">
        <v>0.93564146134239601</v>
      </c>
      <c r="V766" s="26">
        <v>0.97101967799642197</v>
      </c>
      <c r="W766" s="26">
        <v>0.95181870908940303</v>
      </c>
      <c r="X766" s="28">
        <v>0.92</v>
      </c>
      <c r="Y766" s="28">
        <v>0.97308075772682001</v>
      </c>
      <c r="Z766" s="28">
        <v>0.98046581517655895</v>
      </c>
      <c r="AA766" s="28">
        <v>0.97392638036809798</v>
      </c>
      <c r="AB766" s="28">
        <v>0.97707828894269599</v>
      </c>
      <c r="AC766" s="28">
        <v>0.92</v>
      </c>
      <c r="AD766" s="26">
        <v>0.99755676062213205</v>
      </c>
      <c r="AE766" s="26">
        <v>0.98698597575469504</v>
      </c>
      <c r="AF766" s="26">
        <v>0.99096650192202096</v>
      </c>
      <c r="AG766" s="26">
        <v>0.99435896588386297</v>
      </c>
      <c r="AH766" s="28">
        <v>0.92</v>
      </c>
      <c r="AI766" s="26">
        <v>0.97766703580657099</v>
      </c>
      <c r="AJ766" s="26">
        <v>0.97518199867637301</v>
      </c>
      <c r="AK766" s="26">
        <v>0.98415407118478804</v>
      </c>
      <c r="AL766" s="26">
        <v>0.98062219878724</v>
      </c>
      <c r="AM766" s="25">
        <v>0.99</v>
      </c>
      <c r="AN766" s="30">
        <v>1</v>
      </c>
      <c r="AO766" s="30">
        <v>1</v>
      </c>
      <c r="AP766" s="30">
        <v>1</v>
      </c>
      <c r="AQ766" s="30">
        <v>1</v>
      </c>
      <c r="AR766" s="50">
        <v>8.1059522893420499E-2</v>
      </c>
      <c r="AS766" s="34">
        <v>0</v>
      </c>
      <c r="AT766" s="34">
        <v>0</v>
      </c>
      <c r="AU766" s="34">
        <v>0</v>
      </c>
      <c r="AV766" s="34">
        <v>4.81927710843374E-2</v>
      </c>
      <c r="AW766" s="10"/>
      <c r="AX766" s="8"/>
    </row>
    <row r="767" spans="1:50">
      <c r="A767" s="7"/>
      <c r="B767" s="10"/>
      <c r="C767" s="45" t="s">
        <v>688</v>
      </c>
      <c r="D767" s="23" t="s">
        <v>21</v>
      </c>
      <c r="E767" s="68" t="s">
        <v>813</v>
      </c>
      <c r="F767" s="68" t="s">
        <v>813</v>
      </c>
      <c r="G767" s="68" t="s">
        <v>813</v>
      </c>
      <c r="H767" s="68" t="s">
        <v>813</v>
      </c>
      <c r="I767" s="25">
        <v>0.9</v>
      </c>
      <c r="J767" s="26">
        <v>0</v>
      </c>
      <c r="K767" s="26">
        <v>0</v>
      </c>
      <c r="L767" s="27">
        <v>0</v>
      </c>
      <c r="M767" s="26">
        <v>0</v>
      </c>
      <c r="N767" s="28">
        <v>0.9</v>
      </c>
      <c r="O767" s="26">
        <v>0</v>
      </c>
      <c r="P767" s="26">
        <v>0</v>
      </c>
      <c r="Q767" s="26">
        <v>0</v>
      </c>
      <c r="R767" s="26">
        <v>0</v>
      </c>
      <c r="S767" s="28">
        <v>0.9</v>
      </c>
      <c r="T767" s="26">
        <v>0</v>
      </c>
      <c r="U767" s="26">
        <v>0</v>
      </c>
      <c r="V767" s="26">
        <v>0</v>
      </c>
      <c r="W767" s="26">
        <v>0</v>
      </c>
      <c r="X767" s="28">
        <v>0.92</v>
      </c>
      <c r="Y767" s="28">
        <v>0</v>
      </c>
      <c r="Z767" s="28">
        <v>0</v>
      </c>
      <c r="AA767" s="28">
        <v>0</v>
      </c>
      <c r="AB767" s="28">
        <v>0</v>
      </c>
      <c r="AC767" s="28">
        <v>0.92</v>
      </c>
      <c r="AD767" s="26">
        <v>0</v>
      </c>
      <c r="AE767" s="26">
        <v>0</v>
      </c>
      <c r="AF767" s="26">
        <v>0</v>
      </c>
      <c r="AG767" s="26">
        <v>0</v>
      </c>
      <c r="AH767" s="28">
        <v>0.92</v>
      </c>
      <c r="AI767" s="26">
        <v>0</v>
      </c>
      <c r="AJ767" s="26">
        <v>0</v>
      </c>
      <c r="AK767" s="26">
        <v>0</v>
      </c>
      <c r="AL767" s="26">
        <v>0</v>
      </c>
      <c r="AM767" s="25">
        <v>0.99</v>
      </c>
      <c r="AN767" s="30">
        <v>0</v>
      </c>
      <c r="AO767" s="30">
        <v>0</v>
      </c>
      <c r="AP767" s="30">
        <v>0</v>
      </c>
      <c r="AQ767" s="30">
        <v>0</v>
      </c>
      <c r="AR767" s="50">
        <v>8.1059522893420499E-2</v>
      </c>
      <c r="AS767" s="34">
        <v>0</v>
      </c>
      <c r="AT767" s="34">
        <v>0</v>
      </c>
      <c r="AU767" s="34">
        <v>0</v>
      </c>
      <c r="AV767" s="34">
        <v>0</v>
      </c>
      <c r="AW767" s="10"/>
      <c r="AX767" s="8"/>
    </row>
    <row r="768" spans="1:50">
      <c r="A768" s="7"/>
      <c r="B768" s="10"/>
      <c r="C768" s="45" t="s">
        <v>688</v>
      </c>
      <c r="D768" s="23" t="s">
        <v>21</v>
      </c>
      <c r="E768" s="68" t="s">
        <v>814</v>
      </c>
      <c r="F768" s="68" t="s">
        <v>814</v>
      </c>
      <c r="G768" s="68" t="s">
        <v>814</v>
      </c>
      <c r="H768" s="68" t="s">
        <v>814</v>
      </c>
      <c r="I768" s="25">
        <v>0.9</v>
      </c>
      <c r="J768" s="26">
        <v>1</v>
      </c>
      <c r="K768" s="26">
        <v>0.95454545454545503</v>
      </c>
      <c r="L768" s="27">
        <v>1</v>
      </c>
      <c r="M768" s="26">
        <v>0.93805309734513298</v>
      </c>
      <c r="N768" s="28">
        <v>0.9</v>
      </c>
      <c r="O768" s="26">
        <v>0.96465696465696504</v>
      </c>
      <c r="P768" s="26">
        <v>0.97922216302610599</v>
      </c>
      <c r="Q768" s="26">
        <v>0.96905766526019699</v>
      </c>
      <c r="R768" s="26">
        <v>0.96970830216903503</v>
      </c>
      <c r="S768" s="28">
        <v>0.9</v>
      </c>
      <c r="T768" s="26">
        <v>0.94871794871794901</v>
      </c>
      <c r="U768" s="26">
        <v>0.95418220564730905</v>
      </c>
      <c r="V768" s="26">
        <v>0.95358649789029504</v>
      </c>
      <c r="W768" s="26">
        <v>0.95300423834455295</v>
      </c>
      <c r="X768" s="28">
        <v>0.92</v>
      </c>
      <c r="Y768" s="28">
        <v>0.97037037037036999</v>
      </c>
      <c r="Z768" s="28">
        <v>0.97382198952879595</v>
      </c>
      <c r="AA768" s="28">
        <v>0.96864111498257799</v>
      </c>
      <c r="AB768" s="28">
        <v>0.96840826245443501</v>
      </c>
      <c r="AC768" s="28">
        <v>0.92</v>
      </c>
      <c r="AD768" s="26">
        <v>0.99903006789524695</v>
      </c>
      <c r="AE768" s="26">
        <v>0.99872177247550098</v>
      </c>
      <c r="AF768" s="26">
        <v>0.99949298631062999</v>
      </c>
      <c r="AG768" s="26">
        <v>0.99942493482594696</v>
      </c>
      <c r="AH768" s="28">
        <v>0.92</v>
      </c>
      <c r="AI768" s="26">
        <v>0.98541423570595099</v>
      </c>
      <c r="AJ768" s="26">
        <v>0.98287971905180005</v>
      </c>
      <c r="AK768" s="26">
        <v>0.97895791583166303</v>
      </c>
      <c r="AL768" s="26">
        <v>0.98296862097440096</v>
      </c>
      <c r="AM768" s="25">
        <v>0.99</v>
      </c>
      <c r="AN768" s="30">
        <v>1</v>
      </c>
      <c r="AO768" s="30">
        <v>1</v>
      </c>
      <c r="AP768" s="30">
        <v>1</v>
      </c>
      <c r="AQ768" s="30">
        <v>1</v>
      </c>
      <c r="AR768" s="50">
        <v>8.1059522893420499E-2</v>
      </c>
      <c r="AS768" s="34">
        <v>0</v>
      </c>
      <c r="AT768" s="34">
        <v>0</v>
      </c>
      <c r="AU768" s="34">
        <v>0</v>
      </c>
      <c r="AV768" s="34">
        <v>-0.02</v>
      </c>
      <c r="AW768" s="10"/>
      <c r="AX768" s="8"/>
    </row>
    <row r="769" spans="1:50">
      <c r="A769" s="7"/>
      <c r="B769" s="10"/>
      <c r="C769" s="45" t="s">
        <v>688</v>
      </c>
      <c r="D769" s="23" t="s">
        <v>21</v>
      </c>
      <c r="E769" s="68" t="s">
        <v>815</v>
      </c>
      <c r="F769" s="68" t="s">
        <v>815</v>
      </c>
      <c r="G769" s="68" t="s">
        <v>815</v>
      </c>
      <c r="H769" s="68" t="s">
        <v>815</v>
      </c>
      <c r="I769" s="25">
        <v>0.9</v>
      </c>
      <c r="J769" s="26">
        <v>0.63157894736842102</v>
      </c>
      <c r="K769" s="26">
        <v>0.47368421052631599</v>
      </c>
      <c r="L769" s="27">
        <v>0.38888888888888901</v>
      </c>
      <c r="M769" s="26">
        <v>0.45871559633027498</v>
      </c>
      <c r="N769" s="28">
        <v>0.9</v>
      </c>
      <c r="O769" s="26">
        <v>0.94252261841405005</v>
      </c>
      <c r="P769" s="26">
        <v>0.95759865659109999</v>
      </c>
      <c r="Q769" s="26">
        <v>0.97021764032073299</v>
      </c>
      <c r="R769" s="26">
        <v>0.95307061861457298</v>
      </c>
      <c r="S769" s="28">
        <v>0.9</v>
      </c>
      <c r="T769" s="26">
        <v>0.90101117615753101</v>
      </c>
      <c r="U769" s="26">
        <v>0.89798488664987397</v>
      </c>
      <c r="V769" s="26">
        <v>0.92554410080183303</v>
      </c>
      <c r="W769" s="26">
        <v>0.90715167845514799</v>
      </c>
      <c r="X769" s="28">
        <v>0.92</v>
      </c>
      <c r="Y769" s="28">
        <v>0.92997198879551801</v>
      </c>
      <c r="Z769" s="28">
        <v>0.88610038610038599</v>
      </c>
      <c r="AA769" s="28">
        <v>0.92954545454545501</v>
      </c>
      <c r="AB769" s="28">
        <v>0.89526730937773902</v>
      </c>
      <c r="AC769" s="28">
        <v>0.92</v>
      </c>
      <c r="AD769" s="26">
        <v>0.996300863131936</v>
      </c>
      <c r="AE769" s="26">
        <v>0.99885321100917401</v>
      </c>
      <c r="AF769" s="26">
        <v>0.99660633484162897</v>
      </c>
      <c r="AG769" s="26">
        <v>0.99422299248988999</v>
      </c>
      <c r="AH769" s="28">
        <v>0.92</v>
      </c>
      <c r="AI769" s="26">
        <v>0.94812164579606395</v>
      </c>
      <c r="AJ769" s="26">
        <v>0.94348725017229496</v>
      </c>
      <c r="AK769" s="26">
        <v>0.94368340943683404</v>
      </c>
      <c r="AL769" s="26">
        <v>0.93987850634268399</v>
      </c>
      <c r="AM769" s="25">
        <v>0.99</v>
      </c>
      <c r="AN769" s="30">
        <v>1</v>
      </c>
      <c r="AO769" s="30">
        <v>1</v>
      </c>
      <c r="AP769" s="30">
        <v>1</v>
      </c>
      <c r="AQ769" s="30">
        <v>1</v>
      </c>
      <c r="AR769" s="50">
        <v>8.1059522893420499E-2</v>
      </c>
      <c r="AS769" s="34">
        <v>0</v>
      </c>
      <c r="AT769" s="34">
        <v>0</v>
      </c>
      <c r="AU769" s="34">
        <v>0.11111111111111099</v>
      </c>
      <c r="AV769" s="34">
        <v>1.6666666666666701E-2</v>
      </c>
      <c r="AW769" s="10"/>
      <c r="AX769" s="8"/>
    </row>
    <row r="770" spans="1:50">
      <c r="A770" s="7"/>
      <c r="B770" s="10"/>
      <c r="C770" s="45" t="s">
        <v>688</v>
      </c>
      <c r="D770" s="23" t="s">
        <v>21</v>
      </c>
      <c r="E770" s="68" t="s">
        <v>816</v>
      </c>
      <c r="F770" s="68" t="s">
        <v>816</v>
      </c>
      <c r="G770" s="68" t="s">
        <v>816</v>
      </c>
      <c r="H770" s="68" t="s">
        <v>816</v>
      </c>
      <c r="I770" s="25">
        <v>0.9</v>
      </c>
      <c r="J770" s="26">
        <v>0.9375</v>
      </c>
      <c r="K770" s="26">
        <v>0.86666666666666703</v>
      </c>
      <c r="L770" s="27">
        <v>0.86666666666666703</v>
      </c>
      <c r="M770" s="26">
        <v>0.81318681318681296</v>
      </c>
      <c r="N770" s="28">
        <v>0.9</v>
      </c>
      <c r="O770" s="26">
        <v>0.93060718711276302</v>
      </c>
      <c r="P770" s="26">
        <v>0.94540088539104805</v>
      </c>
      <c r="Q770" s="26">
        <v>0.97225725094577597</v>
      </c>
      <c r="R770" s="26">
        <v>0.93456819821987003</v>
      </c>
      <c r="S770" s="28">
        <v>0.9</v>
      </c>
      <c r="T770" s="26">
        <v>0.78872366790582404</v>
      </c>
      <c r="U770" s="26">
        <v>0.86915887850467299</v>
      </c>
      <c r="V770" s="26">
        <v>0.88398486759142503</v>
      </c>
      <c r="W770" s="26">
        <v>0.830647101274958</v>
      </c>
      <c r="X770" s="28">
        <v>0.92</v>
      </c>
      <c r="Y770" s="28">
        <v>0.83235294117647096</v>
      </c>
      <c r="Z770" s="28">
        <v>0.84892086330935301</v>
      </c>
      <c r="AA770" s="28">
        <v>0.91253644314868798</v>
      </c>
      <c r="AB770" s="28">
        <v>0.85597548518896804</v>
      </c>
      <c r="AC770" s="28">
        <v>0.92</v>
      </c>
      <c r="AD770" s="26">
        <v>0.99754901960784303</v>
      </c>
      <c r="AE770" s="26">
        <v>0.99695121951219501</v>
      </c>
      <c r="AF770" s="26">
        <v>0.98248686514886197</v>
      </c>
      <c r="AG770" s="26">
        <v>0.99297709923664101</v>
      </c>
      <c r="AH770" s="28">
        <v>0.92</v>
      </c>
      <c r="AI770" s="26">
        <v>0.91862845445240504</v>
      </c>
      <c r="AJ770" s="26">
        <v>0.91265306122448997</v>
      </c>
      <c r="AK770" s="26">
        <v>0.92781690140845097</v>
      </c>
      <c r="AL770" s="26">
        <v>0.917064148739414</v>
      </c>
      <c r="AM770" s="25">
        <v>0.99</v>
      </c>
      <c r="AN770" s="30">
        <v>1</v>
      </c>
      <c r="AO770" s="30">
        <v>1</v>
      </c>
      <c r="AP770" s="30">
        <v>1</v>
      </c>
      <c r="AQ770" s="30">
        <v>1</v>
      </c>
      <c r="AR770" s="50">
        <v>8.1059522893420499E-2</v>
      </c>
      <c r="AS770" s="34">
        <v>8.3333333333333301E-2</v>
      </c>
      <c r="AT770" s="34">
        <v>0</v>
      </c>
      <c r="AU770" s="34">
        <v>0</v>
      </c>
      <c r="AV770" s="34">
        <v>4.2253521126760597E-2</v>
      </c>
      <c r="AW770" s="10"/>
      <c r="AX770" s="8"/>
    </row>
    <row r="771" spans="1:50">
      <c r="A771" s="7"/>
      <c r="B771" s="10"/>
      <c r="C771" s="45" t="s">
        <v>688</v>
      </c>
      <c r="D771" s="23" t="s">
        <v>21</v>
      </c>
      <c r="E771" s="68" t="s">
        <v>817</v>
      </c>
      <c r="F771" s="68" t="s">
        <v>817</v>
      </c>
      <c r="G771" s="68" t="s">
        <v>817</v>
      </c>
      <c r="H771" s="68" t="s">
        <v>817</v>
      </c>
      <c r="I771" s="25">
        <v>0.9</v>
      </c>
      <c r="J771" s="26">
        <v>0.78048780487804903</v>
      </c>
      <c r="K771" s="26">
        <v>0.77500000000000002</v>
      </c>
      <c r="L771" s="27">
        <v>0.71428571428571397</v>
      </c>
      <c r="M771" s="26">
        <v>0.74778761061946897</v>
      </c>
      <c r="N771" s="28">
        <v>0.9</v>
      </c>
      <c r="O771" s="26">
        <v>0.94932722588033203</v>
      </c>
      <c r="P771" s="26">
        <v>0.94400512930113301</v>
      </c>
      <c r="Q771" s="26">
        <v>0.93105515587529997</v>
      </c>
      <c r="R771" s="26">
        <v>0.94679993551507302</v>
      </c>
      <c r="S771" s="28">
        <v>0.9</v>
      </c>
      <c r="T771" s="26">
        <v>0.92814199828227895</v>
      </c>
      <c r="U771" s="26">
        <v>0.91173327634109902</v>
      </c>
      <c r="V771" s="26">
        <v>0.89988009592326101</v>
      </c>
      <c r="W771" s="26">
        <v>0.90509968294911103</v>
      </c>
      <c r="X771" s="28">
        <v>0.92</v>
      </c>
      <c r="Y771" s="28">
        <v>0.92479108635097496</v>
      </c>
      <c r="Z771" s="28">
        <v>0.90021459227467804</v>
      </c>
      <c r="AA771" s="28">
        <v>0.91549295774647899</v>
      </c>
      <c r="AB771" s="28">
        <v>0.90756865371734796</v>
      </c>
      <c r="AC771" s="28">
        <v>0.92</v>
      </c>
      <c r="AD771" s="26">
        <v>0.995253164556962</v>
      </c>
      <c r="AE771" s="26">
        <v>0.99679829242262497</v>
      </c>
      <c r="AF771" s="26">
        <v>0.99794238683127601</v>
      </c>
      <c r="AG771" s="26">
        <v>0.99420777279521699</v>
      </c>
      <c r="AH771" s="28">
        <v>0.92</v>
      </c>
      <c r="AI771" s="26">
        <v>0.95679012345679004</v>
      </c>
      <c r="AJ771" s="26">
        <v>0.95366244876136197</v>
      </c>
      <c r="AK771" s="26">
        <v>0.94047619047619002</v>
      </c>
      <c r="AL771" s="26">
        <v>0.94707665656128204</v>
      </c>
      <c r="AM771" s="25">
        <v>0.99</v>
      </c>
      <c r="AN771" s="30">
        <v>1</v>
      </c>
      <c r="AO771" s="30">
        <v>1</v>
      </c>
      <c r="AP771" s="30">
        <v>1</v>
      </c>
      <c r="AQ771" s="30">
        <v>1</v>
      </c>
      <c r="AR771" s="50">
        <v>8.1059522893420499E-2</v>
      </c>
      <c r="AS771" s="34">
        <v>0</v>
      </c>
      <c r="AT771" s="34">
        <v>0</v>
      </c>
      <c r="AU771" s="34">
        <v>-0.1</v>
      </c>
      <c r="AV771" s="34">
        <v>4.1237113402061903E-2</v>
      </c>
      <c r="AW771" s="10"/>
      <c r="AX771" s="8"/>
    </row>
    <row r="772" spans="1:50">
      <c r="A772" s="7"/>
      <c r="B772" s="10"/>
      <c r="C772" s="45" t="s">
        <v>688</v>
      </c>
      <c r="D772" s="23" t="s">
        <v>21</v>
      </c>
      <c r="E772" s="68" t="s">
        <v>818</v>
      </c>
      <c r="F772" s="68" t="s">
        <v>818</v>
      </c>
      <c r="G772" s="68" t="s">
        <v>818</v>
      </c>
      <c r="H772" s="68" t="s">
        <v>818</v>
      </c>
      <c r="I772" s="25">
        <v>0.9</v>
      </c>
      <c r="J772" s="26">
        <v>0.82857142857142896</v>
      </c>
      <c r="K772" s="26">
        <v>0.79411764705882304</v>
      </c>
      <c r="L772" s="27">
        <v>0.8</v>
      </c>
      <c r="M772" s="26">
        <v>0.8125</v>
      </c>
      <c r="N772" s="28">
        <v>0.9</v>
      </c>
      <c r="O772" s="26">
        <v>0.95683979517190898</v>
      </c>
      <c r="P772" s="26">
        <v>0.94506120125249105</v>
      </c>
      <c r="Q772" s="26">
        <v>0.95158597662771305</v>
      </c>
      <c r="R772" s="26">
        <v>0.95298250859620304</v>
      </c>
      <c r="S772" s="28">
        <v>0.9</v>
      </c>
      <c r="T772" s="26">
        <v>0.92062911485003696</v>
      </c>
      <c r="U772" s="26">
        <v>0.91972672929120403</v>
      </c>
      <c r="V772" s="26">
        <v>0.91736227045075103</v>
      </c>
      <c r="W772" s="26">
        <v>0.91381372402451799</v>
      </c>
      <c r="X772" s="28">
        <v>0.92</v>
      </c>
      <c r="Y772" s="28">
        <v>0.91111111111111098</v>
      </c>
      <c r="Z772" s="28">
        <v>0.88461538461538503</v>
      </c>
      <c r="AA772" s="28">
        <v>0.88455008488964304</v>
      </c>
      <c r="AB772" s="28">
        <v>0.87935656836461096</v>
      </c>
      <c r="AC772" s="28">
        <v>0.92</v>
      </c>
      <c r="AD772" s="26">
        <v>0.99887766554433199</v>
      </c>
      <c r="AE772" s="26">
        <v>0.99709302325581395</v>
      </c>
      <c r="AF772" s="26">
        <v>0.99717425431711104</v>
      </c>
      <c r="AG772" s="26">
        <v>0.99709454355279203</v>
      </c>
      <c r="AH772" s="28">
        <v>0.92</v>
      </c>
      <c r="AI772" s="26">
        <v>0.94759036144578301</v>
      </c>
      <c r="AJ772" s="26">
        <v>0.94413012729844403</v>
      </c>
      <c r="AK772" s="26">
        <v>0.92953020134228204</v>
      </c>
      <c r="AL772" s="26">
        <v>0.93680186368795204</v>
      </c>
      <c r="AM772" s="25">
        <v>0.99</v>
      </c>
      <c r="AN772" s="30">
        <v>1</v>
      </c>
      <c r="AO772" s="30">
        <v>1</v>
      </c>
      <c r="AP772" s="30">
        <v>1</v>
      </c>
      <c r="AQ772" s="30">
        <v>1</v>
      </c>
      <c r="AR772" s="50">
        <v>8.1059522893420499E-2</v>
      </c>
      <c r="AS772" s="34">
        <v>3.4482758620689703E-2</v>
      </c>
      <c r="AT772" s="34">
        <v>4.3478260869565202E-2</v>
      </c>
      <c r="AU772" s="34">
        <v>9.0909090909090898E-2</v>
      </c>
      <c r="AV772" s="34">
        <v>3.2000000000000001E-2</v>
      </c>
      <c r="AW772" s="10"/>
      <c r="AX772" s="8"/>
    </row>
    <row r="773" spans="1:50">
      <c r="A773" s="7"/>
      <c r="B773" s="10"/>
      <c r="C773" s="45" t="s">
        <v>688</v>
      </c>
      <c r="D773" s="23" t="s">
        <v>21</v>
      </c>
      <c r="E773" s="68" t="s">
        <v>819</v>
      </c>
      <c r="F773" s="68" t="s">
        <v>819</v>
      </c>
      <c r="G773" s="68" t="s">
        <v>819</v>
      </c>
      <c r="H773" s="68" t="s">
        <v>819</v>
      </c>
      <c r="I773" s="25">
        <v>0.9</v>
      </c>
      <c r="J773" s="26">
        <v>0.75</v>
      </c>
      <c r="K773" s="26">
        <v>0.81818181818181801</v>
      </c>
      <c r="L773" s="27">
        <v>0.86666666666666703</v>
      </c>
      <c r="M773" s="26">
        <v>0.76963350785340301</v>
      </c>
      <c r="N773" s="28">
        <v>0.9</v>
      </c>
      <c r="O773" s="26">
        <v>0.91614906832298104</v>
      </c>
      <c r="P773" s="26">
        <v>0.94144144144144104</v>
      </c>
      <c r="Q773" s="26">
        <v>0.94715447154471499</v>
      </c>
      <c r="R773" s="26">
        <v>0.93099811257910503</v>
      </c>
      <c r="S773" s="28">
        <v>0.9</v>
      </c>
      <c r="T773" s="26">
        <v>0.82862789384528501</v>
      </c>
      <c r="U773" s="26">
        <v>0.85945945945945901</v>
      </c>
      <c r="V773" s="26">
        <v>0.86585365853658502</v>
      </c>
      <c r="W773" s="26">
        <v>0.84079049628067104</v>
      </c>
      <c r="X773" s="28">
        <v>0.92</v>
      </c>
      <c r="Y773" s="28">
        <v>0.77871148459383799</v>
      </c>
      <c r="Z773" s="28">
        <v>0.85677419354838702</v>
      </c>
      <c r="AA773" s="28">
        <v>0.86585365853658502</v>
      </c>
      <c r="AB773" s="28">
        <v>0.84885679903730404</v>
      </c>
      <c r="AC773" s="28">
        <v>0.92</v>
      </c>
      <c r="AD773" s="26">
        <v>0.99904761904761896</v>
      </c>
      <c r="AE773" s="26">
        <v>0.98669396110542495</v>
      </c>
      <c r="AF773" s="26">
        <v>0.99724821133736896</v>
      </c>
      <c r="AG773" s="26">
        <v>0.994412729260294</v>
      </c>
      <c r="AH773" s="28">
        <v>0.92</v>
      </c>
      <c r="AI773" s="26">
        <v>0.91190979563072605</v>
      </c>
      <c r="AJ773" s="26">
        <v>0.92828379674017303</v>
      </c>
      <c r="AK773" s="26">
        <v>0.905284552845528</v>
      </c>
      <c r="AL773" s="26">
        <v>0.91859101569547197</v>
      </c>
      <c r="AM773" s="25">
        <v>0.99</v>
      </c>
      <c r="AN773" s="30">
        <v>1</v>
      </c>
      <c r="AO773" s="30">
        <v>1</v>
      </c>
      <c r="AP773" s="30">
        <v>1</v>
      </c>
      <c r="AQ773" s="30">
        <v>1</v>
      </c>
      <c r="AR773" s="50">
        <v>8.1059522893420499E-2</v>
      </c>
      <c r="AS773" s="34">
        <v>4.7619047619047603E-2</v>
      </c>
      <c r="AT773" s="34">
        <v>0</v>
      </c>
      <c r="AU773" s="34">
        <v>0.1</v>
      </c>
      <c r="AV773" s="34">
        <v>6.8965517241379296E-2</v>
      </c>
      <c r="AW773" s="10"/>
      <c r="AX773" s="8"/>
    </row>
    <row r="774" spans="1:50">
      <c r="A774" s="7"/>
      <c r="B774" s="10"/>
      <c r="C774" s="45" t="s">
        <v>688</v>
      </c>
      <c r="D774" s="23" t="s">
        <v>21</v>
      </c>
      <c r="E774" s="68" t="s">
        <v>820</v>
      </c>
      <c r="F774" s="68" t="s">
        <v>820</v>
      </c>
      <c r="G774" s="68" t="s">
        <v>820</v>
      </c>
      <c r="H774" s="68" t="s">
        <v>820</v>
      </c>
      <c r="I774" s="25">
        <v>0.9</v>
      </c>
      <c r="J774" s="26">
        <v>0.73333333333333295</v>
      </c>
      <c r="K774" s="26">
        <v>0.73333333333333295</v>
      </c>
      <c r="L774" s="27">
        <v>0.65384615384615397</v>
      </c>
      <c r="M774" s="26">
        <v>0.68639053254437898</v>
      </c>
      <c r="N774" s="28">
        <v>0.9</v>
      </c>
      <c r="O774" s="26">
        <v>0.94449670743179703</v>
      </c>
      <c r="P774" s="26">
        <v>0.93255758727143201</v>
      </c>
      <c r="Q774" s="26">
        <v>0.91908293998651402</v>
      </c>
      <c r="R774" s="26">
        <v>0.92680876613629504</v>
      </c>
      <c r="S774" s="28">
        <v>0.9</v>
      </c>
      <c r="T774" s="26">
        <v>0.88679836939479495</v>
      </c>
      <c r="U774" s="26">
        <v>0.83756827356922303</v>
      </c>
      <c r="V774" s="26">
        <v>0.87795010114632499</v>
      </c>
      <c r="W774" s="26">
        <v>0.86298408886220401</v>
      </c>
      <c r="X774" s="28">
        <v>0.92</v>
      </c>
      <c r="Y774" s="28">
        <v>0.84752747252747296</v>
      </c>
      <c r="Z774" s="28">
        <v>0.85787451984635099</v>
      </c>
      <c r="AA774" s="28">
        <v>0.86133333333333295</v>
      </c>
      <c r="AB774" s="28">
        <v>0.84632969265938496</v>
      </c>
      <c r="AC774" s="28">
        <v>0.92</v>
      </c>
      <c r="AD774" s="26">
        <v>0.998319327731092</v>
      </c>
      <c r="AE774" s="26">
        <v>0.99402390438247001</v>
      </c>
      <c r="AF774" s="26">
        <v>0.98947368421052595</v>
      </c>
      <c r="AG774" s="26">
        <v>0.99562869632296203</v>
      </c>
      <c r="AH774" s="28">
        <v>0.92</v>
      </c>
      <c r="AI774" s="26">
        <v>0.93593670239918303</v>
      </c>
      <c r="AJ774" s="26">
        <v>0.93771279791708395</v>
      </c>
      <c r="AK774" s="26">
        <v>0.90465532676812899</v>
      </c>
      <c r="AL774" s="26">
        <v>0.92251298732825204</v>
      </c>
      <c r="AM774" s="25">
        <v>0.99</v>
      </c>
      <c r="AN774" s="30">
        <v>1</v>
      </c>
      <c r="AO774" s="30">
        <v>1</v>
      </c>
      <c r="AP774" s="30">
        <v>1</v>
      </c>
      <c r="AQ774" s="30">
        <v>1</v>
      </c>
      <c r="AR774" s="50">
        <v>8.1059522893420499E-2</v>
      </c>
      <c r="AS774" s="34">
        <v>9.5238095238095205E-2</v>
      </c>
      <c r="AT774" s="34">
        <v>0</v>
      </c>
      <c r="AU774" s="34">
        <v>0</v>
      </c>
      <c r="AV774" s="34">
        <v>4.0650406504064998E-2</v>
      </c>
      <c r="AW774" s="10"/>
      <c r="AX774" s="8"/>
    </row>
    <row r="775" spans="1:50">
      <c r="A775" s="7"/>
      <c r="B775" s="10"/>
      <c r="C775" s="45" t="s">
        <v>688</v>
      </c>
      <c r="D775" s="23" t="s">
        <v>21</v>
      </c>
      <c r="E775" s="68" t="s">
        <v>821</v>
      </c>
      <c r="F775" s="68" t="s">
        <v>821</v>
      </c>
      <c r="G775" s="68" t="s">
        <v>821</v>
      </c>
      <c r="H775" s="68" t="s">
        <v>821</v>
      </c>
      <c r="I775" s="25">
        <v>0.9</v>
      </c>
      <c r="J775" s="26">
        <v>0.92</v>
      </c>
      <c r="K775" s="26">
        <v>1</v>
      </c>
      <c r="L775" s="27">
        <v>0.90476190476190499</v>
      </c>
      <c r="M775" s="26">
        <v>0.92567567567567599</v>
      </c>
      <c r="N775" s="28">
        <v>0.9</v>
      </c>
      <c r="O775" s="26">
        <v>0.988400702987698</v>
      </c>
      <c r="P775" s="26">
        <v>0.98981035946787399</v>
      </c>
      <c r="Q775" s="26">
        <v>0.95160089352196597</v>
      </c>
      <c r="R775" s="26">
        <v>0.98440719879104299</v>
      </c>
      <c r="S775" s="28">
        <v>0.9</v>
      </c>
      <c r="T775" s="26">
        <v>0.95922671353251299</v>
      </c>
      <c r="U775" s="26">
        <v>0.97141239739598095</v>
      </c>
      <c r="V775" s="26">
        <v>0.96649292628443795</v>
      </c>
      <c r="W775" s="26">
        <v>0.95308421486467898</v>
      </c>
      <c r="X775" s="28">
        <v>0.92</v>
      </c>
      <c r="Y775" s="28">
        <v>0.955094991364421</v>
      </c>
      <c r="Z775" s="28">
        <v>0.9765625</v>
      </c>
      <c r="AA775" s="28">
        <v>0.96768707482993199</v>
      </c>
      <c r="AB775" s="28">
        <v>0.94548104956268197</v>
      </c>
      <c r="AC775" s="28">
        <v>0.92</v>
      </c>
      <c r="AD775" s="26">
        <v>0.995254237288136</v>
      </c>
      <c r="AE775" s="26">
        <v>0.99703791469194303</v>
      </c>
      <c r="AF775" s="26">
        <v>0.99674690956408596</v>
      </c>
      <c r="AG775" s="26">
        <v>0.99733641572017295</v>
      </c>
      <c r="AH775" s="28">
        <v>0.92</v>
      </c>
      <c r="AI775" s="26">
        <v>0.97141190198366401</v>
      </c>
      <c r="AJ775" s="26">
        <v>0.98721227621483398</v>
      </c>
      <c r="AK775" s="26">
        <v>0.97877846790890299</v>
      </c>
      <c r="AL775" s="26">
        <v>0.966162906989666</v>
      </c>
      <c r="AM775" s="25">
        <v>0.99</v>
      </c>
      <c r="AN775" s="30">
        <v>1</v>
      </c>
      <c r="AO775" s="30">
        <v>1</v>
      </c>
      <c r="AP775" s="30">
        <v>1</v>
      </c>
      <c r="AQ775" s="30">
        <v>1</v>
      </c>
      <c r="AR775" s="50">
        <v>8.1059522893420499E-2</v>
      </c>
      <c r="AS775" s="34">
        <v>-9.0909090909090898E-2</v>
      </c>
      <c r="AT775" s="34">
        <v>5.5555555555555601E-2</v>
      </c>
      <c r="AU775" s="34">
        <v>0</v>
      </c>
      <c r="AV775" s="34">
        <v>2.1978021978022001E-2</v>
      </c>
      <c r="AW775" s="10"/>
      <c r="AX775" s="8"/>
    </row>
    <row r="776" spans="1:50">
      <c r="A776" s="7"/>
      <c r="B776" s="10"/>
      <c r="C776" s="45" t="s">
        <v>688</v>
      </c>
      <c r="D776" s="23" t="s">
        <v>21</v>
      </c>
      <c r="E776" s="68" t="s">
        <v>822</v>
      </c>
      <c r="F776" s="68" t="s">
        <v>822</v>
      </c>
      <c r="G776" s="68" t="s">
        <v>822</v>
      </c>
      <c r="H776" s="68" t="s">
        <v>822</v>
      </c>
      <c r="I776" s="25">
        <v>0.9</v>
      </c>
      <c r="J776" s="26">
        <v>1</v>
      </c>
      <c r="K776" s="26">
        <v>0.96969696969696995</v>
      </c>
      <c r="L776" s="27">
        <v>0.967741935483871</v>
      </c>
      <c r="M776" s="26">
        <v>0.97267759562841505</v>
      </c>
      <c r="N776" s="28">
        <v>0.9</v>
      </c>
      <c r="O776" s="26">
        <v>0.98365617433413999</v>
      </c>
      <c r="P776" s="26">
        <v>0.98199075200778796</v>
      </c>
      <c r="Q776" s="26">
        <v>0.98039215686274495</v>
      </c>
      <c r="R776" s="26">
        <v>0.980558150397011</v>
      </c>
      <c r="S776" s="28">
        <v>0.9</v>
      </c>
      <c r="T776" s="26">
        <v>0.948547215496368</v>
      </c>
      <c r="U776" s="26">
        <v>0.961061085422244</v>
      </c>
      <c r="V776" s="26">
        <v>0.95306001188354095</v>
      </c>
      <c r="W776" s="26">
        <v>0.94652031760859401</v>
      </c>
      <c r="X776" s="28">
        <v>0.92</v>
      </c>
      <c r="Y776" s="28">
        <v>0.95912408759124101</v>
      </c>
      <c r="Z776" s="28">
        <v>0.96368038740920103</v>
      </c>
      <c r="AA776" s="28">
        <v>0.96119402985074598</v>
      </c>
      <c r="AB776" s="28">
        <v>0.953303527074019</v>
      </c>
      <c r="AC776" s="28">
        <v>0.92</v>
      </c>
      <c r="AD776" s="26">
        <v>0.99898167006109995</v>
      </c>
      <c r="AE776" s="26">
        <v>0.99910952804986597</v>
      </c>
      <c r="AF776" s="26">
        <v>0.99331662489557204</v>
      </c>
      <c r="AG776" s="26">
        <v>0.99766013454226399</v>
      </c>
      <c r="AH776" s="28">
        <v>0.92</v>
      </c>
      <c r="AI776" s="26">
        <v>0.97543243920782197</v>
      </c>
      <c r="AJ776" s="26">
        <v>0.982776089159068</v>
      </c>
      <c r="AK776" s="26">
        <v>0.97705057373565696</v>
      </c>
      <c r="AL776" s="26">
        <v>0.97206466250709</v>
      </c>
      <c r="AM776" s="25">
        <v>0.99</v>
      </c>
      <c r="AN776" s="30">
        <v>1</v>
      </c>
      <c r="AO776" s="30">
        <v>1</v>
      </c>
      <c r="AP776" s="30">
        <v>1</v>
      </c>
      <c r="AQ776" s="30">
        <v>1</v>
      </c>
      <c r="AR776" s="50">
        <v>8.1059522893420499E-2</v>
      </c>
      <c r="AS776" s="34">
        <v>0</v>
      </c>
      <c r="AT776" s="34">
        <v>9.0909090909090898E-2</v>
      </c>
      <c r="AU776" s="34">
        <v>-0.05</v>
      </c>
      <c r="AV776" s="34">
        <v>1.86915887850467E-2</v>
      </c>
      <c r="AW776" s="10"/>
      <c r="AX776" s="8"/>
    </row>
    <row r="777" spans="1:50">
      <c r="A777" s="7"/>
      <c r="B777" s="10"/>
      <c r="C777" s="45" t="s">
        <v>688</v>
      </c>
      <c r="D777" s="23" t="s">
        <v>21</v>
      </c>
      <c r="E777" s="68" t="s">
        <v>823</v>
      </c>
      <c r="F777" s="68" t="s">
        <v>823</v>
      </c>
      <c r="G777" s="68" t="s">
        <v>823</v>
      </c>
      <c r="H777" s="68" t="s">
        <v>823</v>
      </c>
      <c r="I777" s="25">
        <v>0.9</v>
      </c>
      <c r="J777" s="26">
        <v>0.434782608695652</v>
      </c>
      <c r="K777" s="26">
        <v>0.47826086956521702</v>
      </c>
      <c r="L777" s="27">
        <v>0.47368421052631599</v>
      </c>
      <c r="M777" s="26">
        <v>0.45081967213114799</v>
      </c>
      <c r="N777" s="28">
        <v>0.9</v>
      </c>
      <c r="O777" s="26">
        <v>0.89116945107398604</v>
      </c>
      <c r="P777" s="26">
        <v>0.83246463142218896</v>
      </c>
      <c r="Q777" s="26">
        <v>0.90202020202020206</v>
      </c>
      <c r="R777" s="26">
        <v>0.84262712635313397</v>
      </c>
      <c r="S777" s="28">
        <v>0.9</v>
      </c>
      <c r="T777" s="26">
        <v>0.75417661097851996</v>
      </c>
      <c r="U777" s="26">
        <v>0.77885331347729003</v>
      </c>
      <c r="V777" s="26">
        <v>0.77272727272727304</v>
      </c>
      <c r="W777" s="26">
        <v>0.71381788410806901</v>
      </c>
      <c r="X777" s="28">
        <v>0.92</v>
      </c>
      <c r="Y777" s="28">
        <v>0.88817204301075303</v>
      </c>
      <c r="Z777" s="28">
        <v>0.85689655172413803</v>
      </c>
      <c r="AA777" s="28">
        <v>0.77899343544857802</v>
      </c>
      <c r="AB777" s="28">
        <v>0.79166666666666696</v>
      </c>
      <c r="AC777" s="28">
        <v>0.92</v>
      </c>
      <c r="AD777" s="26">
        <v>0.99067471201316504</v>
      </c>
      <c r="AE777" s="26">
        <v>0.84468491406747304</v>
      </c>
      <c r="AF777" s="26">
        <v>0.98706025070764303</v>
      </c>
      <c r="AG777" s="26">
        <v>0.96733741615631397</v>
      </c>
      <c r="AH777" s="28">
        <v>0.92</v>
      </c>
      <c r="AI777" s="26">
        <v>0.9140625</v>
      </c>
      <c r="AJ777" s="26">
        <v>0.90569503980404198</v>
      </c>
      <c r="AK777" s="26">
        <v>0.87007601935038004</v>
      </c>
      <c r="AL777" s="26">
        <v>0.86399124407150696</v>
      </c>
      <c r="AM777" s="25">
        <v>0.99</v>
      </c>
      <c r="AN777" s="30">
        <v>1</v>
      </c>
      <c r="AO777" s="30">
        <v>1</v>
      </c>
      <c r="AP777" s="30">
        <v>1</v>
      </c>
      <c r="AQ777" s="30">
        <v>1</v>
      </c>
      <c r="AR777" s="50">
        <v>8.1059522893420499E-2</v>
      </c>
      <c r="AS777" s="34">
        <v>0.11111111111111099</v>
      </c>
      <c r="AT777" s="34">
        <v>-0.2</v>
      </c>
      <c r="AU777" s="34">
        <v>0.125</v>
      </c>
      <c r="AV777" s="34">
        <v>2.7397260273972601E-2</v>
      </c>
      <c r="AW777" s="10"/>
      <c r="AX777" s="8"/>
    </row>
    <row r="778" spans="1:50">
      <c r="A778" s="7"/>
      <c r="B778" s="10"/>
      <c r="C778" s="45" t="s">
        <v>688</v>
      </c>
      <c r="D778" s="23" t="s">
        <v>21</v>
      </c>
      <c r="E778" s="68" t="s">
        <v>824</v>
      </c>
      <c r="F778" s="68" t="s">
        <v>824</v>
      </c>
      <c r="G778" s="68" t="s">
        <v>824</v>
      </c>
      <c r="H778" s="68" t="s">
        <v>824</v>
      </c>
      <c r="I778" s="25">
        <v>0.9</v>
      </c>
      <c r="J778" s="26">
        <v>0.84375</v>
      </c>
      <c r="K778" s="26">
        <v>0.9</v>
      </c>
      <c r="L778" s="27">
        <v>0.86666666666666703</v>
      </c>
      <c r="M778" s="26">
        <v>0.89130434782608703</v>
      </c>
      <c r="N778" s="28">
        <v>0.9</v>
      </c>
      <c r="O778" s="26">
        <v>0.97517985611510805</v>
      </c>
      <c r="P778" s="26">
        <v>0.97275946608553499</v>
      </c>
      <c r="Q778" s="26">
        <v>0.97451737451737497</v>
      </c>
      <c r="R778" s="26">
        <v>0.96910569105691102</v>
      </c>
      <c r="S778" s="28">
        <v>0.9</v>
      </c>
      <c r="T778" s="26">
        <v>0.94388489208633097</v>
      </c>
      <c r="U778" s="26">
        <v>0.92590574775265599</v>
      </c>
      <c r="V778" s="26">
        <v>0.94517374517374497</v>
      </c>
      <c r="W778" s="26">
        <v>0.92174796747967502</v>
      </c>
      <c r="X778" s="28">
        <v>0.92</v>
      </c>
      <c r="Y778" s="28">
        <v>0.92282958199356901</v>
      </c>
      <c r="Z778" s="28">
        <v>0.88808139534883701</v>
      </c>
      <c r="AA778" s="28">
        <v>0.941071428571429</v>
      </c>
      <c r="AB778" s="28">
        <v>0.91686602870813405</v>
      </c>
      <c r="AC778" s="28">
        <v>0.92</v>
      </c>
      <c r="AD778" s="26">
        <v>0.99180999180999196</v>
      </c>
      <c r="AE778" s="26">
        <v>0.98939179632248897</v>
      </c>
      <c r="AF778" s="26">
        <v>0.99397136397889996</v>
      </c>
      <c r="AG778" s="26">
        <v>0.99064787205204696</v>
      </c>
      <c r="AH778" s="28">
        <v>0.92</v>
      </c>
      <c r="AI778" s="26">
        <v>0.96208112874779494</v>
      </c>
      <c r="AJ778" s="26">
        <v>0.94700619408121101</v>
      </c>
      <c r="AK778" s="26">
        <v>0.95687331536388098</v>
      </c>
      <c r="AL778" s="26">
        <v>0.95062682940299303</v>
      </c>
      <c r="AM778" s="25">
        <v>0.99</v>
      </c>
      <c r="AN778" s="30">
        <v>1</v>
      </c>
      <c r="AO778" s="30">
        <v>1</v>
      </c>
      <c r="AP778" s="30">
        <v>1</v>
      </c>
      <c r="AQ778" s="30">
        <v>1</v>
      </c>
      <c r="AR778" s="50">
        <v>8.1059522893420499E-2</v>
      </c>
      <c r="AS778" s="34">
        <v>4.1666666666666699E-2</v>
      </c>
      <c r="AT778" s="34">
        <v>-7.1428571428571397E-2</v>
      </c>
      <c r="AU778" s="34">
        <v>0.12</v>
      </c>
      <c r="AV778" s="34">
        <v>2.5531914893616999E-2</v>
      </c>
      <c r="AW778" s="10"/>
      <c r="AX778" s="8"/>
    </row>
    <row r="779" spans="1:50">
      <c r="A779" s="7"/>
      <c r="B779" s="10"/>
      <c r="C779" s="45" t="s">
        <v>688</v>
      </c>
      <c r="D779" s="23" t="s">
        <v>21</v>
      </c>
      <c r="E779" s="68" t="s">
        <v>825</v>
      </c>
      <c r="F779" s="68" t="s">
        <v>825</v>
      </c>
      <c r="G779" s="68" t="s">
        <v>825</v>
      </c>
      <c r="H779" s="68" t="s">
        <v>825</v>
      </c>
      <c r="I779" s="25">
        <v>0.9</v>
      </c>
      <c r="J779" s="26">
        <v>0.66666666666666696</v>
      </c>
      <c r="K779" s="26">
        <v>0.565217391304348</v>
      </c>
      <c r="L779" s="27">
        <v>0.60869565217391297</v>
      </c>
      <c r="M779" s="26">
        <v>0.58273381294964</v>
      </c>
      <c r="N779" s="28">
        <v>0.9</v>
      </c>
      <c r="O779" s="26">
        <v>0.86432160804020097</v>
      </c>
      <c r="P779" s="26">
        <v>0.90691489361702105</v>
      </c>
      <c r="Q779" s="26">
        <v>0.862179487179487</v>
      </c>
      <c r="R779" s="26">
        <v>0.91105971404541597</v>
      </c>
      <c r="S779" s="28">
        <v>0.9</v>
      </c>
      <c r="T779" s="26">
        <v>0.815075376884422</v>
      </c>
      <c r="U779" s="26">
        <v>0.86968085106382997</v>
      </c>
      <c r="V779" s="26">
        <v>0.88141025641025605</v>
      </c>
      <c r="W779" s="26">
        <v>0.87931034482758597</v>
      </c>
      <c r="X779" s="28">
        <v>0.92</v>
      </c>
      <c r="Y779" s="28">
        <v>0.93278784336645204</v>
      </c>
      <c r="Z779" s="28">
        <v>0.91358595194085002</v>
      </c>
      <c r="AA779" s="28">
        <v>0.92554043234587702</v>
      </c>
      <c r="AB779" s="28">
        <v>0.93143356261600596</v>
      </c>
      <c r="AC779" s="28">
        <v>0.92</v>
      </c>
      <c r="AD779" s="26">
        <v>0.99635036496350404</v>
      </c>
      <c r="AE779" s="26">
        <v>0.85215366705471496</v>
      </c>
      <c r="AF779" s="26">
        <v>0.98742138364779897</v>
      </c>
      <c r="AG779" s="26">
        <v>0.96181672025723497</v>
      </c>
      <c r="AH779" s="28">
        <v>0.92</v>
      </c>
      <c r="AI779" s="26">
        <v>0.92503692762186096</v>
      </c>
      <c r="AJ779" s="26">
        <v>0.91497115092620696</v>
      </c>
      <c r="AK779" s="26">
        <v>0.92829705505761795</v>
      </c>
      <c r="AL779" s="26">
        <v>0.93290229885057496</v>
      </c>
      <c r="AM779" s="25">
        <v>0.99</v>
      </c>
      <c r="AN779" s="30">
        <v>1</v>
      </c>
      <c r="AO779" s="30">
        <v>1</v>
      </c>
      <c r="AP779" s="30">
        <v>1</v>
      </c>
      <c r="AQ779" s="30">
        <v>1</v>
      </c>
      <c r="AR779" s="50">
        <v>8.1059522893420499E-2</v>
      </c>
      <c r="AS779" s="34">
        <v>0</v>
      </c>
      <c r="AT779" s="34">
        <v>0</v>
      </c>
      <c r="AU779" s="34">
        <v>0</v>
      </c>
      <c r="AV779" s="34">
        <v>1.0638297872340399E-2</v>
      </c>
      <c r="AW779" s="10"/>
      <c r="AX779" s="8"/>
    </row>
    <row r="780" spans="1:50">
      <c r="A780" s="7"/>
      <c r="B780" s="10"/>
      <c r="C780" s="45" t="s">
        <v>688</v>
      </c>
      <c r="D780" s="23" t="s">
        <v>21</v>
      </c>
      <c r="E780" s="68" t="s">
        <v>826</v>
      </c>
      <c r="F780" s="68" t="s">
        <v>826</v>
      </c>
      <c r="G780" s="68" t="s">
        <v>826</v>
      </c>
      <c r="H780" s="68" t="s">
        <v>826</v>
      </c>
      <c r="I780" s="25">
        <v>0.9</v>
      </c>
      <c r="J780" s="26">
        <v>0.76923076923076905</v>
      </c>
      <c r="K780" s="26">
        <v>0.61538461538461497</v>
      </c>
      <c r="L780" s="27">
        <v>0.5</v>
      </c>
      <c r="M780" s="26">
        <v>0.69333333333333302</v>
      </c>
      <c r="N780" s="28">
        <v>0.9</v>
      </c>
      <c r="O780" s="26">
        <v>0.96943852167732802</v>
      </c>
      <c r="P780" s="26">
        <v>0.95581014729950897</v>
      </c>
      <c r="Q780" s="26">
        <v>0.97163120567375905</v>
      </c>
      <c r="R780" s="26">
        <v>0.96577422025945303</v>
      </c>
      <c r="S780" s="28">
        <v>0.9</v>
      </c>
      <c r="T780" s="26">
        <v>0.80170575692963797</v>
      </c>
      <c r="U780" s="26">
        <v>0.72231314784506295</v>
      </c>
      <c r="V780" s="26">
        <v>0.82695035460992905</v>
      </c>
      <c r="W780" s="26">
        <v>0.82045266353850399</v>
      </c>
      <c r="X780" s="28">
        <v>0.92</v>
      </c>
      <c r="Y780" s="28">
        <v>0.89473684210526305</v>
      </c>
      <c r="Z780" s="28">
        <v>0.93993993993993996</v>
      </c>
      <c r="AA780" s="28">
        <v>0.85159010600706697</v>
      </c>
      <c r="AB780" s="28">
        <v>0.89381067961165095</v>
      </c>
      <c r="AC780" s="28">
        <v>0.92</v>
      </c>
      <c r="AD780" s="26">
        <v>0.99250000000000005</v>
      </c>
      <c r="AE780" s="26">
        <v>1</v>
      </c>
      <c r="AF780" s="26">
        <v>0.99852507374631305</v>
      </c>
      <c r="AG780" s="26">
        <v>0.99804151978065003</v>
      </c>
      <c r="AH780" s="28">
        <v>0.92</v>
      </c>
      <c r="AI780" s="26">
        <v>0.92789598108746996</v>
      </c>
      <c r="AJ780" s="26">
        <v>0.94921514312096</v>
      </c>
      <c r="AK780" s="26">
        <v>0.88157894736842102</v>
      </c>
      <c r="AL780" s="26">
        <v>0.93098021582733803</v>
      </c>
      <c r="AM780" s="25">
        <v>0.99</v>
      </c>
      <c r="AN780" s="30">
        <v>1</v>
      </c>
      <c r="AO780" s="30">
        <v>1</v>
      </c>
      <c r="AP780" s="30">
        <v>1</v>
      </c>
      <c r="AQ780" s="30">
        <v>1</v>
      </c>
      <c r="AR780" s="50">
        <v>8.1059522893420499E-2</v>
      </c>
      <c r="AS780" s="34">
        <v>0</v>
      </c>
      <c r="AT780" s="34">
        <v>0</v>
      </c>
      <c r="AU780" s="34">
        <v>0</v>
      </c>
      <c r="AV780" s="34">
        <v>-5.0847457627118599E-2</v>
      </c>
      <c r="AW780" s="10"/>
      <c r="AX780" s="8"/>
    </row>
    <row r="781" spans="1:50">
      <c r="A781" s="7"/>
      <c r="B781" s="10"/>
      <c r="C781" s="45" t="s">
        <v>688</v>
      </c>
      <c r="D781" s="23" t="s">
        <v>21</v>
      </c>
      <c r="E781" s="68" t="s">
        <v>827</v>
      </c>
      <c r="F781" s="68" t="s">
        <v>827</v>
      </c>
      <c r="G781" s="68" t="s">
        <v>827</v>
      </c>
      <c r="H781" s="68" t="s">
        <v>827</v>
      </c>
      <c r="I781" s="25">
        <v>0.9</v>
      </c>
      <c r="J781" s="26">
        <v>0.94827586206896597</v>
      </c>
      <c r="K781" s="26">
        <v>0.89655172413793105</v>
      </c>
      <c r="L781" s="27">
        <v>0.89795918367346905</v>
      </c>
      <c r="M781" s="26">
        <v>0.89096573208722696</v>
      </c>
      <c r="N781" s="28">
        <v>0.9</v>
      </c>
      <c r="O781" s="26">
        <v>0.97587435233160602</v>
      </c>
      <c r="P781" s="26">
        <v>0.93678077203204702</v>
      </c>
      <c r="Q781" s="26">
        <v>0.951682484900777</v>
      </c>
      <c r="R781" s="26">
        <v>0.95609502453608897</v>
      </c>
      <c r="S781" s="28">
        <v>0.9</v>
      </c>
      <c r="T781" s="26">
        <v>0.91094559585492196</v>
      </c>
      <c r="U781" s="26">
        <v>0.90094683175528001</v>
      </c>
      <c r="V781" s="26">
        <v>0.92795513373597904</v>
      </c>
      <c r="W781" s="26">
        <v>0.91297000422475705</v>
      </c>
      <c r="X781" s="28">
        <v>0.92</v>
      </c>
      <c r="Y781" s="28">
        <v>0.93654434250764496</v>
      </c>
      <c r="Z781" s="28">
        <v>0.90957015409570197</v>
      </c>
      <c r="AA781" s="28">
        <v>0.92351046698872796</v>
      </c>
      <c r="AB781" s="28">
        <v>0.92185461875963504</v>
      </c>
      <c r="AC781" s="28">
        <v>0.92</v>
      </c>
      <c r="AD781" s="26">
        <v>0.99813953488372098</v>
      </c>
      <c r="AE781" s="26">
        <v>0.97410241318422597</v>
      </c>
      <c r="AF781" s="26">
        <v>0.99864376130198895</v>
      </c>
      <c r="AG781" s="26">
        <v>0.99185935740885101</v>
      </c>
      <c r="AH781" s="28">
        <v>0.92</v>
      </c>
      <c r="AI781" s="26">
        <v>0.957793508748497</v>
      </c>
      <c r="AJ781" s="26">
        <v>0.93816973853407604</v>
      </c>
      <c r="AK781" s="26">
        <v>0.93995510662177295</v>
      </c>
      <c r="AL781" s="26">
        <v>0.94757776644569103</v>
      </c>
      <c r="AM781" s="25">
        <v>0.99</v>
      </c>
      <c r="AN781" s="30">
        <v>1</v>
      </c>
      <c r="AO781" s="30">
        <v>1</v>
      </c>
      <c r="AP781" s="30">
        <v>1</v>
      </c>
      <c r="AQ781" s="30">
        <v>1</v>
      </c>
      <c r="AR781" s="50">
        <v>8.1059522893420499E-2</v>
      </c>
      <c r="AS781" s="34">
        <v>8.3333333333333301E-2</v>
      </c>
      <c r="AT781" s="34">
        <v>-2.6315789473684199E-2</v>
      </c>
      <c r="AU781" s="34">
        <v>0.133333333333333</v>
      </c>
      <c r="AV781" s="34">
        <v>5.7803468208092498E-2</v>
      </c>
      <c r="AW781" s="10"/>
      <c r="AX781" s="8"/>
    </row>
    <row r="782" spans="1:50">
      <c r="A782" s="7"/>
      <c r="B782" s="10"/>
      <c r="C782" s="45" t="s">
        <v>688</v>
      </c>
      <c r="D782" s="23" t="s">
        <v>21</v>
      </c>
      <c r="E782" s="68" t="s">
        <v>828</v>
      </c>
      <c r="F782" s="68" t="s">
        <v>828</v>
      </c>
      <c r="G782" s="68" t="s">
        <v>828</v>
      </c>
      <c r="H782" s="68" t="s">
        <v>828</v>
      </c>
      <c r="I782" s="25">
        <v>0.9</v>
      </c>
      <c r="J782" s="26">
        <v>0.85714285714285698</v>
      </c>
      <c r="K782" s="26">
        <v>0.94444444444444398</v>
      </c>
      <c r="L782" s="27">
        <v>0.79166666666666696</v>
      </c>
      <c r="M782" s="26">
        <v>0.85</v>
      </c>
      <c r="N782" s="28">
        <v>0.9</v>
      </c>
      <c r="O782" s="26">
        <v>0.918664938431627</v>
      </c>
      <c r="P782" s="26">
        <v>0.95470905818836205</v>
      </c>
      <c r="Q782" s="26">
        <v>0.94987674609696005</v>
      </c>
      <c r="R782" s="26">
        <v>0.94565492779326099</v>
      </c>
      <c r="S782" s="28">
        <v>0.9</v>
      </c>
      <c r="T782" s="26">
        <v>0.92384964355152299</v>
      </c>
      <c r="U782" s="26">
        <v>0.92771445710857803</v>
      </c>
      <c r="V782" s="26">
        <v>0.92358258011503702</v>
      </c>
      <c r="W782" s="26">
        <v>0.92171269318469695</v>
      </c>
      <c r="X782" s="28">
        <v>0.92</v>
      </c>
      <c r="Y782" s="28">
        <v>0.90995260663507105</v>
      </c>
      <c r="Z782" s="28">
        <v>0.91681574239713803</v>
      </c>
      <c r="AA782" s="28">
        <v>0.92586490939044497</v>
      </c>
      <c r="AB782" s="28">
        <v>0.91918703121219503</v>
      </c>
      <c r="AC782" s="28">
        <v>0.92</v>
      </c>
      <c r="AD782" s="26">
        <v>0.99529727914007404</v>
      </c>
      <c r="AE782" s="26">
        <v>0.99189675870348104</v>
      </c>
      <c r="AF782" s="26">
        <v>0.98917748917748904</v>
      </c>
      <c r="AG782" s="26">
        <v>0.99214303701838302</v>
      </c>
      <c r="AH782" s="28">
        <v>0.92</v>
      </c>
      <c r="AI782" s="26">
        <v>0.94221983337812398</v>
      </c>
      <c r="AJ782" s="26">
        <v>0.95309694793536803</v>
      </c>
      <c r="AK782" s="26">
        <v>0.95347564313081601</v>
      </c>
      <c r="AL782" s="26">
        <v>0.94788845420804502</v>
      </c>
      <c r="AM782" s="25">
        <v>0.99</v>
      </c>
      <c r="AN782" s="30">
        <v>1</v>
      </c>
      <c r="AO782" s="30">
        <v>1</v>
      </c>
      <c r="AP782" s="30">
        <v>1</v>
      </c>
      <c r="AQ782" s="30">
        <v>1</v>
      </c>
      <c r="AR782" s="50">
        <v>8.1059522893420499E-2</v>
      </c>
      <c r="AS782" s="34">
        <v>0</v>
      </c>
      <c r="AT782" s="34">
        <v>5.5555555555555601E-2</v>
      </c>
      <c r="AU782" s="34">
        <v>0</v>
      </c>
      <c r="AV782" s="34">
        <v>2.8985507246376802E-2</v>
      </c>
      <c r="AW782" s="10"/>
      <c r="AX782" s="8"/>
    </row>
    <row r="783" spans="1:50">
      <c r="A783" s="7"/>
      <c r="B783" s="10"/>
      <c r="C783" s="45" t="s">
        <v>688</v>
      </c>
      <c r="D783" s="23" t="s">
        <v>21</v>
      </c>
      <c r="E783" s="68" t="s">
        <v>829</v>
      </c>
      <c r="F783" s="68" t="s">
        <v>829</v>
      </c>
      <c r="G783" s="68" t="s">
        <v>829</v>
      </c>
      <c r="H783" s="68" t="s">
        <v>829</v>
      </c>
      <c r="I783" s="25">
        <v>0.9</v>
      </c>
      <c r="J783" s="26">
        <v>0.625</v>
      </c>
      <c r="K783" s="26">
        <v>0.79166666666666696</v>
      </c>
      <c r="L783" s="27">
        <v>0.66666666666666696</v>
      </c>
      <c r="M783" s="26">
        <v>0.75</v>
      </c>
      <c r="N783" s="28">
        <v>0.9</v>
      </c>
      <c r="O783" s="26">
        <v>0.92695429303716403</v>
      </c>
      <c r="P783" s="26">
        <v>0.881987577639752</v>
      </c>
      <c r="Q783" s="26">
        <v>0.90826727066817703</v>
      </c>
      <c r="R783" s="26">
        <v>0.91246164336856495</v>
      </c>
      <c r="S783" s="28">
        <v>0.9</v>
      </c>
      <c r="T783" s="26">
        <v>0.92396411789833399</v>
      </c>
      <c r="U783" s="26">
        <v>0.93167701863354002</v>
      </c>
      <c r="V783" s="26">
        <v>0.93771234428086103</v>
      </c>
      <c r="W783" s="26">
        <v>0.92286055233549302</v>
      </c>
      <c r="X783" s="28">
        <v>0.92</v>
      </c>
      <c r="Y783" s="28">
        <v>0.95190380761522997</v>
      </c>
      <c r="Z783" s="28">
        <v>0.93902439024390205</v>
      </c>
      <c r="AA783" s="28">
        <v>0.94501018329938902</v>
      </c>
      <c r="AB783" s="28">
        <v>0.943962848297214</v>
      </c>
      <c r="AC783" s="28">
        <v>0.92</v>
      </c>
      <c r="AD783" s="26">
        <v>0.99533920248575902</v>
      </c>
      <c r="AE783" s="26">
        <v>0.99688635184224195</v>
      </c>
      <c r="AF783" s="26">
        <v>0.949687406966359</v>
      </c>
      <c r="AG783" s="26">
        <v>0.94751785253376897</v>
      </c>
      <c r="AH783" s="28">
        <v>0.92</v>
      </c>
      <c r="AI783" s="26">
        <v>0.97361941610974301</v>
      </c>
      <c r="AJ783" s="26">
        <v>0.96625586854460099</v>
      </c>
      <c r="AK783" s="26">
        <v>0.96072727272727299</v>
      </c>
      <c r="AL783" s="26">
        <v>0.96689139576797301</v>
      </c>
      <c r="AM783" s="25">
        <v>0.99</v>
      </c>
      <c r="AN783" s="30">
        <v>1</v>
      </c>
      <c r="AO783" s="30">
        <v>1</v>
      </c>
      <c r="AP783" s="30">
        <v>1</v>
      </c>
      <c r="AQ783" s="30">
        <v>1</v>
      </c>
      <c r="AR783" s="50">
        <v>8.1059522893420499E-2</v>
      </c>
      <c r="AS783" s="34">
        <v>0</v>
      </c>
      <c r="AT783" s="34">
        <v>0</v>
      </c>
      <c r="AU783" s="34">
        <v>0</v>
      </c>
      <c r="AV783" s="34">
        <v>8.1081081081081099E-2</v>
      </c>
      <c r="AW783" s="10"/>
      <c r="AX783" s="8"/>
    </row>
    <row r="784" spans="1:50">
      <c r="A784" s="7"/>
      <c r="B784" s="10"/>
      <c r="C784" s="45" t="s">
        <v>688</v>
      </c>
      <c r="D784" s="23" t="s">
        <v>21</v>
      </c>
      <c r="E784" s="68" t="s">
        <v>830</v>
      </c>
      <c r="F784" s="68" t="s">
        <v>830</v>
      </c>
      <c r="G784" s="68" t="s">
        <v>830</v>
      </c>
      <c r="H784" s="68" t="s">
        <v>830</v>
      </c>
      <c r="I784" s="25">
        <v>0.9</v>
      </c>
      <c r="J784" s="26">
        <v>0.82222222222222197</v>
      </c>
      <c r="K784" s="26">
        <v>0.89361702127659604</v>
      </c>
      <c r="L784" s="27">
        <v>0.82857142857142896</v>
      </c>
      <c r="M784" s="26">
        <v>0.86111111111111105</v>
      </c>
      <c r="N784" s="28">
        <v>0.9</v>
      </c>
      <c r="O784" s="26">
        <v>0.93608748481166504</v>
      </c>
      <c r="P784" s="26">
        <v>0.92418032786885296</v>
      </c>
      <c r="Q784" s="26">
        <v>0.95090786819098905</v>
      </c>
      <c r="R784" s="26">
        <v>0.93836495933799402</v>
      </c>
      <c r="S784" s="28">
        <v>0.9</v>
      </c>
      <c r="T784" s="26">
        <v>0.91348724179829899</v>
      </c>
      <c r="U784" s="26">
        <v>0.88957194899817804</v>
      </c>
      <c r="V784" s="26">
        <v>0.92199058507061205</v>
      </c>
      <c r="W784" s="26">
        <v>0.91068626052218604</v>
      </c>
      <c r="X784" s="28">
        <v>0.92</v>
      </c>
      <c r="Y784" s="28">
        <v>0.91162790697674401</v>
      </c>
      <c r="Z784" s="28">
        <v>0.92985723153320898</v>
      </c>
      <c r="AA784" s="28">
        <v>0.929245283018868</v>
      </c>
      <c r="AB784" s="28">
        <v>0.92677860481218599</v>
      </c>
      <c r="AC784" s="28">
        <v>0.92</v>
      </c>
      <c r="AD784" s="26">
        <v>0.99905213270142201</v>
      </c>
      <c r="AE784" s="26">
        <v>0.99907834101382498</v>
      </c>
      <c r="AF784" s="26">
        <v>0.99853049228508495</v>
      </c>
      <c r="AG784" s="26">
        <v>0.99879463613078201</v>
      </c>
      <c r="AH784" s="28">
        <v>0.92</v>
      </c>
      <c r="AI784" s="26">
        <v>0.94738955823293203</v>
      </c>
      <c r="AJ784" s="26">
        <v>0.96121191942733497</v>
      </c>
      <c r="AK784" s="26">
        <v>0.95034246575342496</v>
      </c>
      <c r="AL784" s="26">
        <v>0.95843894438646204</v>
      </c>
      <c r="AM784" s="25">
        <v>0.99</v>
      </c>
      <c r="AN784" s="30">
        <v>1</v>
      </c>
      <c r="AO784" s="30">
        <v>1</v>
      </c>
      <c r="AP784" s="30">
        <v>1</v>
      </c>
      <c r="AQ784" s="30">
        <v>1</v>
      </c>
      <c r="AR784" s="50">
        <v>8.1059522893420499E-2</v>
      </c>
      <c r="AS784" s="34">
        <v>0</v>
      </c>
      <c r="AT784" s="34">
        <v>0</v>
      </c>
      <c r="AU784" s="34">
        <v>6.6666666666666693E-2</v>
      </c>
      <c r="AV784" s="34">
        <v>2.7522935779816501E-2</v>
      </c>
      <c r="AW784" s="10"/>
      <c r="AX784" s="8"/>
    </row>
    <row r="785" spans="1:50">
      <c r="A785" s="7"/>
      <c r="B785" s="10"/>
      <c r="C785" s="45" t="s">
        <v>688</v>
      </c>
      <c r="D785" s="23" t="s">
        <v>21</v>
      </c>
      <c r="E785" s="68" t="s">
        <v>831</v>
      </c>
      <c r="F785" s="68" t="s">
        <v>831</v>
      </c>
      <c r="G785" s="68" t="s">
        <v>831</v>
      </c>
      <c r="H785" s="68" t="s">
        <v>831</v>
      </c>
      <c r="I785" s="25">
        <v>0.9</v>
      </c>
      <c r="J785" s="26">
        <v>0.84615384615384603</v>
      </c>
      <c r="K785" s="26">
        <v>0.80769230769230804</v>
      </c>
      <c r="L785" s="27">
        <v>0.76190476190476197</v>
      </c>
      <c r="M785" s="26">
        <v>0.79432624113475203</v>
      </c>
      <c r="N785" s="28">
        <v>0.9</v>
      </c>
      <c r="O785" s="26">
        <v>0.95447705041384501</v>
      </c>
      <c r="P785" s="26">
        <v>0.951452991452991</v>
      </c>
      <c r="Q785" s="26">
        <v>0.92370295015259396</v>
      </c>
      <c r="R785" s="26">
        <v>0.94732582947105104</v>
      </c>
      <c r="S785" s="28">
        <v>0.9</v>
      </c>
      <c r="T785" s="26">
        <v>0.914221218961625</v>
      </c>
      <c r="U785" s="26">
        <v>0.90974358974359004</v>
      </c>
      <c r="V785" s="26">
        <v>0.92166836215666303</v>
      </c>
      <c r="W785" s="26">
        <v>0.90134628117413396</v>
      </c>
      <c r="X785" s="28">
        <v>0.92</v>
      </c>
      <c r="Y785" s="28">
        <v>0.90535714285714297</v>
      </c>
      <c r="Z785" s="28">
        <v>0.914367269267364</v>
      </c>
      <c r="AA785" s="28">
        <v>0.87565674255691806</v>
      </c>
      <c r="AB785" s="28">
        <v>0.89730015881418701</v>
      </c>
      <c r="AC785" s="28">
        <v>0.92</v>
      </c>
      <c r="AD785" s="26">
        <v>0.98685228151585502</v>
      </c>
      <c r="AE785" s="26">
        <v>0.97512437810945296</v>
      </c>
      <c r="AF785" s="26">
        <v>0.99158147925436002</v>
      </c>
      <c r="AG785" s="26">
        <v>0.98707885521072303</v>
      </c>
      <c r="AH785" s="28">
        <v>0.92</v>
      </c>
      <c r="AI785" s="26">
        <v>0.95405153678981702</v>
      </c>
      <c r="AJ785" s="26">
        <v>0.95074139230962595</v>
      </c>
      <c r="AK785" s="26">
        <v>0.92926045016077197</v>
      </c>
      <c r="AL785" s="26">
        <v>0.94714745801702305</v>
      </c>
      <c r="AM785" s="25">
        <v>0.99</v>
      </c>
      <c r="AN785" s="30">
        <v>1</v>
      </c>
      <c r="AO785" s="30">
        <v>1</v>
      </c>
      <c r="AP785" s="30">
        <v>1</v>
      </c>
      <c r="AQ785" s="30">
        <v>1</v>
      </c>
      <c r="AR785" s="50">
        <v>8.1059522893420499E-2</v>
      </c>
      <c r="AS785" s="34">
        <v>0</v>
      </c>
      <c r="AT785" s="34">
        <v>0.15384615384615399</v>
      </c>
      <c r="AU785" s="34">
        <v>0</v>
      </c>
      <c r="AV785" s="34">
        <v>7.1428571428571397E-2</v>
      </c>
      <c r="AW785" s="10"/>
      <c r="AX785" s="8"/>
    </row>
    <row r="786" spans="1:50">
      <c r="A786" s="7"/>
      <c r="B786" s="10"/>
      <c r="C786" s="45" t="s">
        <v>688</v>
      </c>
      <c r="D786" s="23" t="s">
        <v>21</v>
      </c>
      <c r="E786" s="68" t="s">
        <v>832</v>
      </c>
      <c r="F786" s="68" t="s">
        <v>832</v>
      </c>
      <c r="G786" s="68" t="s">
        <v>832</v>
      </c>
      <c r="H786" s="68" t="s">
        <v>832</v>
      </c>
      <c r="I786" s="25">
        <v>0.9</v>
      </c>
      <c r="J786" s="26">
        <v>0.94285714285714295</v>
      </c>
      <c r="K786" s="26">
        <v>0.97222222222222199</v>
      </c>
      <c r="L786" s="27">
        <v>1</v>
      </c>
      <c r="M786" s="26">
        <v>0.93684210526315803</v>
      </c>
      <c r="N786" s="28">
        <v>0.9</v>
      </c>
      <c r="O786" s="26">
        <v>0.96593026350811795</v>
      </c>
      <c r="P786" s="26">
        <v>0.95320255258804099</v>
      </c>
      <c r="Q786" s="26">
        <v>0.94989414255469296</v>
      </c>
      <c r="R786" s="26">
        <v>0.95067531064289601</v>
      </c>
      <c r="S786" s="28">
        <v>0.9</v>
      </c>
      <c r="T786" s="26">
        <v>0.94037796113920702</v>
      </c>
      <c r="U786" s="26">
        <v>0.93358544079413897</v>
      </c>
      <c r="V786" s="26">
        <v>0.92519407198306303</v>
      </c>
      <c r="W786" s="26">
        <v>0.92458130740140498</v>
      </c>
      <c r="X786" s="28">
        <v>0.92</v>
      </c>
      <c r="Y786" s="28">
        <v>0.94326241134751798</v>
      </c>
      <c r="Z786" s="28">
        <v>0.91706979958534895</v>
      </c>
      <c r="AA786" s="28">
        <v>0.93342210386151803</v>
      </c>
      <c r="AB786" s="28">
        <v>0.91681994686286505</v>
      </c>
      <c r="AC786" s="28">
        <v>0.92</v>
      </c>
      <c r="AD786" s="26">
        <v>0.99896907216494801</v>
      </c>
      <c r="AE786" s="26">
        <v>0.99294117647058799</v>
      </c>
      <c r="AF786" s="26">
        <v>0.98487394957983199</v>
      </c>
      <c r="AG786" s="26">
        <v>0.99239914246735506</v>
      </c>
      <c r="AH786" s="28">
        <v>0.92</v>
      </c>
      <c r="AI786" s="26">
        <v>0.97132927888792397</v>
      </c>
      <c r="AJ786" s="26">
        <v>0.95634571378278499</v>
      </c>
      <c r="AK786" s="26">
        <v>0.95483870967741902</v>
      </c>
      <c r="AL786" s="26">
        <v>0.95778251599147102</v>
      </c>
      <c r="AM786" s="25">
        <v>0.99</v>
      </c>
      <c r="AN786" s="30">
        <v>1</v>
      </c>
      <c r="AO786" s="30">
        <v>1</v>
      </c>
      <c r="AP786" s="30">
        <v>1</v>
      </c>
      <c r="AQ786" s="30">
        <v>1</v>
      </c>
      <c r="AR786" s="50">
        <v>8.1059522893420499E-2</v>
      </c>
      <c r="AS786" s="34">
        <v>0</v>
      </c>
      <c r="AT786" s="34">
        <v>0</v>
      </c>
      <c r="AU786" s="34">
        <v>0</v>
      </c>
      <c r="AV786" s="34">
        <v>3.03030303030303E-2</v>
      </c>
      <c r="AW786" s="10"/>
      <c r="AX786" s="8"/>
    </row>
    <row r="787" spans="1:50">
      <c r="A787" s="7"/>
      <c r="B787" s="10"/>
      <c r="C787" s="45" t="s">
        <v>688</v>
      </c>
      <c r="D787" s="23" t="s">
        <v>21</v>
      </c>
      <c r="E787" s="68" t="s">
        <v>833</v>
      </c>
      <c r="F787" s="68" t="s">
        <v>833</v>
      </c>
      <c r="G787" s="68" t="s">
        <v>833</v>
      </c>
      <c r="H787" s="68" t="s">
        <v>833</v>
      </c>
      <c r="I787" s="25">
        <v>0.9</v>
      </c>
      <c r="J787" s="26">
        <v>0.8</v>
      </c>
      <c r="K787" s="26">
        <v>0.75</v>
      </c>
      <c r="L787" s="27">
        <v>0.79310344827586199</v>
      </c>
      <c r="M787" s="26">
        <v>0.82222222222222197</v>
      </c>
      <c r="N787" s="28">
        <v>0.9</v>
      </c>
      <c r="O787" s="26">
        <v>0.93466666666666698</v>
      </c>
      <c r="P787" s="26">
        <v>0.95838587641866302</v>
      </c>
      <c r="Q787" s="26">
        <v>0.95042095416276895</v>
      </c>
      <c r="R787" s="26">
        <v>0.94878994517983695</v>
      </c>
      <c r="S787" s="28">
        <v>0.9</v>
      </c>
      <c r="T787" s="26">
        <v>0.91700000000000004</v>
      </c>
      <c r="U787" s="26">
        <v>0.94325346784363195</v>
      </c>
      <c r="V787" s="26">
        <v>0.91768007483629599</v>
      </c>
      <c r="W787" s="26">
        <v>0.929068057226902</v>
      </c>
      <c r="X787" s="28">
        <v>0.92</v>
      </c>
      <c r="Y787" s="28">
        <v>0.93597560975609795</v>
      </c>
      <c r="Z787" s="28">
        <v>0.93500000000000005</v>
      </c>
      <c r="AA787" s="28">
        <v>0.95827123695976202</v>
      </c>
      <c r="AB787" s="28">
        <v>0.94099670897978405</v>
      </c>
      <c r="AC787" s="28">
        <v>0.92</v>
      </c>
      <c r="AD787" s="26">
        <v>0.99264705882352899</v>
      </c>
      <c r="AE787" s="26">
        <v>0.99132589838909502</v>
      </c>
      <c r="AF787" s="26">
        <v>0.99838056680161902</v>
      </c>
      <c r="AG787" s="26">
        <v>0.99403747870528103</v>
      </c>
      <c r="AH787" s="28">
        <v>0.92</v>
      </c>
      <c r="AI787" s="26">
        <v>0.95058695058695097</v>
      </c>
      <c r="AJ787" s="26">
        <v>0.95871350364963503</v>
      </c>
      <c r="AK787" s="26">
        <v>0.94776119402985104</v>
      </c>
      <c r="AL787" s="26">
        <v>0.95352947291818302</v>
      </c>
      <c r="AM787" s="25">
        <v>0.99</v>
      </c>
      <c r="AN787" s="30">
        <v>1</v>
      </c>
      <c r="AO787" s="30">
        <v>1</v>
      </c>
      <c r="AP787" s="30">
        <v>1</v>
      </c>
      <c r="AQ787" s="30">
        <v>1</v>
      </c>
      <c r="AR787" s="50">
        <v>8.1059522893420499E-2</v>
      </c>
      <c r="AS787" s="34">
        <v>0</v>
      </c>
      <c r="AT787" s="34">
        <v>0</v>
      </c>
      <c r="AU787" s="34">
        <v>0.25</v>
      </c>
      <c r="AV787" s="34">
        <v>5.5555555555555601E-2</v>
      </c>
      <c r="AW787" s="10"/>
      <c r="AX787" s="8"/>
    </row>
    <row r="788" spans="1:50">
      <c r="A788" s="7"/>
      <c r="B788" s="10"/>
      <c r="C788" s="45" t="s">
        <v>688</v>
      </c>
      <c r="D788" s="23" t="s">
        <v>21</v>
      </c>
      <c r="E788" s="68" t="s">
        <v>834</v>
      </c>
      <c r="F788" s="68" t="s">
        <v>834</v>
      </c>
      <c r="G788" s="68" t="s">
        <v>834</v>
      </c>
      <c r="H788" s="68" t="s">
        <v>834</v>
      </c>
      <c r="I788" s="25">
        <v>0.9</v>
      </c>
      <c r="J788" s="26">
        <v>0.967741935483871</v>
      </c>
      <c r="K788" s="26">
        <v>0.90322580645161299</v>
      </c>
      <c r="L788" s="27">
        <v>1</v>
      </c>
      <c r="M788" s="26">
        <v>0.92777777777777803</v>
      </c>
      <c r="N788" s="28">
        <v>0.9</v>
      </c>
      <c r="O788" s="26">
        <v>0.91321585903083702</v>
      </c>
      <c r="P788" s="26">
        <v>0.93890938909389099</v>
      </c>
      <c r="Q788" s="26">
        <v>0.94993894993895001</v>
      </c>
      <c r="R788" s="26">
        <v>0.93385179225887205</v>
      </c>
      <c r="S788" s="28">
        <v>0.9</v>
      </c>
      <c r="T788" s="26">
        <v>0.85770925110132201</v>
      </c>
      <c r="U788" s="26">
        <v>0.83886838868388702</v>
      </c>
      <c r="V788" s="26">
        <v>0.88034188034187999</v>
      </c>
      <c r="W788" s="26">
        <v>0.87279878430320901</v>
      </c>
      <c r="X788" s="28">
        <v>0.92</v>
      </c>
      <c r="Y788" s="28">
        <v>0.91964285714285698</v>
      </c>
      <c r="Z788" s="28">
        <v>0.9</v>
      </c>
      <c r="AA788" s="28">
        <v>0.9149377593361</v>
      </c>
      <c r="AB788" s="28">
        <v>0.90869996692027799</v>
      </c>
      <c r="AC788" s="28">
        <v>0.92</v>
      </c>
      <c r="AD788" s="26">
        <v>0.99642431466031001</v>
      </c>
      <c r="AE788" s="26">
        <v>0.99548532731377004</v>
      </c>
      <c r="AF788" s="26">
        <v>0.99355432780847097</v>
      </c>
      <c r="AG788" s="26">
        <v>0.99548311076198004</v>
      </c>
      <c r="AH788" s="28">
        <v>0.92</v>
      </c>
      <c r="AI788" s="26">
        <v>0.95735294117647096</v>
      </c>
      <c r="AJ788" s="26">
        <v>0.95087932080048498</v>
      </c>
      <c r="AK788" s="26">
        <v>0.94004611837048402</v>
      </c>
      <c r="AL788" s="26">
        <v>0.95367962325156397</v>
      </c>
      <c r="AM788" s="25">
        <v>0.99</v>
      </c>
      <c r="AN788" s="30">
        <v>1</v>
      </c>
      <c r="AO788" s="30">
        <v>1</v>
      </c>
      <c r="AP788" s="30">
        <v>1</v>
      </c>
      <c r="AQ788" s="30">
        <v>1</v>
      </c>
      <c r="AR788" s="50">
        <v>8.1059522893420499E-2</v>
      </c>
      <c r="AS788" s="34">
        <v>0.11111111111111099</v>
      </c>
      <c r="AT788" s="34">
        <v>0</v>
      </c>
      <c r="AU788" s="34">
        <v>0</v>
      </c>
      <c r="AV788" s="34">
        <v>6.5217391304347797E-2</v>
      </c>
      <c r="AW788" s="10"/>
      <c r="AX788" s="8"/>
    </row>
    <row r="789" spans="1:50">
      <c r="A789" s="7"/>
      <c r="B789" s="10"/>
      <c r="C789" s="45" t="s">
        <v>688</v>
      </c>
      <c r="D789" s="23" t="s">
        <v>21</v>
      </c>
      <c r="E789" s="68" t="s">
        <v>835</v>
      </c>
      <c r="F789" s="68" t="s">
        <v>835</v>
      </c>
      <c r="G789" s="68" t="s">
        <v>835</v>
      </c>
      <c r="H789" s="68" t="s">
        <v>835</v>
      </c>
      <c r="I789" s="25">
        <v>0.9</v>
      </c>
      <c r="J789" s="26">
        <v>0.94117647058823495</v>
      </c>
      <c r="K789" s="26">
        <v>0.83333333333333304</v>
      </c>
      <c r="L789" s="27">
        <v>1</v>
      </c>
      <c r="M789" s="26">
        <v>0.89847715736040601</v>
      </c>
      <c r="N789" s="28">
        <v>0.9</v>
      </c>
      <c r="O789" s="26">
        <v>0.92207446808510596</v>
      </c>
      <c r="P789" s="26">
        <v>0.95535285645703305</v>
      </c>
      <c r="Q789" s="26">
        <v>0.92628443782576297</v>
      </c>
      <c r="R789" s="26">
        <v>0.943089884505942</v>
      </c>
      <c r="S789" s="28">
        <v>0.9</v>
      </c>
      <c r="T789" s="26">
        <v>0.91888297872340396</v>
      </c>
      <c r="U789" s="26">
        <v>0.94143062890062401</v>
      </c>
      <c r="V789" s="26">
        <v>0.93373045420699896</v>
      </c>
      <c r="W789" s="26">
        <v>0.93499972102884599</v>
      </c>
      <c r="X789" s="28">
        <v>0.92</v>
      </c>
      <c r="Y789" s="28">
        <v>0.92500000000000004</v>
      </c>
      <c r="Z789" s="28">
        <v>0.94715111478117298</v>
      </c>
      <c r="AA789" s="28">
        <v>0.95058139534883701</v>
      </c>
      <c r="AB789" s="28">
        <v>0.94456521739130395</v>
      </c>
      <c r="AC789" s="28">
        <v>0.92</v>
      </c>
      <c r="AD789" s="26">
        <v>0.99874213836477999</v>
      </c>
      <c r="AE789" s="26">
        <v>0.994746059544658</v>
      </c>
      <c r="AF789" s="26">
        <v>0.99617956064947499</v>
      </c>
      <c r="AG789" s="26">
        <v>0.99559082892416195</v>
      </c>
      <c r="AH789" s="28">
        <v>0.92</v>
      </c>
      <c r="AI789" s="26">
        <v>0.96052631578947401</v>
      </c>
      <c r="AJ789" s="26">
        <v>0.97806283695854201</v>
      </c>
      <c r="AK789" s="26">
        <v>0.963600590260698</v>
      </c>
      <c r="AL789" s="26">
        <v>0.97083888149134501</v>
      </c>
      <c r="AM789" s="25">
        <v>0.99</v>
      </c>
      <c r="AN789" s="30">
        <v>1</v>
      </c>
      <c r="AO789" s="30">
        <v>1</v>
      </c>
      <c r="AP789" s="30">
        <v>1</v>
      </c>
      <c r="AQ789" s="30">
        <v>1</v>
      </c>
      <c r="AR789" s="50">
        <v>8.1059522893420499E-2</v>
      </c>
      <c r="AS789" s="34">
        <v>-5.2631578947368397E-2</v>
      </c>
      <c r="AT789" s="34">
        <v>0.05</v>
      </c>
      <c r="AU789" s="34">
        <v>0</v>
      </c>
      <c r="AV789" s="34">
        <v>0</v>
      </c>
      <c r="AW789" s="10"/>
      <c r="AX789" s="8"/>
    </row>
    <row r="790" spans="1:50">
      <c r="A790" s="7"/>
      <c r="B790" s="10"/>
      <c r="C790" s="45" t="s">
        <v>688</v>
      </c>
      <c r="D790" s="23" t="s">
        <v>21</v>
      </c>
      <c r="E790" s="68" t="s">
        <v>836</v>
      </c>
      <c r="F790" s="68" t="s">
        <v>836</v>
      </c>
      <c r="G790" s="68" t="s">
        <v>836</v>
      </c>
      <c r="H790" s="68" t="s">
        <v>836</v>
      </c>
      <c r="I790" s="25">
        <v>0.9</v>
      </c>
      <c r="J790" s="26">
        <v>0.71428571428571397</v>
      </c>
      <c r="K790" s="26">
        <v>0.75675675675675702</v>
      </c>
      <c r="L790" s="27">
        <v>0.84615384615384603</v>
      </c>
      <c r="M790" s="26">
        <v>0.734375</v>
      </c>
      <c r="N790" s="28">
        <v>0.9</v>
      </c>
      <c r="O790" s="26">
        <v>0.96476510067114096</v>
      </c>
      <c r="P790" s="26">
        <v>0.923654871546292</v>
      </c>
      <c r="Q790" s="26">
        <v>0.94840667678300405</v>
      </c>
      <c r="R790" s="26">
        <v>0.94058531198232997</v>
      </c>
      <c r="S790" s="28">
        <v>0.9</v>
      </c>
      <c r="T790" s="26">
        <v>0.91890380313199105</v>
      </c>
      <c r="U790" s="26">
        <v>0.88390693165293299</v>
      </c>
      <c r="V790" s="26">
        <v>0.89908952959028798</v>
      </c>
      <c r="W790" s="26">
        <v>0.90944229707344004</v>
      </c>
      <c r="X790" s="28">
        <v>0.92</v>
      </c>
      <c r="Y790" s="28">
        <v>0.92207792207792205</v>
      </c>
      <c r="Z790" s="28">
        <v>0.90071942446043196</v>
      </c>
      <c r="AA790" s="28">
        <v>0.93757649938800502</v>
      </c>
      <c r="AB790" s="28">
        <v>0.91793130990415295</v>
      </c>
      <c r="AC790" s="28">
        <v>0.92</v>
      </c>
      <c r="AD790" s="26">
        <v>0.99403874813710902</v>
      </c>
      <c r="AE790" s="26">
        <v>0.99434389140271495</v>
      </c>
      <c r="AF790" s="26">
        <v>0.82527565733672603</v>
      </c>
      <c r="AG790" s="26">
        <v>0.95722639933166298</v>
      </c>
      <c r="AH790" s="28">
        <v>0.92</v>
      </c>
      <c r="AI790" s="26">
        <v>0.950563347896068</v>
      </c>
      <c r="AJ790" s="26">
        <v>0.93765857194635704</v>
      </c>
      <c r="AK790" s="26">
        <v>0.95131086142322097</v>
      </c>
      <c r="AL790" s="26">
        <v>0.95067012537829698</v>
      </c>
      <c r="AM790" s="25">
        <v>0.99</v>
      </c>
      <c r="AN790" s="30">
        <v>1</v>
      </c>
      <c r="AO790" s="30">
        <v>1</v>
      </c>
      <c r="AP790" s="30">
        <v>1</v>
      </c>
      <c r="AQ790" s="30">
        <v>1</v>
      </c>
      <c r="AR790" s="50">
        <v>8.1059522893420499E-2</v>
      </c>
      <c r="AS790" s="34">
        <v>6.6666666666666693E-2</v>
      </c>
      <c r="AT790" s="34">
        <v>0.05</v>
      </c>
      <c r="AU790" s="34">
        <v>0</v>
      </c>
      <c r="AV790" s="34">
        <v>3.6144578313252997E-2</v>
      </c>
      <c r="AW790" s="10"/>
      <c r="AX790" s="8"/>
    </row>
    <row r="791" spans="1:50">
      <c r="A791" s="7"/>
      <c r="B791" s="10"/>
      <c r="C791" s="45" t="s">
        <v>688</v>
      </c>
      <c r="D791" s="23" t="s">
        <v>21</v>
      </c>
      <c r="E791" s="68" t="s">
        <v>837</v>
      </c>
      <c r="F791" s="68" t="s">
        <v>837</v>
      </c>
      <c r="G791" s="68" t="s">
        <v>837</v>
      </c>
      <c r="H791" s="68" t="s">
        <v>837</v>
      </c>
      <c r="I791" s="25">
        <v>0.9</v>
      </c>
      <c r="J791" s="26">
        <v>0.68181818181818199</v>
      </c>
      <c r="K791" s="26">
        <v>0.71428571428571397</v>
      </c>
      <c r="L791" s="27">
        <v>0.65</v>
      </c>
      <c r="M791" s="26">
        <v>0.68799999999999994</v>
      </c>
      <c r="N791" s="28">
        <v>0.9</v>
      </c>
      <c r="O791" s="26">
        <v>0.94170595799399903</v>
      </c>
      <c r="P791" s="26">
        <v>0.95052590572652895</v>
      </c>
      <c r="Q791" s="26">
        <v>0.91294885745375398</v>
      </c>
      <c r="R791" s="26">
        <v>0.927705773438815</v>
      </c>
      <c r="S791" s="28">
        <v>0.9</v>
      </c>
      <c r="T791" s="26">
        <v>0.92027432490355798</v>
      </c>
      <c r="U791" s="26">
        <v>0.94000779119594902</v>
      </c>
      <c r="V791" s="26">
        <v>0.90206746463547305</v>
      </c>
      <c r="W791" s="26">
        <v>0.93081972731863305</v>
      </c>
      <c r="X791" s="28">
        <v>0.92</v>
      </c>
      <c r="Y791" s="28">
        <v>0.96125461254612499</v>
      </c>
      <c r="Z791" s="28">
        <v>0.92880978865406005</v>
      </c>
      <c r="AA791" s="28">
        <v>0.94897959183673497</v>
      </c>
      <c r="AB791" s="28">
        <v>0.93703473945409399</v>
      </c>
      <c r="AC791" s="28">
        <v>0.92</v>
      </c>
      <c r="AD791" s="26">
        <v>0.99494097807757198</v>
      </c>
      <c r="AE791" s="26">
        <v>0.99843627834245496</v>
      </c>
      <c r="AF791" s="26">
        <v>0.99731182795698903</v>
      </c>
      <c r="AG791" s="26">
        <v>0.99760319573901501</v>
      </c>
      <c r="AH791" s="28">
        <v>0.92</v>
      </c>
      <c r="AI791" s="26">
        <v>0.96973913043478299</v>
      </c>
      <c r="AJ791" s="26">
        <v>0.96797461050202005</v>
      </c>
      <c r="AK791" s="26">
        <v>0.96380411639460595</v>
      </c>
      <c r="AL791" s="26">
        <v>0.96345822851846996</v>
      </c>
      <c r="AM791" s="25">
        <v>0.99</v>
      </c>
      <c r="AN791" s="30">
        <v>1</v>
      </c>
      <c r="AO791" s="30">
        <v>1</v>
      </c>
      <c r="AP791" s="30">
        <v>1</v>
      </c>
      <c r="AQ791" s="30">
        <v>1</v>
      </c>
      <c r="AR791" s="50">
        <v>8.1059522893420499E-2</v>
      </c>
      <c r="AS791" s="34">
        <v>-0.1</v>
      </c>
      <c r="AT791" s="34">
        <v>0</v>
      </c>
      <c r="AU791" s="34">
        <v>0</v>
      </c>
      <c r="AV791" s="34">
        <v>-2.1739130434782601E-2</v>
      </c>
      <c r="AW791" s="10"/>
      <c r="AX791" s="8"/>
    </row>
    <row r="792" spans="1:50">
      <c r="A792" s="7"/>
      <c r="B792" s="10"/>
      <c r="C792" s="45" t="s">
        <v>688</v>
      </c>
      <c r="D792" s="23" t="s">
        <v>21</v>
      </c>
      <c r="E792" s="68" t="s">
        <v>838</v>
      </c>
      <c r="F792" s="68" t="s">
        <v>838</v>
      </c>
      <c r="G792" s="68" t="s">
        <v>838</v>
      </c>
      <c r="H792" s="68" t="s">
        <v>838</v>
      </c>
      <c r="I792" s="25">
        <v>0.9</v>
      </c>
      <c r="J792" s="26">
        <v>0.85</v>
      </c>
      <c r="K792" s="26">
        <v>0.95454545454545503</v>
      </c>
      <c r="L792" s="27">
        <v>0.75</v>
      </c>
      <c r="M792" s="26">
        <v>0.85950413223140498</v>
      </c>
      <c r="N792" s="28">
        <v>0.9</v>
      </c>
      <c r="O792" s="26">
        <v>0.93014059753954303</v>
      </c>
      <c r="P792" s="26">
        <v>0.94540942928039695</v>
      </c>
      <c r="Q792" s="26">
        <v>0.94874851013110895</v>
      </c>
      <c r="R792" s="26">
        <v>0.94827740492169998</v>
      </c>
      <c r="S792" s="28">
        <v>0.9</v>
      </c>
      <c r="T792" s="26">
        <v>0.89630931458699503</v>
      </c>
      <c r="U792" s="26">
        <v>0.94003308519437601</v>
      </c>
      <c r="V792" s="26">
        <v>0.93444576877234797</v>
      </c>
      <c r="W792" s="26">
        <v>0.93082774049216999</v>
      </c>
      <c r="X792" s="28">
        <v>0.92</v>
      </c>
      <c r="Y792" s="28">
        <v>0.88461538461538503</v>
      </c>
      <c r="Z792" s="28">
        <v>0.89930555555555602</v>
      </c>
      <c r="AA792" s="28">
        <v>0.907407407407407</v>
      </c>
      <c r="AB792" s="28">
        <v>0.904640813731723</v>
      </c>
      <c r="AC792" s="28">
        <v>0.92</v>
      </c>
      <c r="AD792" s="26">
        <v>0.99439252336448603</v>
      </c>
      <c r="AE792" s="26">
        <v>1</v>
      </c>
      <c r="AF792" s="26">
        <v>1</v>
      </c>
      <c r="AG792" s="26">
        <v>0.99629743906201795</v>
      </c>
      <c r="AH792" s="28">
        <v>0.92</v>
      </c>
      <c r="AI792" s="26">
        <v>0.923187883159034</v>
      </c>
      <c r="AJ792" s="26">
        <v>0.95460085313832999</v>
      </c>
      <c r="AK792" s="26">
        <v>0.94649881982690798</v>
      </c>
      <c r="AL792" s="26">
        <v>0.94966841186736495</v>
      </c>
      <c r="AM792" s="25">
        <v>0.99</v>
      </c>
      <c r="AN792" s="30">
        <v>1</v>
      </c>
      <c r="AO792" s="30">
        <v>1</v>
      </c>
      <c r="AP792" s="30">
        <v>1</v>
      </c>
      <c r="AQ792" s="30">
        <v>1</v>
      </c>
      <c r="AR792" s="50">
        <v>8.1059522893420499E-2</v>
      </c>
      <c r="AS792" s="34">
        <v>-0.25</v>
      </c>
      <c r="AT792" s="34">
        <v>0</v>
      </c>
      <c r="AU792" s="34">
        <v>0</v>
      </c>
      <c r="AV792" s="34">
        <v>2.0833333333333301E-2</v>
      </c>
      <c r="AW792" s="10"/>
      <c r="AX792" s="8"/>
    </row>
    <row r="793" spans="1:50">
      <c r="A793" s="7"/>
      <c r="B793" s="10"/>
      <c r="C793" s="45" t="s">
        <v>688</v>
      </c>
      <c r="D793" s="23" t="s">
        <v>21</v>
      </c>
      <c r="E793" s="68" t="s">
        <v>839</v>
      </c>
      <c r="F793" s="68" t="s">
        <v>839</v>
      </c>
      <c r="G793" s="68" t="s">
        <v>839</v>
      </c>
      <c r="H793" s="68" t="s">
        <v>839</v>
      </c>
      <c r="I793" s="25">
        <v>0.9</v>
      </c>
      <c r="J793" s="26">
        <v>0.92</v>
      </c>
      <c r="K793" s="26">
        <v>0.88</v>
      </c>
      <c r="L793" s="27">
        <v>0.94117647058823495</v>
      </c>
      <c r="M793" s="26">
        <v>0.91970802919707995</v>
      </c>
      <c r="N793" s="28">
        <v>0.9</v>
      </c>
      <c r="O793" s="26">
        <v>0.94590909090909103</v>
      </c>
      <c r="P793" s="26">
        <v>0.94254230617866996</v>
      </c>
      <c r="Q793" s="26">
        <v>0.94687131050767404</v>
      </c>
      <c r="R793" s="26">
        <v>0.93529929577464799</v>
      </c>
      <c r="S793" s="28">
        <v>0.9</v>
      </c>
      <c r="T793" s="26">
        <v>0.90727272727272701</v>
      </c>
      <c r="U793" s="26">
        <v>0.92089728453364805</v>
      </c>
      <c r="V793" s="26">
        <v>0.92207792207792205</v>
      </c>
      <c r="W793" s="26">
        <v>0.910035211267606</v>
      </c>
      <c r="X793" s="28">
        <v>0.92</v>
      </c>
      <c r="Y793" s="28">
        <v>0.93638170974155099</v>
      </c>
      <c r="Z793" s="28">
        <v>0.92061611374407604</v>
      </c>
      <c r="AA793" s="28">
        <v>0.93456032719836402</v>
      </c>
      <c r="AB793" s="28">
        <v>0.91685179308156095</v>
      </c>
      <c r="AC793" s="28">
        <v>0.92</v>
      </c>
      <c r="AD793" s="26">
        <v>0.99323308270676702</v>
      </c>
      <c r="AE793" s="26">
        <v>0.99316239316239296</v>
      </c>
      <c r="AF793" s="26">
        <v>0.99373433583959903</v>
      </c>
      <c r="AG793" s="26">
        <v>0.99272833042466502</v>
      </c>
      <c r="AH793" s="28">
        <v>0.92</v>
      </c>
      <c r="AI793" s="26">
        <v>0.92748797632260405</v>
      </c>
      <c r="AJ793" s="26">
        <v>0.94628099173553704</v>
      </c>
      <c r="AK793" s="26">
        <v>0.94846900672143397</v>
      </c>
      <c r="AL793" s="26">
        <v>0.93801225979750702</v>
      </c>
      <c r="AM793" s="25">
        <v>0.99</v>
      </c>
      <c r="AN793" s="30">
        <v>1</v>
      </c>
      <c r="AO793" s="30">
        <v>1</v>
      </c>
      <c r="AP793" s="30">
        <v>1</v>
      </c>
      <c r="AQ793" s="30">
        <v>1</v>
      </c>
      <c r="AR793" s="50">
        <v>8.1059522893420499E-2</v>
      </c>
      <c r="AS793" s="34">
        <v>0.11111111111111099</v>
      </c>
      <c r="AT793" s="34">
        <v>0</v>
      </c>
      <c r="AU793" s="34">
        <v>0</v>
      </c>
      <c r="AV793" s="34">
        <v>2.7027027027027001E-2</v>
      </c>
      <c r="AW793" s="10"/>
      <c r="AX793" s="8"/>
    </row>
    <row r="794" spans="1:50">
      <c r="A794" s="7"/>
      <c r="B794" s="10"/>
      <c r="C794" s="45" t="s">
        <v>688</v>
      </c>
      <c r="D794" s="23" t="s">
        <v>21</v>
      </c>
      <c r="E794" s="68" t="s">
        <v>840</v>
      </c>
      <c r="F794" s="68" t="s">
        <v>840</v>
      </c>
      <c r="G794" s="68" t="s">
        <v>840</v>
      </c>
      <c r="H794" s="68" t="s">
        <v>840</v>
      </c>
      <c r="I794" s="25">
        <v>0.9</v>
      </c>
      <c r="J794" s="26">
        <v>0.78125</v>
      </c>
      <c r="K794" s="26">
        <v>0.78787878787878796</v>
      </c>
      <c r="L794" s="27">
        <v>0.81818181818181801</v>
      </c>
      <c r="M794" s="26">
        <v>0.78409090909090895</v>
      </c>
      <c r="N794" s="28">
        <v>0.9</v>
      </c>
      <c r="O794" s="26">
        <v>0.94308426073132001</v>
      </c>
      <c r="P794" s="26">
        <v>0.954613317408182</v>
      </c>
      <c r="Q794" s="26">
        <v>0.96804835924006905</v>
      </c>
      <c r="R794" s="26">
        <v>0.95507960576194095</v>
      </c>
      <c r="S794" s="28">
        <v>0.9</v>
      </c>
      <c r="T794" s="26">
        <v>0.89284578696343397</v>
      </c>
      <c r="U794" s="26">
        <v>0.91997611227232001</v>
      </c>
      <c r="V794" s="26">
        <v>0.90500863557858402</v>
      </c>
      <c r="W794" s="26">
        <v>0.91786707101339404</v>
      </c>
      <c r="X794" s="28">
        <v>0.92</v>
      </c>
      <c r="Y794" s="28">
        <v>0.92197452229299404</v>
      </c>
      <c r="Z794" s="28">
        <v>0.89874476987447705</v>
      </c>
      <c r="AA794" s="28">
        <v>0.81938325991189398</v>
      </c>
      <c r="AB794" s="28">
        <v>0.89353701527614604</v>
      </c>
      <c r="AC794" s="28">
        <v>0.92</v>
      </c>
      <c r="AD794" s="26">
        <v>0.99742930591259604</v>
      </c>
      <c r="AE794" s="26">
        <v>0.99509803921568596</v>
      </c>
      <c r="AF794" s="26">
        <v>0.99710144927536204</v>
      </c>
      <c r="AG794" s="26">
        <v>0.99521707137601201</v>
      </c>
      <c r="AH794" s="28">
        <v>0.92</v>
      </c>
      <c r="AI794" s="26">
        <v>0.95202756427246205</v>
      </c>
      <c r="AJ794" s="26">
        <v>0.95732512098548195</v>
      </c>
      <c r="AK794" s="26">
        <v>0.91299619358346895</v>
      </c>
      <c r="AL794" s="26">
        <v>0.95638970478418905</v>
      </c>
      <c r="AM794" s="25">
        <v>0.99</v>
      </c>
      <c r="AN794" s="30">
        <v>1</v>
      </c>
      <c r="AO794" s="30">
        <v>1</v>
      </c>
      <c r="AP794" s="30">
        <v>1</v>
      </c>
      <c r="AQ794" s="30">
        <v>1</v>
      </c>
      <c r="AR794" s="50">
        <v>8.1059522893420499E-2</v>
      </c>
      <c r="AS794" s="34">
        <v>0.21052631578947401</v>
      </c>
      <c r="AT794" s="34">
        <v>0</v>
      </c>
      <c r="AU794" s="34">
        <v>0.33333333333333298</v>
      </c>
      <c r="AV794" s="34">
        <v>9.0909090909090898E-2</v>
      </c>
      <c r="AW794" s="10"/>
      <c r="AX794" s="8"/>
    </row>
    <row r="795" spans="1:50">
      <c r="A795" s="7"/>
      <c r="B795" s="10"/>
      <c r="C795" s="45" t="s">
        <v>688</v>
      </c>
      <c r="D795" s="23" t="s">
        <v>21</v>
      </c>
      <c r="E795" s="68" t="s">
        <v>841</v>
      </c>
      <c r="F795" s="68" t="s">
        <v>841</v>
      </c>
      <c r="G795" s="68" t="s">
        <v>841</v>
      </c>
      <c r="H795" s="68" t="s">
        <v>841</v>
      </c>
      <c r="I795" s="25">
        <v>0.9</v>
      </c>
      <c r="J795" s="26">
        <v>0.91304347826086996</v>
      </c>
      <c r="K795" s="26">
        <v>0.91304347826086996</v>
      </c>
      <c r="L795" s="27">
        <v>1</v>
      </c>
      <c r="M795" s="26">
        <v>0.90076335877862601</v>
      </c>
      <c r="N795" s="28">
        <v>0.9</v>
      </c>
      <c r="O795" s="26">
        <v>0.92072630646589904</v>
      </c>
      <c r="P795" s="26">
        <v>0.91542678151918599</v>
      </c>
      <c r="Q795" s="26">
        <v>0.90605686032138399</v>
      </c>
      <c r="R795" s="26">
        <v>0.92205074548783705</v>
      </c>
      <c r="S795" s="28">
        <v>0.9</v>
      </c>
      <c r="T795" s="26">
        <v>0.89459698848538505</v>
      </c>
      <c r="U795" s="26">
        <v>0.89702427564604503</v>
      </c>
      <c r="V795" s="26">
        <v>0.88257107540173096</v>
      </c>
      <c r="W795" s="26">
        <v>0.90304298543900996</v>
      </c>
      <c r="X795" s="28">
        <v>0.92</v>
      </c>
      <c r="Y795" s="28">
        <v>0.87975951903807603</v>
      </c>
      <c r="Z795" s="28">
        <v>0.85079726651480603</v>
      </c>
      <c r="AA795" s="28">
        <v>0.87804878048780499</v>
      </c>
      <c r="AB795" s="28">
        <v>0.88375000000000004</v>
      </c>
      <c r="AC795" s="28">
        <v>0.92</v>
      </c>
      <c r="AD795" s="26">
        <v>0.97625698324022303</v>
      </c>
      <c r="AE795" s="26">
        <v>0.9765625</v>
      </c>
      <c r="AF795" s="26">
        <v>0.99805825242718404</v>
      </c>
      <c r="AG795" s="26">
        <v>0.99152930402930395</v>
      </c>
      <c r="AH795" s="28">
        <v>0.92</v>
      </c>
      <c r="AI795" s="26">
        <v>0.93763596809282101</v>
      </c>
      <c r="AJ795" s="26">
        <v>0.92726214722141398</v>
      </c>
      <c r="AK795" s="26">
        <v>0.92780337941628299</v>
      </c>
      <c r="AL795" s="26">
        <v>0.94080381471389596</v>
      </c>
      <c r="AM795" s="25">
        <v>0.99</v>
      </c>
      <c r="AN795" s="30">
        <v>1</v>
      </c>
      <c r="AO795" s="30">
        <v>1</v>
      </c>
      <c r="AP795" s="30">
        <v>1</v>
      </c>
      <c r="AQ795" s="30">
        <v>1</v>
      </c>
      <c r="AR795" s="50">
        <v>8.1059522893420499E-2</v>
      </c>
      <c r="AS795" s="34">
        <v>-0.11111111111111099</v>
      </c>
      <c r="AT795" s="34">
        <v>0</v>
      </c>
      <c r="AU795" s="34">
        <v>0.16666666666666699</v>
      </c>
      <c r="AV795" s="34">
        <v>1.5151515151515201E-2</v>
      </c>
      <c r="AW795" s="10"/>
      <c r="AX795" s="8"/>
    </row>
    <row r="796" spans="1:50">
      <c r="A796" s="7"/>
      <c r="B796" s="10"/>
      <c r="C796" s="45" t="s">
        <v>688</v>
      </c>
      <c r="D796" s="23" t="s">
        <v>21</v>
      </c>
      <c r="E796" s="68" t="s">
        <v>842</v>
      </c>
      <c r="F796" s="68" t="s">
        <v>842</v>
      </c>
      <c r="G796" s="68" t="s">
        <v>842</v>
      </c>
      <c r="H796" s="68" t="s">
        <v>842</v>
      </c>
      <c r="I796" s="25">
        <v>0.9</v>
      </c>
      <c r="J796" s="26">
        <v>0.66666666666666696</v>
      </c>
      <c r="K796" s="26">
        <v>0.71428571428571397</v>
      </c>
      <c r="L796" s="27">
        <v>0.78947368421052599</v>
      </c>
      <c r="M796" s="26">
        <v>0.74193548387096797</v>
      </c>
      <c r="N796" s="28">
        <v>0.9</v>
      </c>
      <c r="O796" s="26">
        <v>0.94485981308411204</v>
      </c>
      <c r="P796" s="26">
        <v>0.92774086378737497</v>
      </c>
      <c r="Q796" s="26">
        <v>0.91466666666666696</v>
      </c>
      <c r="R796" s="26">
        <v>0.92244823828550704</v>
      </c>
      <c r="S796" s="28">
        <v>0.9</v>
      </c>
      <c r="T796" s="26">
        <v>0.92429906542056095</v>
      </c>
      <c r="U796" s="26">
        <v>0.91320598006644504</v>
      </c>
      <c r="V796" s="26">
        <v>0.92266666666666697</v>
      </c>
      <c r="W796" s="26">
        <v>0.91863421721758098</v>
      </c>
      <c r="X796" s="28">
        <v>0.92</v>
      </c>
      <c r="Y796" s="28">
        <v>0.90702947845805004</v>
      </c>
      <c r="Z796" s="28">
        <v>0.92691839220462802</v>
      </c>
      <c r="AA796" s="28">
        <v>0.93601895734597196</v>
      </c>
      <c r="AB796" s="28">
        <v>0.92549555707450404</v>
      </c>
      <c r="AC796" s="28">
        <v>0.92</v>
      </c>
      <c r="AD796" s="26">
        <v>0.99678042498390196</v>
      </c>
      <c r="AE796" s="26">
        <v>0.99294117647058799</v>
      </c>
      <c r="AF796" s="26">
        <v>0.99236641221374</v>
      </c>
      <c r="AG796" s="26">
        <v>0.99427713669199702</v>
      </c>
      <c r="AH796" s="28">
        <v>0.92</v>
      </c>
      <c r="AI796" s="26">
        <v>0.96358000774893404</v>
      </c>
      <c r="AJ796" s="26">
        <v>0.95510835913312697</v>
      </c>
      <c r="AK796" s="26">
        <v>0.95477815699658697</v>
      </c>
      <c r="AL796" s="26">
        <v>0.96062257925692196</v>
      </c>
      <c r="AM796" s="25">
        <v>0.99</v>
      </c>
      <c r="AN796" s="30">
        <v>1</v>
      </c>
      <c r="AO796" s="30">
        <v>1</v>
      </c>
      <c r="AP796" s="30">
        <v>1</v>
      </c>
      <c r="AQ796" s="30">
        <v>1</v>
      </c>
      <c r="AR796" s="50">
        <v>8.1059522893420499E-2</v>
      </c>
      <c r="AS796" s="34">
        <v>0.1</v>
      </c>
      <c r="AT796" s="34">
        <v>0</v>
      </c>
      <c r="AU796" s="34">
        <v>0</v>
      </c>
      <c r="AV796" s="34">
        <v>6.25E-2</v>
      </c>
      <c r="AW796" s="10"/>
      <c r="AX796" s="8"/>
    </row>
    <row r="797" spans="1:50">
      <c r="A797" s="7"/>
      <c r="B797" s="10"/>
      <c r="C797" s="45" t="s">
        <v>688</v>
      </c>
      <c r="D797" s="23" t="s">
        <v>21</v>
      </c>
      <c r="E797" s="68" t="s">
        <v>843</v>
      </c>
      <c r="F797" s="68" t="s">
        <v>843</v>
      </c>
      <c r="G797" s="68" t="s">
        <v>843</v>
      </c>
      <c r="H797" s="68" t="s">
        <v>843</v>
      </c>
      <c r="I797" s="25">
        <v>0.9</v>
      </c>
      <c r="J797" s="26">
        <v>0.9375</v>
      </c>
      <c r="K797" s="26">
        <v>0.75</v>
      </c>
      <c r="L797" s="27">
        <v>0.90909090909090895</v>
      </c>
      <c r="M797" s="26">
        <v>0.84523809523809501</v>
      </c>
      <c r="N797" s="28">
        <v>0.9</v>
      </c>
      <c r="O797" s="26">
        <v>0.96105527638191002</v>
      </c>
      <c r="P797" s="26">
        <v>0.93831553973902704</v>
      </c>
      <c r="Q797" s="26">
        <v>0.96441947565543096</v>
      </c>
      <c r="R797" s="26">
        <v>0.94377259693305104</v>
      </c>
      <c r="S797" s="28">
        <v>0.9</v>
      </c>
      <c r="T797" s="26">
        <v>0.93718592964824099</v>
      </c>
      <c r="U797" s="26">
        <v>0.91340450771055703</v>
      </c>
      <c r="V797" s="26">
        <v>0.92322097378277201</v>
      </c>
      <c r="W797" s="26">
        <v>0.92245355940655804</v>
      </c>
      <c r="X797" s="28">
        <v>0.92</v>
      </c>
      <c r="Y797" s="28">
        <v>0.92236024844720499</v>
      </c>
      <c r="Z797" s="28">
        <v>0.93914473684210498</v>
      </c>
      <c r="AA797" s="28">
        <v>0.924471299093656</v>
      </c>
      <c r="AB797" s="28">
        <v>0.91815616180620896</v>
      </c>
      <c r="AC797" s="28">
        <v>0.92</v>
      </c>
      <c r="AD797" s="26">
        <v>0.99678456591639897</v>
      </c>
      <c r="AE797" s="26">
        <v>0.99626865671641796</v>
      </c>
      <c r="AF797" s="26">
        <v>0.99770114942528698</v>
      </c>
      <c r="AG797" s="26">
        <v>0.99739175795513801</v>
      </c>
      <c r="AH797" s="28">
        <v>0.92</v>
      </c>
      <c r="AI797" s="26">
        <v>0.95193312434691701</v>
      </c>
      <c r="AJ797" s="26">
        <v>0.95601045296167197</v>
      </c>
      <c r="AK797" s="26">
        <v>0.94232987312572103</v>
      </c>
      <c r="AL797" s="26">
        <v>0.95439322301024399</v>
      </c>
      <c r="AM797" s="25">
        <v>0.99</v>
      </c>
      <c r="AN797" s="30">
        <v>1</v>
      </c>
      <c r="AO797" s="30">
        <v>1</v>
      </c>
      <c r="AP797" s="30">
        <v>1</v>
      </c>
      <c r="AQ797" s="30">
        <v>1</v>
      </c>
      <c r="AR797" s="50">
        <v>8.1059522893420499E-2</v>
      </c>
      <c r="AS797" s="34">
        <v>0.25</v>
      </c>
      <c r="AT797" s="34">
        <v>0</v>
      </c>
      <c r="AU797" s="34">
        <v>0</v>
      </c>
      <c r="AV797" s="34">
        <v>0.125</v>
      </c>
      <c r="AW797" s="10"/>
      <c r="AX797" s="8"/>
    </row>
    <row r="798" spans="1:50">
      <c r="A798" s="7"/>
      <c r="B798" s="10"/>
      <c r="C798" s="45" t="s">
        <v>688</v>
      </c>
      <c r="D798" s="23" t="s">
        <v>21</v>
      </c>
      <c r="E798" s="68" t="s">
        <v>844</v>
      </c>
      <c r="F798" s="68" t="s">
        <v>844</v>
      </c>
      <c r="G798" s="68" t="s">
        <v>844</v>
      </c>
      <c r="H798" s="68" t="s">
        <v>844</v>
      </c>
      <c r="I798" s="25">
        <v>0.9</v>
      </c>
      <c r="J798" s="26">
        <v>0.9</v>
      </c>
      <c r="K798" s="26">
        <v>0.9</v>
      </c>
      <c r="L798" s="27">
        <v>0.91666666666666696</v>
      </c>
      <c r="M798" s="26">
        <v>0.88679245283018904</v>
      </c>
      <c r="N798" s="28">
        <v>0.9</v>
      </c>
      <c r="O798" s="26">
        <v>0.93566176470588203</v>
      </c>
      <c r="P798" s="26">
        <v>0.92245835726593906</v>
      </c>
      <c r="Q798" s="26">
        <v>0.97119999999999995</v>
      </c>
      <c r="R798" s="26">
        <v>0.94855027760641597</v>
      </c>
      <c r="S798" s="28">
        <v>0.9</v>
      </c>
      <c r="T798" s="26">
        <v>0.91973039215686303</v>
      </c>
      <c r="U798" s="26">
        <v>0.95290063182079299</v>
      </c>
      <c r="V798" s="26">
        <v>0.96479999999999999</v>
      </c>
      <c r="W798" s="26">
        <v>0.94620604565083299</v>
      </c>
      <c r="X798" s="28">
        <v>0.92</v>
      </c>
      <c r="Y798" s="28">
        <v>0.94246575342465799</v>
      </c>
      <c r="Z798" s="28">
        <v>0.94126506024096401</v>
      </c>
      <c r="AA798" s="28">
        <v>0.93956043956044</v>
      </c>
      <c r="AB798" s="28">
        <v>0.94575678040245004</v>
      </c>
      <c r="AC798" s="28">
        <v>0.92</v>
      </c>
      <c r="AD798" s="26">
        <v>0.99568679495686796</v>
      </c>
      <c r="AE798" s="26">
        <v>0.97818559556786699</v>
      </c>
      <c r="AF798" s="26">
        <v>0.99443099273607705</v>
      </c>
      <c r="AG798" s="26">
        <v>0.99226258840597203</v>
      </c>
      <c r="AH798" s="28">
        <v>0.92</v>
      </c>
      <c r="AI798" s="26">
        <v>0.94799999999999995</v>
      </c>
      <c r="AJ798" s="26">
        <v>0.96553156146179397</v>
      </c>
      <c r="AK798" s="26">
        <v>0.96565656565656599</v>
      </c>
      <c r="AL798" s="26">
        <v>0.96298076923076903</v>
      </c>
      <c r="AM798" s="25">
        <v>0.99</v>
      </c>
      <c r="AN798" s="30">
        <v>1</v>
      </c>
      <c r="AO798" s="30">
        <v>1</v>
      </c>
      <c r="AP798" s="30">
        <v>1</v>
      </c>
      <c r="AQ798" s="30">
        <v>1</v>
      </c>
      <c r="AR798" s="50">
        <v>8.1059522893420499E-2</v>
      </c>
      <c r="AS798" s="34">
        <v>-0.5</v>
      </c>
      <c r="AT798" s="34">
        <v>0.5</v>
      </c>
      <c r="AU798" s="34">
        <v>0</v>
      </c>
      <c r="AV798" s="34">
        <v>3.5714285714285698E-2</v>
      </c>
      <c r="AW798" s="10"/>
      <c r="AX798" s="8"/>
    </row>
    <row r="799" spans="1:50">
      <c r="A799" s="7"/>
      <c r="B799" s="10"/>
      <c r="C799" s="45" t="s">
        <v>688</v>
      </c>
      <c r="D799" s="23" t="s">
        <v>21</v>
      </c>
      <c r="E799" s="68" t="s">
        <v>845</v>
      </c>
      <c r="F799" s="68" t="s">
        <v>845</v>
      </c>
      <c r="G799" s="68" t="s">
        <v>845</v>
      </c>
      <c r="H799" s="68" t="s">
        <v>845</v>
      </c>
      <c r="I799" s="25">
        <v>0.9</v>
      </c>
      <c r="J799" s="26">
        <v>0.94029850746268695</v>
      </c>
      <c r="K799" s="26">
        <v>0.86956521739130399</v>
      </c>
      <c r="L799" s="27">
        <v>0.77551020408163296</v>
      </c>
      <c r="M799" s="26">
        <v>0.85911602209944704</v>
      </c>
      <c r="N799" s="28">
        <v>0.9</v>
      </c>
      <c r="O799" s="26">
        <v>0.93613445378151305</v>
      </c>
      <c r="P799" s="26">
        <v>0.91400132714001303</v>
      </c>
      <c r="Q799" s="26">
        <v>0.94483024691357997</v>
      </c>
      <c r="R799" s="26">
        <v>0.92137213895666303</v>
      </c>
      <c r="S799" s="28">
        <v>0.9</v>
      </c>
      <c r="T799" s="26">
        <v>0.90053475935828897</v>
      </c>
      <c r="U799" s="26">
        <v>0.91453218314532203</v>
      </c>
      <c r="V799" s="26">
        <v>0.93518518518518501</v>
      </c>
      <c r="W799" s="26">
        <v>0.90420587893575</v>
      </c>
      <c r="X799" s="28">
        <v>0.92</v>
      </c>
      <c r="Y799" s="28">
        <v>0.92857142857142905</v>
      </c>
      <c r="Z799" s="28">
        <v>0.93294270833333304</v>
      </c>
      <c r="AA799" s="28">
        <v>0.93917593198168703</v>
      </c>
      <c r="AB799" s="28">
        <v>0.93252644620223002</v>
      </c>
      <c r="AC799" s="28">
        <v>0.92</v>
      </c>
      <c r="AD799" s="26">
        <v>0.995253164556962</v>
      </c>
      <c r="AE799" s="26">
        <v>0.97217068645640103</v>
      </c>
      <c r="AF799" s="26">
        <v>0.98045602605863202</v>
      </c>
      <c r="AG799" s="26">
        <v>0.97951190117505305</v>
      </c>
      <c r="AH799" s="28">
        <v>0.92</v>
      </c>
      <c r="AI799" s="26">
        <v>0.94512851165570799</v>
      </c>
      <c r="AJ799" s="26">
        <v>0.957480908833789</v>
      </c>
      <c r="AK799" s="26">
        <v>0.95656394079106999</v>
      </c>
      <c r="AL799" s="26">
        <v>0.95469925648902498</v>
      </c>
      <c r="AM799" s="25">
        <v>0.99</v>
      </c>
      <c r="AN799" s="30">
        <v>1</v>
      </c>
      <c r="AO799" s="30">
        <v>1</v>
      </c>
      <c r="AP799" s="30">
        <v>1</v>
      </c>
      <c r="AQ799" s="30">
        <v>1</v>
      </c>
      <c r="AR799" s="50">
        <v>8.1059522893420499E-2</v>
      </c>
      <c r="AS799" s="34">
        <v>2.8571428571428598E-2</v>
      </c>
      <c r="AT799" s="34">
        <v>-2.1276595744680899E-2</v>
      </c>
      <c r="AU799" s="34">
        <v>0</v>
      </c>
      <c r="AV799" s="34">
        <v>2.1052631578947399E-2</v>
      </c>
      <c r="AW799" s="10"/>
      <c r="AX799" s="8"/>
    </row>
    <row r="800" spans="1:50">
      <c r="A800" s="7"/>
      <c r="B800" s="10"/>
      <c r="C800" s="45" t="s">
        <v>688</v>
      </c>
      <c r="D800" s="23" t="s">
        <v>21</v>
      </c>
      <c r="E800" s="68" t="s">
        <v>846</v>
      </c>
      <c r="F800" s="68" t="s">
        <v>846</v>
      </c>
      <c r="G800" s="68" t="s">
        <v>846</v>
      </c>
      <c r="H800" s="68" t="s">
        <v>846</v>
      </c>
      <c r="I800" s="25">
        <v>0.9</v>
      </c>
      <c r="J800" s="26">
        <v>0.90909090909090895</v>
      </c>
      <c r="K800" s="26">
        <v>0.95454545454545503</v>
      </c>
      <c r="L800" s="27">
        <v>0.94117647058823495</v>
      </c>
      <c r="M800" s="26">
        <v>0.90677966101694896</v>
      </c>
      <c r="N800" s="28">
        <v>0.9</v>
      </c>
      <c r="O800" s="26">
        <v>0.93974683544303805</v>
      </c>
      <c r="P800" s="26">
        <v>0.94965277777777801</v>
      </c>
      <c r="Q800" s="26">
        <v>0.96178343949044598</v>
      </c>
      <c r="R800" s="26">
        <v>0.93648393194707003</v>
      </c>
      <c r="S800" s="28">
        <v>0.9</v>
      </c>
      <c r="T800" s="26">
        <v>0.93164556962025302</v>
      </c>
      <c r="U800" s="26">
        <v>0.90885416666666696</v>
      </c>
      <c r="V800" s="26">
        <v>0.91337579617834397</v>
      </c>
      <c r="W800" s="26">
        <v>0.90756143667296796</v>
      </c>
      <c r="X800" s="28">
        <v>0.92</v>
      </c>
      <c r="Y800" s="28">
        <v>0.943201376936317</v>
      </c>
      <c r="Z800" s="28">
        <v>0.932297447280799</v>
      </c>
      <c r="AA800" s="28">
        <v>0.88803088803088803</v>
      </c>
      <c r="AB800" s="28">
        <v>0.91965389369592099</v>
      </c>
      <c r="AC800" s="28">
        <v>0.92</v>
      </c>
      <c r="AD800" s="26">
        <v>1</v>
      </c>
      <c r="AE800" s="26">
        <v>1</v>
      </c>
      <c r="AF800" s="26">
        <v>1</v>
      </c>
      <c r="AG800" s="26">
        <v>0.98784018529241502</v>
      </c>
      <c r="AH800" s="28">
        <v>0.92</v>
      </c>
      <c r="AI800" s="26">
        <v>0.97104851330203401</v>
      </c>
      <c r="AJ800" s="26">
        <v>0.95633187772925798</v>
      </c>
      <c r="AK800" s="26">
        <v>0.93246354566385303</v>
      </c>
      <c r="AL800" s="26">
        <v>0.95462111891148604</v>
      </c>
      <c r="AM800" s="25">
        <v>0.99</v>
      </c>
      <c r="AN800" s="30">
        <v>1</v>
      </c>
      <c r="AO800" s="30">
        <v>1</v>
      </c>
      <c r="AP800" s="30">
        <v>1</v>
      </c>
      <c r="AQ800" s="30">
        <v>1</v>
      </c>
      <c r="AR800" s="50">
        <v>8.1059522893420499E-2</v>
      </c>
      <c r="AS800" s="34">
        <v>0</v>
      </c>
      <c r="AT800" s="34">
        <v>0.16666666666666699</v>
      </c>
      <c r="AU800" s="34">
        <v>0</v>
      </c>
      <c r="AV800" s="34">
        <v>0.05</v>
      </c>
      <c r="AW800" s="10"/>
      <c r="AX800" s="8"/>
    </row>
    <row r="801" spans="1:50">
      <c r="A801" s="7"/>
      <c r="B801" s="10"/>
      <c r="C801" s="45" t="s">
        <v>688</v>
      </c>
      <c r="D801" s="23" t="s">
        <v>21</v>
      </c>
      <c r="E801" s="68" t="s">
        <v>847</v>
      </c>
      <c r="F801" s="68" t="s">
        <v>847</v>
      </c>
      <c r="G801" s="68" t="s">
        <v>847</v>
      </c>
      <c r="H801" s="68" t="s">
        <v>847</v>
      </c>
      <c r="I801" s="25">
        <v>0.9</v>
      </c>
      <c r="J801" s="26">
        <v>0.95</v>
      </c>
      <c r="K801" s="26">
        <v>0.952380952380952</v>
      </c>
      <c r="L801" s="27">
        <v>1</v>
      </c>
      <c r="M801" s="26">
        <v>0.96153846153846201</v>
      </c>
      <c r="N801" s="28">
        <v>0.9</v>
      </c>
      <c r="O801" s="26">
        <v>0.91039729501267996</v>
      </c>
      <c r="P801" s="26">
        <v>0.93503567405182098</v>
      </c>
      <c r="Q801" s="26">
        <v>0.87460484720758702</v>
      </c>
      <c r="R801" s="26">
        <v>0.91134036611852298</v>
      </c>
      <c r="S801" s="28">
        <v>0.9</v>
      </c>
      <c r="T801" s="26">
        <v>0.91251056635672001</v>
      </c>
      <c r="U801" s="26">
        <v>0.91288021028914801</v>
      </c>
      <c r="V801" s="26">
        <v>0.87987355110642795</v>
      </c>
      <c r="W801" s="26">
        <v>0.90839280173751202</v>
      </c>
      <c r="X801" s="28">
        <v>0.92</v>
      </c>
      <c r="Y801" s="28">
        <v>0.92356687898089196</v>
      </c>
      <c r="Z801" s="28">
        <v>0.91465677179962901</v>
      </c>
      <c r="AA801" s="28">
        <v>0.85315985130111505</v>
      </c>
      <c r="AB801" s="28">
        <v>0.90218824149749499</v>
      </c>
      <c r="AC801" s="28">
        <v>0.92</v>
      </c>
      <c r="AD801" s="26">
        <v>0.99810246679316905</v>
      </c>
      <c r="AE801" s="26">
        <v>0.91765729196868695</v>
      </c>
      <c r="AF801" s="26">
        <v>0.93948202959830895</v>
      </c>
      <c r="AG801" s="26">
        <v>0.96272870059854798</v>
      </c>
      <c r="AH801" s="28">
        <v>0.92</v>
      </c>
      <c r="AI801" s="26">
        <v>0.94757929883138603</v>
      </c>
      <c r="AJ801" s="26">
        <v>0.94493450948944102</v>
      </c>
      <c r="AK801" s="26">
        <v>0.90383322125084098</v>
      </c>
      <c r="AL801" s="26">
        <v>0.94247018637262503</v>
      </c>
      <c r="AM801" s="25">
        <v>0.99</v>
      </c>
      <c r="AN801" s="30">
        <v>1</v>
      </c>
      <c r="AO801" s="30">
        <v>1</v>
      </c>
      <c r="AP801" s="30">
        <v>1</v>
      </c>
      <c r="AQ801" s="30">
        <v>1</v>
      </c>
      <c r="AR801" s="50">
        <v>8.1059522893420499E-2</v>
      </c>
      <c r="AS801" s="34">
        <v>8.3333333333333301E-2</v>
      </c>
      <c r="AT801" s="34">
        <v>0</v>
      </c>
      <c r="AU801" s="34">
        <v>0.33333333333333298</v>
      </c>
      <c r="AV801" s="34">
        <v>0.05</v>
      </c>
      <c r="AW801" s="10"/>
      <c r="AX801" s="8"/>
    </row>
    <row r="802" spans="1:50">
      <c r="A802" s="7"/>
      <c r="B802" s="10"/>
      <c r="C802" s="45" t="s">
        <v>688</v>
      </c>
      <c r="D802" s="23" t="s">
        <v>21</v>
      </c>
      <c r="E802" s="68" t="s">
        <v>848</v>
      </c>
      <c r="F802" s="68" t="s">
        <v>848</v>
      </c>
      <c r="G802" s="68" t="s">
        <v>848</v>
      </c>
      <c r="H802" s="68" t="s">
        <v>848</v>
      </c>
      <c r="I802" s="25">
        <v>0.9</v>
      </c>
      <c r="J802" s="26">
        <v>0.88</v>
      </c>
      <c r="K802" s="26">
        <v>0.88461538461538503</v>
      </c>
      <c r="L802" s="27">
        <v>0.8</v>
      </c>
      <c r="M802" s="26">
        <v>0.84962406015037595</v>
      </c>
      <c r="N802" s="28">
        <v>0.9</v>
      </c>
      <c r="O802" s="26">
        <v>0.91614173228346496</v>
      </c>
      <c r="P802" s="26">
        <v>0.91428571428571404</v>
      </c>
      <c r="Q802" s="26">
        <v>0.95833333333333304</v>
      </c>
      <c r="R802" s="26">
        <v>0.90578207786224396</v>
      </c>
      <c r="S802" s="28">
        <v>0.9</v>
      </c>
      <c r="T802" s="26">
        <v>0.85748031496063004</v>
      </c>
      <c r="U802" s="26">
        <v>0.83250000000000002</v>
      </c>
      <c r="V802" s="26">
        <v>0.83333333333333304</v>
      </c>
      <c r="W802" s="26">
        <v>0.84473623589034796</v>
      </c>
      <c r="X802" s="28">
        <v>0.92</v>
      </c>
      <c r="Y802" s="28">
        <v>0.917981072555205</v>
      </c>
      <c r="Z802" s="28">
        <v>0.92732290708371701</v>
      </c>
      <c r="AA802" s="28">
        <v>0.879432624113475</v>
      </c>
      <c r="AB802" s="28">
        <v>0.90840292275574097</v>
      </c>
      <c r="AC802" s="28">
        <v>0.92</v>
      </c>
      <c r="AD802" s="26">
        <v>0.99585062240663902</v>
      </c>
      <c r="AE802" s="26">
        <v>0.97979797979798</v>
      </c>
      <c r="AF802" s="26">
        <v>0.95081967213114704</v>
      </c>
      <c r="AG802" s="26">
        <v>0.98025711662075299</v>
      </c>
      <c r="AH802" s="28">
        <v>0.92</v>
      </c>
      <c r="AI802" s="26">
        <v>0.92753623188405798</v>
      </c>
      <c r="AJ802" s="26">
        <v>0.94134293799845603</v>
      </c>
      <c r="AK802" s="26">
        <v>0.896310432569975</v>
      </c>
      <c r="AL802" s="26">
        <v>0.927546543341634</v>
      </c>
      <c r="AM802" s="25">
        <v>0.99</v>
      </c>
      <c r="AN802" s="30">
        <v>1</v>
      </c>
      <c r="AO802" s="30">
        <v>1</v>
      </c>
      <c r="AP802" s="30">
        <v>1</v>
      </c>
      <c r="AQ802" s="30">
        <v>1</v>
      </c>
      <c r="AR802" s="50">
        <v>8.1059522893420499E-2</v>
      </c>
      <c r="AS802" s="34">
        <v>0</v>
      </c>
      <c r="AT802" s="34">
        <v>0.11111111111111099</v>
      </c>
      <c r="AU802" s="34">
        <v>0</v>
      </c>
      <c r="AV802" s="34">
        <v>3.3333333333333298E-2</v>
      </c>
      <c r="AW802" s="10"/>
      <c r="AX802" s="8"/>
    </row>
    <row r="803" spans="1:50">
      <c r="A803" s="7"/>
      <c r="B803" s="10"/>
      <c r="C803" s="45" t="s">
        <v>688</v>
      </c>
      <c r="D803" s="23" t="s">
        <v>21</v>
      </c>
      <c r="E803" s="68" t="s">
        <v>849</v>
      </c>
      <c r="F803" s="68" t="s">
        <v>849</v>
      </c>
      <c r="G803" s="68" t="s">
        <v>849</v>
      </c>
      <c r="H803" s="68" t="s">
        <v>849</v>
      </c>
      <c r="I803" s="25">
        <v>0.9</v>
      </c>
      <c r="J803" s="26">
        <v>0.88888888888888895</v>
      </c>
      <c r="K803" s="26">
        <v>0.89285714285714302</v>
      </c>
      <c r="L803" s="27">
        <v>0.94736842105263197</v>
      </c>
      <c r="M803" s="26">
        <v>0.934640522875817</v>
      </c>
      <c r="N803" s="28">
        <v>0.9</v>
      </c>
      <c r="O803" s="26">
        <v>0.91017352841102395</v>
      </c>
      <c r="P803" s="26">
        <v>0.95578330893118602</v>
      </c>
      <c r="Q803" s="26">
        <v>0.96017699115044297</v>
      </c>
      <c r="R803" s="26">
        <v>0.94632129707383195</v>
      </c>
      <c r="S803" s="28">
        <v>0.9</v>
      </c>
      <c r="T803" s="26">
        <v>0.94419870704321196</v>
      </c>
      <c r="U803" s="26">
        <v>0.92181551976573906</v>
      </c>
      <c r="V803" s="26">
        <v>0.910619469026549</v>
      </c>
      <c r="W803" s="26">
        <v>0.93514630837801205</v>
      </c>
      <c r="X803" s="28">
        <v>0.92</v>
      </c>
      <c r="Y803" s="28">
        <v>0.93073047858942104</v>
      </c>
      <c r="Z803" s="28">
        <v>0.934782608695652</v>
      </c>
      <c r="AA803" s="28">
        <v>0.88005997001499203</v>
      </c>
      <c r="AB803" s="28">
        <v>0.92152658662092601</v>
      </c>
      <c r="AC803" s="28">
        <v>0.92</v>
      </c>
      <c r="AD803" s="26">
        <v>1</v>
      </c>
      <c r="AE803" s="26">
        <v>0.99472202674173105</v>
      </c>
      <c r="AF803" s="26">
        <v>0.99106847502480999</v>
      </c>
      <c r="AG803" s="26">
        <v>0.99281710834194903</v>
      </c>
      <c r="AH803" s="28">
        <v>0.92</v>
      </c>
      <c r="AI803" s="26">
        <v>0.96624698633806605</v>
      </c>
      <c r="AJ803" s="26">
        <v>0.96598639455782298</v>
      </c>
      <c r="AK803" s="26">
        <v>0.93711741791875303</v>
      </c>
      <c r="AL803" s="26">
        <v>0.96273692567232305</v>
      </c>
      <c r="AM803" s="25">
        <v>0.99</v>
      </c>
      <c r="AN803" s="30">
        <v>1</v>
      </c>
      <c r="AO803" s="30">
        <v>1</v>
      </c>
      <c r="AP803" s="30">
        <v>1</v>
      </c>
      <c r="AQ803" s="30">
        <v>1</v>
      </c>
      <c r="AR803" s="50">
        <v>8.1059522893420499E-2</v>
      </c>
      <c r="AS803" s="34">
        <v>5.8823529411764698E-2</v>
      </c>
      <c r="AT803" s="34">
        <v>0</v>
      </c>
      <c r="AU803" s="34">
        <v>0</v>
      </c>
      <c r="AV803" s="34">
        <v>3.0769230769230799E-2</v>
      </c>
      <c r="AW803" s="10"/>
      <c r="AX803" s="8"/>
    </row>
    <row r="804" spans="1:50">
      <c r="A804" s="7"/>
      <c r="B804" s="10"/>
      <c r="C804" s="45" t="s">
        <v>688</v>
      </c>
      <c r="D804" s="23" t="s">
        <v>21</v>
      </c>
      <c r="E804" s="68" t="s">
        <v>850</v>
      </c>
      <c r="F804" s="68" t="s">
        <v>850</v>
      </c>
      <c r="G804" s="68" t="s">
        <v>850</v>
      </c>
      <c r="H804" s="68" t="s">
        <v>850</v>
      </c>
      <c r="I804" s="25">
        <v>0.9</v>
      </c>
      <c r="J804" s="26">
        <v>0.65217391304347805</v>
      </c>
      <c r="K804" s="26">
        <v>0.63636363636363602</v>
      </c>
      <c r="L804" s="27">
        <v>0.72222222222222199</v>
      </c>
      <c r="M804" s="26">
        <v>0.61475409836065598</v>
      </c>
      <c r="N804" s="28">
        <v>0.9</v>
      </c>
      <c r="O804" s="26">
        <v>0.82765242438790199</v>
      </c>
      <c r="P804" s="26">
        <v>0.89757412398921799</v>
      </c>
      <c r="Q804" s="26">
        <v>0.90520694259012002</v>
      </c>
      <c r="R804" s="26">
        <v>0.88429911966721497</v>
      </c>
      <c r="S804" s="28">
        <v>0.9</v>
      </c>
      <c r="T804" s="26">
        <v>0.85213634181469</v>
      </c>
      <c r="U804" s="26">
        <v>0.87646001796945205</v>
      </c>
      <c r="V804" s="26">
        <v>0.87583444592790405</v>
      </c>
      <c r="W804" s="26">
        <v>0.87317403501983204</v>
      </c>
      <c r="X804" s="28">
        <v>0.92</v>
      </c>
      <c r="Y804" s="28">
        <v>0.91366906474820098</v>
      </c>
      <c r="Z804" s="28">
        <v>0.90140845070422504</v>
      </c>
      <c r="AA804" s="28">
        <v>0.836559139784946</v>
      </c>
      <c r="AB804" s="28">
        <v>0.86880197105019996</v>
      </c>
      <c r="AC804" s="28">
        <v>0.92</v>
      </c>
      <c r="AD804" s="26">
        <v>0.97916666666666696</v>
      </c>
      <c r="AE804" s="26">
        <v>0.92500000000000004</v>
      </c>
      <c r="AF804" s="26">
        <v>1</v>
      </c>
      <c r="AG804" s="26">
        <v>0.97802197802197799</v>
      </c>
      <c r="AH804" s="28">
        <v>0.92</v>
      </c>
      <c r="AI804" s="26">
        <v>0.90454545454545499</v>
      </c>
      <c r="AJ804" s="26">
        <v>0.91555555555555601</v>
      </c>
      <c r="AK804" s="26">
        <v>0.89785831960461304</v>
      </c>
      <c r="AL804" s="26">
        <v>0.91380833210657997</v>
      </c>
      <c r="AM804" s="25">
        <v>0.99</v>
      </c>
      <c r="AN804" s="30">
        <v>1</v>
      </c>
      <c r="AO804" s="30">
        <v>1</v>
      </c>
      <c r="AP804" s="30">
        <v>1</v>
      </c>
      <c r="AQ804" s="30">
        <v>1</v>
      </c>
      <c r="AR804" s="50">
        <v>8.1059522893420499E-2</v>
      </c>
      <c r="AS804" s="34">
        <v>0</v>
      </c>
      <c r="AT804" s="34">
        <v>0</v>
      </c>
      <c r="AU804" s="34">
        <v>0</v>
      </c>
      <c r="AV804" s="34">
        <v>8.1081081081081099E-2</v>
      </c>
      <c r="AW804" s="10"/>
      <c r="AX804" s="8"/>
    </row>
    <row r="805" spans="1:50">
      <c r="A805" s="7"/>
      <c r="B805" s="10"/>
      <c r="C805" s="45" t="s">
        <v>688</v>
      </c>
      <c r="D805" s="23" t="s">
        <v>21</v>
      </c>
      <c r="E805" s="68" t="s">
        <v>851</v>
      </c>
      <c r="F805" s="68" t="s">
        <v>851</v>
      </c>
      <c r="G805" s="68" t="s">
        <v>851</v>
      </c>
      <c r="H805" s="68" t="s">
        <v>851</v>
      </c>
      <c r="I805" s="25">
        <v>0.9</v>
      </c>
      <c r="J805" s="26">
        <v>0.88888888888888895</v>
      </c>
      <c r="K805" s="26">
        <v>0.8</v>
      </c>
      <c r="L805" s="27">
        <v>0.88888888888888895</v>
      </c>
      <c r="M805" s="26">
        <v>0.81818181818181801</v>
      </c>
      <c r="N805" s="28">
        <v>0.9</v>
      </c>
      <c r="O805" s="26">
        <v>0.963842975206612</v>
      </c>
      <c r="P805" s="26">
        <v>0.974837662337662</v>
      </c>
      <c r="Q805" s="26">
        <v>0.97572815533980595</v>
      </c>
      <c r="R805" s="26">
        <v>0.96990398818316104</v>
      </c>
      <c r="S805" s="28">
        <v>0.9</v>
      </c>
      <c r="T805" s="26">
        <v>0.91012396694214903</v>
      </c>
      <c r="U805" s="26">
        <v>0.91314935064935099</v>
      </c>
      <c r="V805" s="26">
        <v>0.93203883495145601</v>
      </c>
      <c r="W805" s="26">
        <v>0.91968242245199405</v>
      </c>
      <c r="X805" s="28">
        <v>0.92</v>
      </c>
      <c r="Y805" s="28">
        <v>0.92657342657342701</v>
      </c>
      <c r="Z805" s="28">
        <v>0.92967032967033003</v>
      </c>
      <c r="AA805" s="28">
        <v>0.93775933609958495</v>
      </c>
      <c r="AB805" s="28">
        <v>0.93640897755610997</v>
      </c>
      <c r="AC805" s="28">
        <v>0.92</v>
      </c>
      <c r="AD805" s="26">
        <v>0.99649122807017498</v>
      </c>
      <c r="AE805" s="26">
        <v>0.98888888888888904</v>
      </c>
      <c r="AF805" s="26">
        <v>0.99661016949152503</v>
      </c>
      <c r="AG805" s="26">
        <v>0.98839050131926098</v>
      </c>
      <c r="AH805" s="28">
        <v>0.92</v>
      </c>
      <c r="AI805" s="26">
        <v>0.95933014354067003</v>
      </c>
      <c r="AJ805" s="26">
        <v>0.95734597156398105</v>
      </c>
      <c r="AK805" s="26">
        <v>0.96630934150076597</v>
      </c>
      <c r="AL805" s="26">
        <v>0.96411789833404504</v>
      </c>
      <c r="AM805" s="25">
        <v>0.99</v>
      </c>
      <c r="AN805" s="30">
        <v>1</v>
      </c>
      <c r="AO805" s="30">
        <v>1</v>
      </c>
      <c r="AP805" s="30">
        <v>1</v>
      </c>
      <c r="AQ805" s="30">
        <v>1</v>
      </c>
      <c r="AR805" s="50">
        <v>8.1059522893420499E-2</v>
      </c>
      <c r="AS805" s="34">
        <v>0</v>
      </c>
      <c r="AT805" s="34">
        <v>0</v>
      </c>
      <c r="AU805" s="34">
        <v>0</v>
      </c>
      <c r="AV805" s="34">
        <v>0</v>
      </c>
      <c r="AW805" s="10"/>
      <c r="AX805" s="8"/>
    </row>
    <row r="806" spans="1:50">
      <c r="A806" s="7"/>
      <c r="B806" s="10"/>
      <c r="C806" s="45" t="s">
        <v>688</v>
      </c>
      <c r="D806" s="23" t="s">
        <v>21</v>
      </c>
      <c r="E806" s="68" t="s">
        <v>852</v>
      </c>
      <c r="F806" s="68" t="s">
        <v>852</v>
      </c>
      <c r="G806" s="68" t="s">
        <v>852</v>
      </c>
      <c r="H806" s="68" t="s">
        <v>852</v>
      </c>
      <c r="I806" s="25">
        <v>0.9</v>
      </c>
      <c r="J806" s="26">
        <v>0.77272727272727304</v>
      </c>
      <c r="K806" s="26">
        <v>0.78260869565217395</v>
      </c>
      <c r="L806" s="27">
        <v>0.86666666666666703</v>
      </c>
      <c r="M806" s="26">
        <v>0.79508196721311497</v>
      </c>
      <c r="N806" s="28">
        <v>0.9</v>
      </c>
      <c r="O806" s="26">
        <v>0.96648936170212796</v>
      </c>
      <c r="P806" s="26">
        <v>0.94673459935155202</v>
      </c>
      <c r="Q806" s="26">
        <v>0.97404371584699501</v>
      </c>
      <c r="R806" s="26">
        <v>0.95534995977473902</v>
      </c>
      <c r="S806" s="28">
        <v>0.9</v>
      </c>
      <c r="T806" s="26">
        <v>0.92500000000000004</v>
      </c>
      <c r="U806" s="26">
        <v>0.91755442334414095</v>
      </c>
      <c r="V806" s="26">
        <v>0.87568306010928998</v>
      </c>
      <c r="W806" s="26">
        <v>0.91190667739340303</v>
      </c>
      <c r="X806" s="28">
        <v>0.92</v>
      </c>
      <c r="Y806" s="28">
        <v>0.88969258589511802</v>
      </c>
      <c r="Z806" s="28">
        <v>0.90577149587750305</v>
      </c>
      <c r="AA806" s="28">
        <v>0.88079470198675502</v>
      </c>
      <c r="AB806" s="28">
        <v>0.88978407992265596</v>
      </c>
      <c r="AC806" s="28">
        <v>0.92</v>
      </c>
      <c r="AD806" s="26">
        <v>0.99173553719008301</v>
      </c>
      <c r="AE806" s="26">
        <v>0.95454545454545503</v>
      </c>
      <c r="AF806" s="26">
        <v>0.98958333333333304</v>
      </c>
      <c r="AG806" s="26">
        <v>0.97730307076101497</v>
      </c>
      <c r="AH806" s="28">
        <v>0.92</v>
      </c>
      <c r="AI806" s="26">
        <v>0.94127310061601599</v>
      </c>
      <c r="AJ806" s="26">
        <v>0.94581117021276595</v>
      </c>
      <c r="AK806" s="26">
        <v>0.91729957805907203</v>
      </c>
      <c r="AL806" s="26">
        <v>0.93856759862121797</v>
      </c>
      <c r="AM806" s="25">
        <v>0.99</v>
      </c>
      <c r="AN806" s="30">
        <v>1</v>
      </c>
      <c r="AO806" s="30">
        <v>1</v>
      </c>
      <c r="AP806" s="30">
        <v>1</v>
      </c>
      <c r="AQ806" s="30">
        <v>1</v>
      </c>
      <c r="AR806" s="50">
        <v>8.1059522893420499E-2</v>
      </c>
      <c r="AS806" s="34">
        <v>0</v>
      </c>
      <c r="AT806" s="34">
        <v>0</v>
      </c>
      <c r="AU806" s="34">
        <v>0</v>
      </c>
      <c r="AV806" s="34">
        <v>2.0833333333333301E-2</v>
      </c>
      <c r="AW806" s="10"/>
      <c r="AX806" s="8"/>
    </row>
    <row r="807" spans="1:50">
      <c r="A807" s="7"/>
      <c r="B807" s="10"/>
      <c r="C807" s="45" t="s">
        <v>688</v>
      </c>
      <c r="D807" s="23" t="s">
        <v>21</v>
      </c>
      <c r="E807" s="68" t="s">
        <v>853</v>
      </c>
      <c r="F807" s="68" t="s">
        <v>853</v>
      </c>
      <c r="G807" s="68" t="s">
        <v>853</v>
      </c>
      <c r="H807" s="68" t="s">
        <v>853</v>
      </c>
      <c r="I807" s="25">
        <v>0.9</v>
      </c>
      <c r="J807" s="26">
        <v>1</v>
      </c>
      <c r="K807" s="26">
        <v>1</v>
      </c>
      <c r="L807" s="27">
        <v>0.875</v>
      </c>
      <c r="M807" s="26">
        <v>0.98214285714285698</v>
      </c>
      <c r="N807" s="28">
        <v>0.9</v>
      </c>
      <c r="O807" s="26">
        <v>0.95069767441860498</v>
      </c>
      <c r="P807" s="26">
        <v>0.95800933125971999</v>
      </c>
      <c r="Q807" s="26">
        <v>0.969387755102041</v>
      </c>
      <c r="R807" s="26">
        <v>0.953208326165491</v>
      </c>
      <c r="S807" s="28">
        <v>0.9</v>
      </c>
      <c r="T807" s="26">
        <v>0.93488372093023298</v>
      </c>
      <c r="U807" s="26">
        <v>0.94790046656298599</v>
      </c>
      <c r="V807" s="26">
        <v>0.96173469387755095</v>
      </c>
      <c r="W807" s="26">
        <v>0.95166007225184901</v>
      </c>
      <c r="X807" s="28">
        <v>0.92</v>
      </c>
      <c r="Y807" s="28">
        <v>0.97211155378486103</v>
      </c>
      <c r="Z807" s="28">
        <v>0.97565922920892501</v>
      </c>
      <c r="AA807" s="28">
        <v>0.96280991735537202</v>
      </c>
      <c r="AB807" s="28">
        <v>0.97177419354838701</v>
      </c>
      <c r="AC807" s="28">
        <v>0.92</v>
      </c>
      <c r="AD807" s="26">
        <v>1</v>
      </c>
      <c r="AE807" s="26">
        <v>1</v>
      </c>
      <c r="AF807" s="26">
        <v>0.94736842105263197</v>
      </c>
      <c r="AG807" s="26">
        <v>0.97837837837837804</v>
      </c>
      <c r="AH807" s="28">
        <v>0.92</v>
      </c>
      <c r="AI807" s="26">
        <v>0.97209653092005999</v>
      </c>
      <c r="AJ807" s="26">
        <v>0.97582911748173096</v>
      </c>
      <c r="AK807" s="26">
        <v>0.96687697160883301</v>
      </c>
      <c r="AL807" s="26">
        <v>0.97590361445783103</v>
      </c>
      <c r="AM807" s="25">
        <v>0.99</v>
      </c>
      <c r="AN807" s="30">
        <v>1</v>
      </c>
      <c r="AO807" s="30">
        <v>1</v>
      </c>
      <c r="AP807" s="30">
        <v>1</v>
      </c>
      <c r="AQ807" s="30">
        <v>1</v>
      </c>
      <c r="AR807" s="50">
        <v>8.1059522893420499E-2</v>
      </c>
      <c r="AS807" s="34">
        <v>0</v>
      </c>
      <c r="AT807" s="34">
        <v>0</v>
      </c>
      <c r="AU807" s="34">
        <v>0</v>
      </c>
      <c r="AV807" s="34">
        <v>0.04</v>
      </c>
      <c r="AW807" s="10"/>
      <c r="AX807" s="8"/>
    </row>
    <row r="808" spans="1:50">
      <c r="A808" s="7"/>
      <c r="B808" s="10"/>
      <c r="C808" s="45" t="s">
        <v>688</v>
      </c>
      <c r="D808" s="23" t="s">
        <v>21</v>
      </c>
      <c r="E808" s="68" t="s">
        <v>854</v>
      </c>
      <c r="F808" s="68" t="s">
        <v>854</v>
      </c>
      <c r="G808" s="68" t="s">
        <v>854</v>
      </c>
      <c r="H808" s="68" t="s">
        <v>854</v>
      </c>
      <c r="I808" s="25">
        <v>0.9</v>
      </c>
      <c r="J808" s="26">
        <v>0.93333333333333302</v>
      </c>
      <c r="K808" s="26">
        <v>0.95384615384615401</v>
      </c>
      <c r="L808" s="27">
        <v>0.96153846153846201</v>
      </c>
      <c r="M808" s="26">
        <v>0.95882352941176496</v>
      </c>
      <c r="N808" s="28">
        <v>0.9</v>
      </c>
      <c r="O808" s="26">
        <v>0.96658008658008698</v>
      </c>
      <c r="P808" s="26">
        <v>0.96194444444444405</v>
      </c>
      <c r="Q808" s="26">
        <v>0.96588021778584399</v>
      </c>
      <c r="R808" s="26">
        <v>0.96490124104177599</v>
      </c>
      <c r="S808" s="28">
        <v>0.9</v>
      </c>
      <c r="T808" s="26">
        <v>0.93593073593073595</v>
      </c>
      <c r="U808" s="26">
        <v>0.92458333333333298</v>
      </c>
      <c r="V808" s="26">
        <v>0.94954627949183301</v>
      </c>
      <c r="W808" s="26">
        <v>0.93931130921167605</v>
      </c>
      <c r="X808" s="28">
        <v>0.92</v>
      </c>
      <c r="Y808" s="28">
        <v>0.95338983050847503</v>
      </c>
      <c r="Z808" s="28">
        <v>0.95793758480325597</v>
      </c>
      <c r="AA808" s="28">
        <v>0.94752851711026598</v>
      </c>
      <c r="AB808" s="28">
        <v>0.95062258480034301</v>
      </c>
      <c r="AC808" s="28">
        <v>0.92</v>
      </c>
      <c r="AD808" s="26">
        <v>0.9990234375</v>
      </c>
      <c r="AE808" s="26">
        <v>0.99953445065176905</v>
      </c>
      <c r="AF808" s="26">
        <v>0.99955217196596502</v>
      </c>
      <c r="AG808" s="26">
        <v>0.99947253409690295</v>
      </c>
      <c r="AH808" s="28">
        <v>0.92</v>
      </c>
      <c r="AI808" s="26">
        <v>0.96621135873472297</v>
      </c>
      <c r="AJ808" s="26">
        <v>0.97763430943048202</v>
      </c>
      <c r="AK808" s="26">
        <v>0.96412776412776402</v>
      </c>
      <c r="AL808" s="26">
        <v>0.97215901109706404</v>
      </c>
      <c r="AM808" s="25">
        <v>0.99</v>
      </c>
      <c r="AN808" s="30">
        <v>1</v>
      </c>
      <c r="AO808" s="30">
        <v>1</v>
      </c>
      <c r="AP808" s="30">
        <v>1</v>
      </c>
      <c r="AQ808" s="30">
        <v>1</v>
      </c>
      <c r="AR808" s="50">
        <v>8.1059522893420499E-2</v>
      </c>
      <c r="AS808" s="34">
        <v>5.9701492537313397E-2</v>
      </c>
      <c r="AT808" s="34">
        <v>4.08163265306122E-2</v>
      </c>
      <c r="AU808" s="34">
        <v>2.6315789473684199E-2</v>
      </c>
      <c r="AV808" s="34">
        <v>3.15457413249211E-3</v>
      </c>
      <c r="AW808" s="10"/>
      <c r="AX808" s="8"/>
    </row>
    <row r="809" spans="1:50">
      <c r="A809" s="7"/>
      <c r="B809" s="10"/>
      <c r="C809" s="45" t="s">
        <v>688</v>
      </c>
      <c r="D809" s="23" t="s">
        <v>21</v>
      </c>
      <c r="E809" s="68" t="s">
        <v>20</v>
      </c>
      <c r="F809" s="68" t="s">
        <v>20</v>
      </c>
      <c r="G809" s="68" t="s">
        <v>20</v>
      </c>
      <c r="H809" s="68" t="s">
        <v>20</v>
      </c>
      <c r="I809" s="25">
        <v>0.9</v>
      </c>
      <c r="J809" s="26">
        <v>1</v>
      </c>
      <c r="K809" s="26">
        <v>1</v>
      </c>
      <c r="L809" s="27">
        <v>0.88461538461538503</v>
      </c>
      <c r="M809" s="26">
        <v>0.96855345911949697</v>
      </c>
      <c r="N809" s="28">
        <v>0.9</v>
      </c>
      <c r="O809" s="26">
        <v>0.97429814155792804</v>
      </c>
      <c r="P809" s="26">
        <v>0.97766097240473104</v>
      </c>
      <c r="Q809" s="26">
        <v>0.97686832740213503</v>
      </c>
      <c r="R809" s="26">
        <v>0.97740203541950499</v>
      </c>
      <c r="S809" s="28">
        <v>0.9</v>
      </c>
      <c r="T809" s="26">
        <v>0.94622380387504901</v>
      </c>
      <c r="U809" s="26">
        <v>0.89421813403416595</v>
      </c>
      <c r="V809" s="26">
        <v>0.93683274021352303</v>
      </c>
      <c r="W809" s="26">
        <v>0.914496353874509</v>
      </c>
      <c r="X809" s="28">
        <v>0.92</v>
      </c>
      <c r="Y809" s="28">
        <v>0.93761814744801497</v>
      </c>
      <c r="Z809" s="28">
        <v>0.93968253968254001</v>
      </c>
      <c r="AA809" s="28">
        <v>0.933447098976109</v>
      </c>
      <c r="AB809" s="28">
        <v>0.93800452050371297</v>
      </c>
      <c r="AC809" s="28">
        <v>0.92</v>
      </c>
      <c r="AD809" s="26">
        <v>1</v>
      </c>
      <c r="AE809" s="26">
        <v>0.99888888888888905</v>
      </c>
      <c r="AF809" s="26">
        <v>1</v>
      </c>
      <c r="AG809" s="26">
        <v>0.99878172588832503</v>
      </c>
      <c r="AH809" s="28">
        <v>0.92</v>
      </c>
      <c r="AI809" s="26">
        <v>0.96599084368868504</v>
      </c>
      <c r="AJ809" s="26">
        <v>0.96135002721829099</v>
      </c>
      <c r="AK809" s="26">
        <v>0.95791934541204005</v>
      </c>
      <c r="AL809" s="26">
        <v>0.95827181100340197</v>
      </c>
      <c r="AM809" s="25">
        <v>0.99</v>
      </c>
      <c r="AN809" s="30">
        <v>1</v>
      </c>
      <c r="AO809" s="30">
        <v>1</v>
      </c>
      <c r="AP809" s="30">
        <v>1</v>
      </c>
      <c r="AQ809" s="30">
        <v>1</v>
      </c>
      <c r="AR809" s="50">
        <v>8.1059522893420499E-2</v>
      </c>
      <c r="AS809" s="34">
        <v>0</v>
      </c>
      <c r="AT809" s="34">
        <v>7.4074074074074098E-2</v>
      </c>
      <c r="AU809" s="34">
        <v>0</v>
      </c>
      <c r="AV809" s="34">
        <v>1.4598540145985399E-2</v>
      </c>
      <c r="AW809" s="10"/>
      <c r="AX809" s="8"/>
    </row>
    <row r="810" spans="1:50">
      <c r="A810" s="7"/>
      <c r="B810" s="10"/>
      <c r="C810" s="45" t="s">
        <v>688</v>
      </c>
      <c r="D810" s="23" t="s">
        <v>21</v>
      </c>
      <c r="E810" s="68" t="s">
        <v>855</v>
      </c>
      <c r="F810" s="68" t="s">
        <v>855</v>
      </c>
      <c r="G810" s="68" t="s">
        <v>855</v>
      </c>
      <c r="H810" s="68" t="s">
        <v>855</v>
      </c>
      <c r="I810" s="25">
        <v>0.9</v>
      </c>
      <c r="J810" s="26">
        <v>0.96666666666666701</v>
      </c>
      <c r="K810" s="26">
        <v>1</v>
      </c>
      <c r="L810" s="27">
        <v>0.92</v>
      </c>
      <c r="M810" s="26">
        <v>0.97005988023952106</v>
      </c>
      <c r="N810" s="28">
        <v>0.9</v>
      </c>
      <c r="O810" s="26">
        <v>0.972575516693164</v>
      </c>
      <c r="P810" s="26">
        <v>0.96128629409928201</v>
      </c>
      <c r="Q810" s="26">
        <v>0.95112490302560104</v>
      </c>
      <c r="R810" s="26">
        <v>0.960467068610242</v>
      </c>
      <c r="S810" s="28">
        <v>0.9</v>
      </c>
      <c r="T810" s="26">
        <v>0.93998410174880798</v>
      </c>
      <c r="U810" s="26">
        <v>0.90977208866687498</v>
      </c>
      <c r="V810" s="26">
        <v>0.90768037238169097</v>
      </c>
      <c r="W810" s="26">
        <v>0.920705182019385</v>
      </c>
      <c r="X810" s="28">
        <v>0.92</v>
      </c>
      <c r="Y810" s="28">
        <v>0.94559099437148197</v>
      </c>
      <c r="Z810" s="28">
        <v>0.94435612082670894</v>
      </c>
      <c r="AA810" s="28">
        <v>0.94086956521739096</v>
      </c>
      <c r="AB810" s="28">
        <v>0.93371033616085497</v>
      </c>
      <c r="AC810" s="28">
        <v>0.92</v>
      </c>
      <c r="AD810" s="26">
        <v>0.99494949494949503</v>
      </c>
      <c r="AE810" s="26">
        <v>0.96428571428571397</v>
      </c>
      <c r="AF810" s="26">
        <v>0.99014778325123198</v>
      </c>
      <c r="AG810" s="26">
        <v>0.98952380952380903</v>
      </c>
      <c r="AH810" s="28">
        <v>0.92</v>
      </c>
      <c r="AI810" s="26">
        <v>0.96982617251557901</v>
      </c>
      <c r="AJ810" s="26">
        <v>0.96346555323590799</v>
      </c>
      <c r="AK810" s="26">
        <v>0.94581545064377703</v>
      </c>
      <c r="AL810" s="26">
        <v>0.96113226083752901</v>
      </c>
      <c r="AM810" s="25">
        <v>0.99</v>
      </c>
      <c r="AN810" s="30">
        <v>1</v>
      </c>
      <c r="AO810" s="30">
        <v>1</v>
      </c>
      <c r="AP810" s="30">
        <v>1</v>
      </c>
      <c r="AQ810" s="30">
        <v>1</v>
      </c>
      <c r="AR810" s="50">
        <v>8.1059522893420499E-2</v>
      </c>
      <c r="AS810" s="34">
        <v>8.3333333333333301E-2</v>
      </c>
      <c r="AT810" s="34">
        <v>0.12</v>
      </c>
      <c r="AU810" s="34">
        <v>0.14285714285714299</v>
      </c>
      <c r="AV810" s="34">
        <v>5.6910569105691103E-2</v>
      </c>
      <c r="AW810" s="10"/>
      <c r="AX810" s="8"/>
    </row>
    <row r="811" spans="1:50">
      <c r="A811" s="7"/>
      <c r="B811" s="10"/>
      <c r="C811" s="45" t="s">
        <v>688</v>
      </c>
      <c r="D811" s="23" t="s">
        <v>21</v>
      </c>
      <c r="E811" s="68" t="s">
        <v>856</v>
      </c>
      <c r="F811" s="68" t="s">
        <v>856</v>
      </c>
      <c r="G811" s="68" t="s">
        <v>856</v>
      </c>
      <c r="H811" s="68" t="s">
        <v>856</v>
      </c>
      <c r="I811" s="25">
        <v>0.9</v>
      </c>
      <c r="J811" s="26">
        <v>0.96078431372549</v>
      </c>
      <c r="K811" s="26">
        <v>0.96078431372549</v>
      </c>
      <c r="L811" s="27">
        <v>1</v>
      </c>
      <c r="M811" s="26">
        <v>0.97526501766784501</v>
      </c>
      <c r="N811" s="28">
        <v>0.9</v>
      </c>
      <c r="O811" s="26">
        <v>0.96487560108718395</v>
      </c>
      <c r="P811" s="26">
        <v>0.95893523778607404</v>
      </c>
      <c r="Q811" s="26">
        <v>0.97519247219845995</v>
      </c>
      <c r="R811" s="26">
        <v>0.96862335491957396</v>
      </c>
      <c r="S811" s="28">
        <v>0.9</v>
      </c>
      <c r="T811" s="26">
        <v>0.94856784444909004</v>
      </c>
      <c r="U811" s="26">
        <v>0.93897094627495503</v>
      </c>
      <c r="V811" s="26">
        <v>0.945252352437981</v>
      </c>
      <c r="W811" s="26">
        <v>0.94865260079381697</v>
      </c>
      <c r="X811" s="28">
        <v>0.92</v>
      </c>
      <c r="Y811" s="28">
        <v>0.95046439628483004</v>
      </c>
      <c r="Z811" s="28">
        <v>0.96489859594383798</v>
      </c>
      <c r="AA811" s="28">
        <v>0.95619047619047604</v>
      </c>
      <c r="AB811" s="28">
        <v>0.96136598827181796</v>
      </c>
      <c r="AC811" s="28">
        <v>0.92</v>
      </c>
      <c r="AD811" s="26">
        <v>0.99933510638297895</v>
      </c>
      <c r="AE811" s="26">
        <v>0.99969604863221895</v>
      </c>
      <c r="AF811" s="26">
        <v>0.99930135072193804</v>
      </c>
      <c r="AG811" s="26">
        <v>0.99841987685936895</v>
      </c>
      <c r="AH811" s="28">
        <v>0.92</v>
      </c>
      <c r="AI811" s="26">
        <v>0.97149313401703496</v>
      </c>
      <c r="AJ811" s="26">
        <v>0.979040709391374</v>
      </c>
      <c r="AK811" s="26">
        <v>0.96605667060212497</v>
      </c>
      <c r="AL811" s="26">
        <v>0.97706406591558803</v>
      </c>
      <c r="AM811" s="25">
        <v>0.99</v>
      </c>
      <c r="AN811" s="30">
        <v>1</v>
      </c>
      <c r="AO811" s="30">
        <v>1</v>
      </c>
      <c r="AP811" s="30">
        <v>1</v>
      </c>
      <c r="AQ811" s="30">
        <v>1</v>
      </c>
      <c r="AR811" s="50">
        <v>8.1059522893420499E-2</v>
      </c>
      <c r="AS811" s="34">
        <v>-6.6666666666666693E-2</v>
      </c>
      <c r="AT811" s="34">
        <v>3.125E-2</v>
      </c>
      <c r="AU811" s="34">
        <v>0</v>
      </c>
      <c r="AV811" s="34">
        <v>-4.1916167664670698E-2</v>
      </c>
      <c r="AW811" s="10"/>
      <c r="AX811" s="8"/>
    </row>
    <row r="812" spans="1:50">
      <c r="A812" s="7"/>
      <c r="B812" s="10"/>
      <c r="C812" s="45" t="s">
        <v>688</v>
      </c>
      <c r="D812" s="23" t="s">
        <v>21</v>
      </c>
      <c r="E812" s="68" t="s">
        <v>857</v>
      </c>
      <c r="F812" s="68" t="s">
        <v>857</v>
      </c>
      <c r="G812" s="68" t="s">
        <v>857</v>
      </c>
      <c r="H812" s="68" t="s">
        <v>857</v>
      </c>
      <c r="I812" s="25">
        <v>0.9</v>
      </c>
      <c r="J812" s="26">
        <v>1</v>
      </c>
      <c r="K812" s="26">
        <v>1</v>
      </c>
      <c r="L812" s="27">
        <v>1</v>
      </c>
      <c r="M812" s="26">
        <v>1</v>
      </c>
      <c r="N812" s="28">
        <v>0.9</v>
      </c>
      <c r="O812" s="26">
        <v>0.98550724637681197</v>
      </c>
      <c r="P812" s="26">
        <v>0.97534125935711102</v>
      </c>
      <c r="Q812" s="26">
        <v>0.971127151582454</v>
      </c>
      <c r="R812" s="26">
        <v>0.98109892450218295</v>
      </c>
      <c r="S812" s="28">
        <v>0.9</v>
      </c>
      <c r="T812" s="26">
        <v>0.94312277823352497</v>
      </c>
      <c r="U812" s="26">
        <v>0.93703214442976701</v>
      </c>
      <c r="V812" s="26">
        <v>0.93559133814547502</v>
      </c>
      <c r="W812" s="26">
        <v>0.93983601320413201</v>
      </c>
      <c r="X812" s="28">
        <v>0.92</v>
      </c>
      <c r="Y812" s="28">
        <v>0.92298435619735297</v>
      </c>
      <c r="Z812" s="28">
        <v>0.93274531422271201</v>
      </c>
      <c r="AA812" s="28">
        <v>0.94658385093167696</v>
      </c>
      <c r="AB812" s="28">
        <v>0.93352473498233202</v>
      </c>
      <c r="AC812" s="28">
        <v>0.92</v>
      </c>
      <c r="AD812" s="26">
        <v>0.99823321554770295</v>
      </c>
      <c r="AE812" s="26">
        <v>0.998410174880763</v>
      </c>
      <c r="AF812" s="26">
        <v>0.99779573842762703</v>
      </c>
      <c r="AG812" s="26">
        <v>0.99763264169335797</v>
      </c>
      <c r="AH812" s="28">
        <v>0.92</v>
      </c>
      <c r="AI812" s="26">
        <v>0.95989304812834197</v>
      </c>
      <c r="AJ812" s="26">
        <v>0.96568807339449503</v>
      </c>
      <c r="AK812" s="26">
        <v>0.96394322976601499</v>
      </c>
      <c r="AL812" s="26">
        <v>0.96307573548331804</v>
      </c>
      <c r="AM812" s="25">
        <v>0.99</v>
      </c>
      <c r="AN812" s="30">
        <v>1</v>
      </c>
      <c r="AO812" s="30">
        <v>1</v>
      </c>
      <c r="AP812" s="30">
        <v>1</v>
      </c>
      <c r="AQ812" s="30">
        <v>1</v>
      </c>
      <c r="AR812" s="50">
        <v>8.1059522893420499E-2</v>
      </c>
      <c r="AS812" s="34">
        <v>0</v>
      </c>
      <c r="AT812" s="34">
        <v>6.4516129032258104E-2</v>
      </c>
      <c r="AU812" s="34">
        <v>0</v>
      </c>
      <c r="AV812" s="34">
        <v>0</v>
      </c>
      <c r="AW812" s="10"/>
      <c r="AX812" s="8"/>
    </row>
    <row r="813" spans="1:50">
      <c r="A813" s="7"/>
      <c r="B813" s="10"/>
      <c r="C813" s="45" t="s">
        <v>688</v>
      </c>
      <c r="D813" s="23" t="s">
        <v>21</v>
      </c>
      <c r="E813" s="68" t="s">
        <v>858</v>
      </c>
      <c r="F813" s="68" t="s">
        <v>858</v>
      </c>
      <c r="G813" s="68" t="s">
        <v>858</v>
      </c>
      <c r="H813" s="68" t="s">
        <v>858</v>
      </c>
      <c r="I813" s="25">
        <v>0.9</v>
      </c>
      <c r="J813" s="26">
        <v>0.891891891891892</v>
      </c>
      <c r="K813" s="26">
        <v>0.94736842105263197</v>
      </c>
      <c r="L813" s="27">
        <v>0.75862068965517204</v>
      </c>
      <c r="M813" s="26">
        <v>0.89805825242718496</v>
      </c>
      <c r="N813" s="28">
        <v>0.9</v>
      </c>
      <c r="O813" s="26">
        <v>0.95613793103448297</v>
      </c>
      <c r="P813" s="26">
        <v>0.95988346033169003</v>
      </c>
      <c r="Q813" s="26">
        <v>0.95594059405940601</v>
      </c>
      <c r="R813" s="26">
        <v>0.94780307040762302</v>
      </c>
      <c r="S813" s="28">
        <v>0.9</v>
      </c>
      <c r="T813" s="26">
        <v>0.91696551724137898</v>
      </c>
      <c r="U813" s="26">
        <v>0.91573285522187398</v>
      </c>
      <c r="V813" s="26">
        <v>0.93267326732673295</v>
      </c>
      <c r="W813" s="26">
        <v>0.90487030174695604</v>
      </c>
      <c r="X813" s="28">
        <v>0.92</v>
      </c>
      <c r="Y813" s="28">
        <v>0.94821208384710198</v>
      </c>
      <c r="Z813" s="28">
        <v>0.93832599118942694</v>
      </c>
      <c r="AA813" s="28">
        <v>0.95161290322580605</v>
      </c>
      <c r="AB813" s="28">
        <v>0.93825363825363794</v>
      </c>
      <c r="AC813" s="28">
        <v>0.92</v>
      </c>
      <c r="AD813" s="26">
        <v>0.99963675989829304</v>
      </c>
      <c r="AE813" s="26">
        <v>0.99858515592760699</v>
      </c>
      <c r="AF813" s="26">
        <v>0.99415546464056104</v>
      </c>
      <c r="AG813" s="26">
        <v>0.99686068051087096</v>
      </c>
      <c r="AH813" s="28">
        <v>0.92</v>
      </c>
      <c r="AI813" s="26">
        <v>0.95609097050213898</v>
      </c>
      <c r="AJ813" s="26">
        <v>0.96317649246791903</v>
      </c>
      <c r="AK813" s="26">
        <v>0.95991706979958502</v>
      </c>
      <c r="AL813" s="26">
        <v>0.95180722891566305</v>
      </c>
      <c r="AM813" s="25">
        <v>0.99</v>
      </c>
      <c r="AN813" s="30">
        <v>1</v>
      </c>
      <c r="AO813" s="30">
        <v>1</v>
      </c>
      <c r="AP813" s="30">
        <v>1</v>
      </c>
      <c r="AQ813" s="30">
        <v>1</v>
      </c>
      <c r="AR813" s="50">
        <v>8.1059522893420499E-2</v>
      </c>
      <c r="AS813" s="34">
        <v>0</v>
      </c>
      <c r="AT813" s="34">
        <v>0</v>
      </c>
      <c r="AU813" s="34">
        <v>0.1</v>
      </c>
      <c r="AV813" s="34">
        <v>5.74712643678161E-3</v>
      </c>
      <c r="AW813" s="10"/>
      <c r="AX813" s="8"/>
    </row>
    <row r="814" spans="1:50">
      <c r="A814" s="7"/>
      <c r="B814" s="10"/>
      <c r="C814" s="45" t="s">
        <v>688</v>
      </c>
      <c r="D814" s="23" t="s">
        <v>21</v>
      </c>
      <c r="E814" s="68" t="s">
        <v>859</v>
      </c>
      <c r="F814" s="68" t="s">
        <v>859</v>
      </c>
      <c r="G814" s="68" t="s">
        <v>859</v>
      </c>
      <c r="H814" s="68" t="s">
        <v>859</v>
      </c>
      <c r="I814" s="25">
        <v>0.9</v>
      </c>
      <c r="J814" s="26">
        <v>0.96551724137931005</v>
      </c>
      <c r="K814" s="26">
        <v>0.92857142857142905</v>
      </c>
      <c r="L814" s="27">
        <v>0.86956521739130399</v>
      </c>
      <c r="M814" s="26">
        <v>0.87919463087248295</v>
      </c>
      <c r="N814" s="28">
        <v>0.9</v>
      </c>
      <c r="O814" s="26">
        <v>0.98661126500461704</v>
      </c>
      <c r="P814" s="26">
        <v>0.98557874762808395</v>
      </c>
      <c r="Q814" s="26">
        <v>0.98760330578512401</v>
      </c>
      <c r="R814" s="26">
        <v>0.98121556940305199</v>
      </c>
      <c r="S814" s="28">
        <v>0.9</v>
      </c>
      <c r="T814" s="26">
        <v>0.94736842105263197</v>
      </c>
      <c r="U814" s="26">
        <v>0.92903225806451595</v>
      </c>
      <c r="V814" s="26">
        <v>0.94628099173553704</v>
      </c>
      <c r="W814" s="26">
        <v>0.93822812246003795</v>
      </c>
      <c r="X814" s="28">
        <v>0.92</v>
      </c>
      <c r="Y814" s="28">
        <v>0.93347193347193302</v>
      </c>
      <c r="Z814" s="28">
        <v>0.94043321299639004</v>
      </c>
      <c r="AA814" s="28">
        <v>0.94941634241245099</v>
      </c>
      <c r="AB814" s="28">
        <v>0.94418604651162796</v>
      </c>
      <c r="AC814" s="28">
        <v>0.92</v>
      </c>
      <c r="AD814" s="26">
        <v>1</v>
      </c>
      <c r="AE814" s="26">
        <v>0.99303135888501703</v>
      </c>
      <c r="AF814" s="26">
        <v>0.99693721286370596</v>
      </c>
      <c r="AG814" s="26">
        <v>0.99612403100775204</v>
      </c>
      <c r="AH814" s="28">
        <v>0.92</v>
      </c>
      <c r="AI814" s="26">
        <v>0.96184359652436702</v>
      </c>
      <c r="AJ814" s="26">
        <v>0.96487927249921601</v>
      </c>
      <c r="AK814" s="26">
        <v>0.964935940660823</v>
      </c>
      <c r="AL814" s="26">
        <v>0.96467195385724602</v>
      </c>
      <c r="AM814" s="25">
        <v>0.99</v>
      </c>
      <c r="AN814" s="30">
        <v>1</v>
      </c>
      <c r="AO814" s="30">
        <v>1</v>
      </c>
      <c r="AP814" s="30">
        <v>1</v>
      </c>
      <c r="AQ814" s="30">
        <v>1</v>
      </c>
      <c r="AR814" s="50">
        <v>8.1059522893420499E-2</v>
      </c>
      <c r="AS814" s="34">
        <v>0</v>
      </c>
      <c r="AT814" s="34">
        <v>-7.4074074074074098E-2</v>
      </c>
      <c r="AU814" s="34">
        <v>0</v>
      </c>
      <c r="AV814" s="34">
        <v>8.7719298245613996E-3</v>
      </c>
      <c r="AW814" s="10"/>
      <c r="AX814" s="8"/>
    </row>
    <row r="815" spans="1:50">
      <c r="A815" s="7"/>
      <c r="B815" s="10"/>
      <c r="C815" s="45" t="s">
        <v>688</v>
      </c>
      <c r="D815" s="23" t="s">
        <v>21</v>
      </c>
      <c r="E815" s="68" t="s">
        <v>860</v>
      </c>
      <c r="F815" s="68" t="s">
        <v>860</v>
      </c>
      <c r="G815" s="68" t="s">
        <v>860</v>
      </c>
      <c r="H815" s="68" t="s">
        <v>860</v>
      </c>
      <c r="I815" s="25">
        <v>0.9</v>
      </c>
      <c r="J815" s="26">
        <v>0.76923076923076905</v>
      </c>
      <c r="K815" s="26">
        <v>1</v>
      </c>
      <c r="L815" s="27">
        <v>1</v>
      </c>
      <c r="M815" s="26">
        <v>0.931506849315068</v>
      </c>
      <c r="N815" s="28">
        <v>0.9</v>
      </c>
      <c r="O815" s="26">
        <v>0.94749216300940398</v>
      </c>
      <c r="P815" s="26">
        <v>0.96594629993451198</v>
      </c>
      <c r="Q815" s="26">
        <v>0.93553719008264502</v>
      </c>
      <c r="R815" s="26">
        <v>0.93653463832390305</v>
      </c>
      <c r="S815" s="28">
        <v>0.9</v>
      </c>
      <c r="T815" s="26">
        <v>0.860501567398119</v>
      </c>
      <c r="U815" s="26">
        <v>0.92992796332678496</v>
      </c>
      <c r="V815" s="26">
        <v>0.91404958677685999</v>
      </c>
      <c r="W815" s="26">
        <v>0.91130142223581601</v>
      </c>
      <c r="X815" s="28">
        <v>0.92</v>
      </c>
      <c r="Y815" s="28">
        <v>0.91103202846975095</v>
      </c>
      <c r="Z815" s="28">
        <v>0.93059936908517304</v>
      </c>
      <c r="AA815" s="28">
        <v>0.93311036789297697</v>
      </c>
      <c r="AB815" s="28">
        <v>0.91646489104116202</v>
      </c>
      <c r="AC815" s="28">
        <v>0.92</v>
      </c>
      <c r="AD815" s="26">
        <v>1</v>
      </c>
      <c r="AE815" s="26">
        <v>0.9965075669383</v>
      </c>
      <c r="AF815" s="26">
        <v>0.99862448418156802</v>
      </c>
      <c r="AG815" s="26">
        <v>0.99713845476557295</v>
      </c>
      <c r="AH815" s="28">
        <v>0.92</v>
      </c>
      <c r="AI815" s="26">
        <v>0.94669235709698096</v>
      </c>
      <c r="AJ815" s="26">
        <v>0.95555555555555605</v>
      </c>
      <c r="AK815" s="26">
        <v>0.94026548672566401</v>
      </c>
      <c r="AL815" s="26">
        <v>0.9447021484375</v>
      </c>
      <c r="AM815" s="25">
        <v>0.99</v>
      </c>
      <c r="AN815" s="30">
        <v>1</v>
      </c>
      <c r="AO815" s="30">
        <v>1</v>
      </c>
      <c r="AP815" s="30">
        <v>1</v>
      </c>
      <c r="AQ815" s="30">
        <v>1</v>
      </c>
      <c r="AR815" s="50">
        <v>8.1059522893420499E-2</v>
      </c>
      <c r="AS815" s="34">
        <v>-7.1428571428571397E-2</v>
      </c>
      <c r="AT815" s="34">
        <v>0.14285714285714299</v>
      </c>
      <c r="AU815" s="34">
        <v>0</v>
      </c>
      <c r="AV815" s="34">
        <v>2.4390243902439001E-2</v>
      </c>
      <c r="AW815" s="10"/>
      <c r="AX815" s="8"/>
    </row>
    <row r="816" spans="1:50">
      <c r="A816" s="7"/>
      <c r="B816" s="10"/>
      <c r="C816" s="45" t="s">
        <v>688</v>
      </c>
      <c r="D816" s="23" t="s">
        <v>21</v>
      </c>
      <c r="E816" s="68" t="s">
        <v>861</v>
      </c>
      <c r="F816" s="68" t="s">
        <v>861</v>
      </c>
      <c r="G816" s="68" t="s">
        <v>861</v>
      </c>
      <c r="H816" s="68" t="s">
        <v>861</v>
      </c>
      <c r="I816" s="25">
        <v>0.9</v>
      </c>
      <c r="J816" s="26">
        <v>0.98214285714285698</v>
      </c>
      <c r="K816" s="26">
        <v>0.91228070175438603</v>
      </c>
      <c r="L816" s="27">
        <v>0.98076923076923095</v>
      </c>
      <c r="M816" s="26">
        <v>0.952229299363057</v>
      </c>
      <c r="N816" s="28">
        <v>0.9</v>
      </c>
      <c r="O816" s="26">
        <v>0.98334443704197205</v>
      </c>
      <c r="P816" s="26">
        <v>0.977556561085973</v>
      </c>
      <c r="Q816" s="26">
        <v>0.990444338270425</v>
      </c>
      <c r="R816" s="26">
        <v>0.97402201818893897</v>
      </c>
      <c r="S816" s="28">
        <v>0.9</v>
      </c>
      <c r="T816" s="26">
        <v>0.92915833888518795</v>
      </c>
      <c r="U816" s="26">
        <v>0.92036199095022597</v>
      </c>
      <c r="V816" s="26">
        <v>0.95126612517916898</v>
      </c>
      <c r="W816" s="26">
        <v>0.91915060267177195</v>
      </c>
      <c r="X816" s="28">
        <v>0.92</v>
      </c>
      <c r="Y816" s="28">
        <v>0.946524064171123</v>
      </c>
      <c r="Z816" s="28">
        <v>0.95147313691507795</v>
      </c>
      <c r="AA816" s="28">
        <v>0.95091434071222303</v>
      </c>
      <c r="AB816" s="28">
        <v>0.92831795599716105</v>
      </c>
      <c r="AC816" s="28">
        <v>0.92</v>
      </c>
      <c r="AD816" s="26">
        <v>0.99354005167958703</v>
      </c>
      <c r="AE816" s="26">
        <v>0.99937965260545902</v>
      </c>
      <c r="AF816" s="26">
        <v>0.99932569116655401</v>
      </c>
      <c r="AG816" s="26">
        <v>0.99842129003157398</v>
      </c>
      <c r="AH816" s="28">
        <v>0.92</v>
      </c>
      <c r="AI816" s="26">
        <v>0.965244575211475</v>
      </c>
      <c r="AJ816" s="26">
        <v>0.97260068872585703</v>
      </c>
      <c r="AK816" s="26">
        <v>0.97094508301404903</v>
      </c>
      <c r="AL816" s="26">
        <v>0.95817463922568902</v>
      </c>
      <c r="AM816" s="25">
        <v>0.99</v>
      </c>
      <c r="AN816" s="30">
        <v>1</v>
      </c>
      <c r="AO816" s="30">
        <v>1</v>
      </c>
      <c r="AP816" s="30">
        <v>1</v>
      </c>
      <c r="AQ816" s="30">
        <v>1</v>
      </c>
      <c r="AR816" s="50">
        <v>8.1059522893420499E-2</v>
      </c>
      <c r="AS816" s="34">
        <v>6.0606060606060601E-2</v>
      </c>
      <c r="AT816" s="34">
        <v>4.8780487804878099E-2</v>
      </c>
      <c r="AU816" s="34">
        <v>6.4516129032258104E-2</v>
      </c>
      <c r="AV816" s="34">
        <v>6.4516129032258104E-2</v>
      </c>
      <c r="AW816" s="10"/>
      <c r="AX816" s="8"/>
    </row>
    <row r="817" spans="1:50">
      <c r="A817" s="7"/>
      <c r="B817" s="10"/>
      <c r="C817" s="45" t="s">
        <v>688</v>
      </c>
      <c r="D817" s="23" t="s">
        <v>21</v>
      </c>
      <c r="E817" s="68" t="s">
        <v>862</v>
      </c>
      <c r="F817" s="68" t="s">
        <v>862</v>
      </c>
      <c r="G817" s="68" t="s">
        <v>862</v>
      </c>
      <c r="H817" s="68" t="s">
        <v>862</v>
      </c>
      <c r="I817" s="25">
        <v>0.9</v>
      </c>
      <c r="J817" s="26">
        <v>0.96969696969696995</v>
      </c>
      <c r="K817" s="26">
        <v>0.94029850746268695</v>
      </c>
      <c r="L817" s="27">
        <v>0.91803278688524603</v>
      </c>
      <c r="M817" s="26">
        <v>0.94933333333333303</v>
      </c>
      <c r="N817" s="28">
        <v>0.9</v>
      </c>
      <c r="O817" s="26">
        <v>0.97623089983022104</v>
      </c>
      <c r="P817" s="26">
        <v>0.98549042367962902</v>
      </c>
      <c r="Q817" s="26">
        <v>0.97404153354632605</v>
      </c>
      <c r="R817" s="26">
        <v>0.97443121786292897</v>
      </c>
      <c r="S817" s="28">
        <v>0.9</v>
      </c>
      <c r="T817" s="26">
        <v>0.94567062818336201</v>
      </c>
      <c r="U817" s="26">
        <v>0.94471851421938502</v>
      </c>
      <c r="V817" s="26">
        <v>0.951277955271565</v>
      </c>
      <c r="W817" s="26">
        <v>0.94030428963865598</v>
      </c>
      <c r="X817" s="28">
        <v>0.92</v>
      </c>
      <c r="Y817" s="28">
        <v>0.90371621621621601</v>
      </c>
      <c r="Z817" s="28">
        <v>0.91394025604551898</v>
      </c>
      <c r="AA817" s="28">
        <v>0.90924805531547104</v>
      </c>
      <c r="AB817" s="28">
        <v>0.89548151528982201</v>
      </c>
      <c r="AC817" s="28">
        <v>0.92</v>
      </c>
      <c r="AD817" s="26">
        <v>1</v>
      </c>
      <c r="AE817" s="26">
        <v>0.99765120375807403</v>
      </c>
      <c r="AF817" s="26">
        <v>0.99813866914844096</v>
      </c>
      <c r="AG817" s="26">
        <v>0.99757846698332897</v>
      </c>
      <c r="AH817" s="28">
        <v>0.92</v>
      </c>
      <c r="AI817" s="26">
        <v>0.95637428703561</v>
      </c>
      <c r="AJ817" s="26">
        <v>0.959508315256688</v>
      </c>
      <c r="AK817" s="26">
        <v>0.95084653194975399</v>
      </c>
      <c r="AL817" s="26">
        <v>0.95125089349535397</v>
      </c>
      <c r="AM817" s="25">
        <v>0.99</v>
      </c>
      <c r="AN817" s="30">
        <v>1</v>
      </c>
      <c r="AO817" s="30">
        <v>1</v>
      </c>
      <c r="AP817" s="30">
        <v>1</v>
      </c>
      <c r="AQ817" s="30">
        <v>1</v>
      </c>
      <c r="AR817" s="50">
        <v>8.1059522893420499E-2</v>
      </c>
      <c r="AS817" s="34">
        <v>0</v>
      </c>
      <c r="AT817" s="34">
        <v>-3.3333333333333298E-2</v>
      </c>
      <c r="AU817" s="34">
        <v>9.0909090909090898E-2</v>
      </c>
      <c r="AV817" s="34">
        <v>2.2099447513812199E-2</v>
      </c>
      <c r="AW817" s="10"/>
      <c r="AX817" s="8"/>
    </row>
    <row r="818" spans="1:50">
      <c r="A818" s="7"/>
      <c r="B818" s="10"/>
      <c r="C818" s="45" t="s">
        <v>688</v>
      </c>
      <c r="D818" s="23" t="s">
        <v>21</v>
      </c>
      <c r="E818" s="68" t="s">
        <v>863</v>
      </c>
      <c r="F818" s="68" t="s">
        <v>863</v>
      </c>
      <c r="G818" s="68" t="s">
        <v>863</v>
      </c>
      <c r="H818" s="68" t="s">
        <v>863</v>
      </c>
      <c r="I818" s="25">
        <v>0.9</v>
      </c>
      <c r="J818" s="26">
        <v>0.84615384615384603</v>
      </c>
      <c r="K818" s="26">
        <v>0.96153846153846201</v>
      </c>
      <c r="L818" s="27">
        <v>0.83333333333333304</v>
      </c>
      <c r="M818" s="26">
        <v>0.88815789473684204</v>
      </c>
      <c r="N818" s="28">
        <v>0.9</v>
      </c>
      <c r="O818" s="26">
        <v>0.99241044323011496</v>
      </c>
      <c r="P818" s="26">
        <v>0.99119295436349097</v>
      </c>
      <c r="Q818" s="26">
        <v>0.99290220820189301</v>
      </c>
      <c r="R818" s="26">
        <v>0.989239825305399</v>
      </c>
      <c r="S818" s="28">
        <v>0.9</v>
      </c>
      <c r="T818" s="26">
        <v>0.95476624165148805</v>
      </c>
      <c r="U818" s="26">
        <v>0.96236989591673305</v>
      </c>
      <c r="V818" s="26">
        <v>0.96135646687697196</v>
      </c>
      <c r="W818" s="26">
        <v>0.96284574973099601</v>
      </c>
      <c r="X818" s="28">
        <v>0.92</v>
      </c>
      <c r="Y818" s="28">
        <v>0.95155279503105605</v>
      </c>
      <c r="Z818" s="28">
        <v>0.95297805642633204</v>
      </c>
      <c r="AA818" s="28">
        <v>0.94066570188133103</v>
      </c>
      <c r="AB818" s="28">
        <v>0.94812563323201604</v>
      </c>
      <c r="AC818" s="28">
        <v>0.92</v>
      </c>
      <c r="AD818" s="26">
        <v>0.99672346002621204</v>
      </c>
      <c r="AE818" s="26">
        <v>0.99136591262303597</v>
      </c>
      <c r="AF818" s="26">
        <v>0.99630484988452706</v>
      </c>
      <c r="AG818" s="26">
        <v>0.99454019912214997</v>
      </c>
      <c r="AH818" s="28">
        <v>0.92</v>
      </c>
      <c r="AI818" s="26">
        <v>0.97731153939985405</v>
      </c>
      <c r="AJ818" s="26">
        <v>0.97980442176870797</v>
      </c>
      <c r="AK818" s="26">
        <v>0.96886166411434405</v>
      </c>
      <c r="AL818" s="26">
        <v>0.97724204435872697</v>
      </c>
      <c r="AM818" s="25">
        <v>0.99</v>
      </c>
      <c r="AN818" s="30">
        <v>1</v>
      </c>
      <c r="AO818" s="30">
        <v>1</v>
      </c>
      <c r="AP818" s="30">
        <v>1</v>
      </c>
      <c r="AQ818" s="30">
        <v>1</v>
      </c>
      <c r="AR818" s="50">
        <v>8.1059522893420499E-2</v>
      </c>
      <c r="AS818" s="34">
        <v>-0.16666666666666699</v>
      </c>
      <c r="AT818" s="34">
        <v>0.16666666666666699</v>
      </c>
      <c r="AU818" s="34">
        <v>0</v>
      </c>
      <c r="AV818" s="34">
        <v>0.1</v>
      </c>
      <c r="AW818" s="10"/>
      <c r="AX818" s="8"/>
    </row>
    <row r="819" spans="1:50">
      <c r="A819" s="7"/>
      <c r="B819" s="10"/>
      <c r="C819" s="45" t="s">
        <v>688</v>
      </c>
      <c r="D819" s="23" t="s">
        <v>21</v>
      </c>
      <c r="E819" s="68" t="s">
        <v>864</v>
      </c>
      <c r="F819" s="68" t="s">
        <v>864</v>
      </c>
      <c r="G819" s="68" t="s">
        <v>864</v>
      </c>
      <c r="H819" s="68" t="s">
        <v>864</v>
      </c>
      <c r="I819" s="25">
        <v>0.9</v>
      </c>
      <c r="J819" s="26">
        <v>0.96296296296296302</v>
      </c>
      <c r="K819" s="26">
        <v>1</v>
      </c>
      <c r="L819" s="27">
        <v>1</v>
      </c>
      <c r="M819" s="26">
        <v>0.969135802469136</v>
      </c>
      <c r="N819" s="28">
        <v>0.9</v>
      </c>
      <c r="O819" s="26">
        <v>0.95732512098548195</v>
      </c>
      <c r="P819" s="26">
        <v>0.96077638495754103</v>
      </c>
      <c r="Q819" s="26">
        <v>0.95642201834862395</v>
      </c>
      <c r="R819" s="26">
        <v>0.96258343517909195</v>
      </c>
      <c r="S819" s="28">
        <v>0.9</v>
      </c>
      <c r="T819" s="26">
        <v>0.95380554333480005</v>
      </c>
      <c r="U819" s="26">
        <v>0.947432268499798</v>
      </c>
      <c r="V819" s="26">
        <v>0.94610091743119296</v>
      </c>
      <c r="W819" s="26">
        <v>0.94688351978941399</v>
      </c>
      <c r="X819" s="28">
        <v>0.92</v>
      </c>
      <c r="Y819" s="28">
        <v>0.90301003344481601</v>
      </c>
      <c r="Z819" s="28">
        <v>0.92074198988195599</v>
      </c>
      <c r="AA819" s="28">
        <v>0.91322314049586795</v>
      </c>
      <c r="AB819" s="28">
        <v>0.91847062131009305</v>
      </c>
      <c r="AC819" s="28">
        <v>0.92</v>
      </c>
      <c r="AD819" s="26">
        <v>1</v>
      </c>
      <c r="AE819" s="26">
        <v>0.991047448522829</v>
      </c>
      <c r="AF819" s="26">
        <v>0.99743808710503801</v>
      </c>
      <c r="AG819" s="26">
        <v>0.99564270152505496</v>
      </c>
      <c r="AH819" s="28">
        <v>0.92</v>
      </c>
      <c r="AI819" s="26">
        <v>0.95924764890282099</v>
      </c>
      <c r="AJ819" s="26">
        <v>0.96216568819308501</v>
      </c>
      <c r="AK819" s="26">
        <v>0.94837758112094395</v>
      </c>
      <c r="AL819" s="26">
        <v>0.95857404537128399</v>
      </c>
      <c r="AM819" s="25">
        <v>0.99</v>
      </c>
      <c r="AN819" s="30">
        <v>1</v>
      </c>
      <c r="AO819" s="30">
        <v>1</v>
      </c>
      <c r="AP819" s="30">
        <v>1</v>
      </c>
      <c r="AQ819" s="30">
        <v>1</v>
      </c>
      <c r="AR819" s="50">
        <v>8.1059522893420499E-2</v>
      </c>
      <c r="AS819" s="34">
        <v>0</v>
      </c>
      <c r="AT819" s="34">
        <v>5.5555555555555601E-2</v>
      </c>
      <c r="AU819" s="34">
        <v>0</v>
      </c>
      <c r="AV819" s="34">
        <v>3.3898305084745797E-2</v>
      </c>
      <c r="AW819" s="10"/>
      <c r="AX819" s="8"/>
    </row>
    <row r="820" spans="1:50">
      <c r="A820" s="7"/>
      <c r="B820" s="10"/>
      <c r="C820" s="45" t="s">
        <v>688</v>
      </c>
      <c r="D820" s="23" t="s">
        <v>21</v>
      </c>
      <c r="E820" s="68" t="s">
        <v>865</v>
      </c>
      <c r="F820" s="68" t="s">
        <v>865</v>
      </c>
      <c r="G820" s="68" t="s">
        <v>865</v>
      </c>
      <c r="H820" s="68" t="s">
        <v>865</v>
      </c>
      <c r="I820" s="25">
        <v>0.9</v>
      </c>
      <c r="J820" s="26">
        <v>1</v>
      </c>
      <c r="K820" s="26">
        <v>1</v>
      </c>
      <c r="L820" s="27">
        <v>0.9</v>
      </c>
      <c r="M820" s="26">
        <v>0.97297297297297303</v>
      </c>
      <c r="N820" s="28">
        <v>0.9</v>
      </c>
      <c r="O820" s="26">
        <v>0.95555003724857202</v>
      </c>
      <c r="P820" s="26">
        <v>0.94004282655246296</v>
      </c>
      <c r="Q820" s="26">
        <v>0.96736913664173996</v>
      </c>
      <c r="R820" s="26">
        <v>0.95737739986095505</v>
      </c>
      <c r="S820" s="28">
        <v>0.9</v>
      </c>
      <c r="T820" s="26">
        <v>0.92003973181028098</v>
      </c>
      <c r="U820" s="26">
        <v>0.91910540090411597</v>
      </c>
      <c r="V820" s="26">
        <v>0.93745751189666904</v>
      </c>
      <c r="W820" s="26">
        <v>0.92518316487512697</v>
      </c>
      <c r="X820" s="28">
        <v>0.92</v>
      </c>
      <c r="Y820" s="28">
        <v>0.91176470588235303</v>
      </c>
      <c r="Z820" s="28">
        <v>0.904332129963899</v>
      </c>
      <c r="AA820" s="28">
        <v>0.89135802469135805</v>
      </c>
      <c r="AB820" s="28">
        <v>0.90997409326424905</v>
      </c>
      <c r="AC820" s="28">
        <v>0.92</v>
      </c>
      <c r="AD820" s="26">
        <v>0.99734748010610097</v>
      </c>
      <c r="AE820" s="26">
        <v>0.98328827721798995</v>
      </c>
      <c r="AF820" s="26">
        <v>0.98969566259285902</v>
      </c>
      <c r="AG820" s="26">
        <v>0.98677049317591903</v>
      </c>
      <c r="AH820" s="28">
        <v>0.92</v>
      </c>
      <c r="AI820" s="26">
        <v>0.960372498513969</v>
      </c>
      <c r="AJ820" s="26">
        <v>0.95613704819277101</v>
      </c>
      <c r="AK820" s="26">
        <v>0.93993862341078505</v>
      </c>
      <c r="AL820" s="26">
        <v>0.95867668931141203</v>
      </c>
      <c r="AM820" s="25">
        <v>0.99</v>
      </c>
      <c r="AN820" s="30">
        <v>1</v>
      </c>
      <c r="AO820" s="30">
        <v>1</v>
      </c>
      <c r="AP820" s="30">
        <v>1</v>
      </c>
      <c r="AQ820" s="30">
        <v>1</v>
      </c>
      <c r="AR820" s="50">
        <v>8.1059522893420499E-2</v>
      </c>
      <c r="AS820" s="34">
        <v>5.2631578947368397E-2</v>
      </c>
      <c r="AT820" s="34">
        <v>0.1</v>
      </c>
      <c r="AU820" s="34">
        <v>0</v>
      </c>
      <c r="AV820" s="34">
        <v>8.8235294117647106E-2</v>
      </c>
      <c r="AW820" s="10"/>
      <c r="AX820" s="8"/>
    </row>
    <row r="821" spans="1:50">
      <c r="A821" s="7"/>
      <c r="B821" s="10"/>
      <c r="C821" s="45" t="s">
        <v>688</v>
      </c>
      <c r="D821" s="23" t="s">
        <v>21</v>
      </c>
      <c r="E821" s="68" t="s">
        <v>866</v>
      </c>
      <c r="F821" s="68" t="s">
        <v>866</v>
      </c>
      <c r="G821" s="68" t="s">
        <v>866</v>
      </c>
      <c r="H821" s="68" t="s">
        <v>866</v>
      </c>
      <c r="I821" s="25">
        <v>0.9</v>
      </c>
      <c r="J821" s="26">
        <v>1</v>
      </c>
      <c r="K821" s="26">
        <v>1</v>
      </c>
      <c r="L821" s="27">
        <v>0.96428571428571397</v>
      </c>
      <c r="M821" s="26">
        <v>0.98295454545454497</v>
      </c>
      <c r="N821" s="28">
        <v>0.9</v>
      </c>
      <c r="O821" s="26">
        <v>0.992029604326786</v>
      </c>
      <c r="P821" s="26">
        <v>0.99006711409395998</v>
      </c>
      <c r="Q821" s="26">
        <v>0.99326851159311902</v>
      </c>
      <c r="R821" s="26">
        <v>0.99334126040428095</v>
      </c>
      <c r="S821" s="28">
        <v>0.9</v>
      </c>
      <c r="T821" s="26">
        <v>0.95758610873896999</v>
      </c>
      <c r="U821" s="26">
        <v>0.96026845637583902</v>
      </c>
      <c r="V821" s="26">
        <v>0.96185489902767396</v>
      </c>
      <c r="W821" s="26">
        <v>0.96623067776456595</v>
      </c>
      <c r="X821" s="28">
        <v>0.92</v>
      </c>
      <c r="Y821" s="28">
        <v>0.92638036809815905</v>
      </c>
      <c r="Z821" s="28">
        <v>0.95170454545454497</v>
      </c>
      <c r="AA821" s="28">
        <v>0.93877551020408201</v>
      </c>
      <c r="AB821" s="28">
        <v>0.94006538321830702</v>
      </c>
      <c r="AC821" s="28">
        <v>0.92</v>
      </c>
      <c r="AD821" s="26">
        <v>0.99966958532958905</v>
      </c>
      <c r="AE821" s="26">
        <v>0.997956150130063</v>
      </c>
      <c r="AF821" s="26">
        <v>0.99908410929629099</v>
      </c>
      <c r="AG821" s="26">
        <v>0.99707867137974304</v>
      </c>
      <c r="AH821" s="28">
        <v>0.92</v>
      </c>
      <c r="AI821" s="26">
        <v>0.96904920953017104</v>
      </c>
      <c r="AJ821" s="26">
        <v>0.97657393850658902</v>
      </c>
      <c r="AK821" s="26">
        <v>0.97037037037036999</v>
      </c>
      <c r="AL821" s="26">
        <v>0.97393640841916695</v>
      </c>
      <c r="AM821" s="25">
        <v>0.99</v>
      </c>
      <c r="AN821" s="30">
        <v>1</v>
      </c>
      <c r="AO821" s="30">
        <v>1</v>
      </c>
      <c r="AP821" s="30">
        <v>1</v>
      </c>
      <c r="AQ821" s="30">
        <v>1</v>
      </c>
      <c r="AR821" s="50">
        <v>8.1059522893420499E-2</v>
      </c>
      <c r="AS821" s="34">
        <v>0</v>
      </c>
      <c r="AT821" s="34">
        <v>5.2631578947368397E-2</v>
      </c>
      <c r="AU821" s="34">
        <v>0</v>
      </c>
      <c r="AV821" s="34">
        <v>3.03030303030303E-2</v>
      </c>
      <c r="AW821" s="10"/>
      <c r="AX821" s="8"/>
    </row>
    <row r="822" spans="1:50">
      <c r="A822" s="7"/>
      <c r="B822" s="10"/>
      <c r="C822" s="45" t="s">
        <v>688</v>
      </c>
      <c r="D822" s="23" t="s">
        <v>21</v>
      </c>
      <c r="E822" s="68" t="s">
        <v>867</v>
      </c>
      <c r="F822" s="68" t="s">
        <v>867</v>
      </c>
      <c r="G822" s="68" t="s">
        <v>867</v>
      </c>
      <c r="H822" s="68" t="s">
        <v>867</v>
      </c>
      <c r="I822" s="25">
        <v>0.9</v>
      </c>
      <c r="J822" s="26">
        <v>1</v>
      </c>
      <c r="K822" s="26">
        <v>1</v>
      </c>
      <c r="L822" s="27">
        <v>1</v>
      </c>
      <c r="M822" s="26">
        <v>1</v>
      </c>
      <c r="N822" s="28">
        <v>0.9</v>
      </c>
      <c r="O822" s="26">
        <v>0.99329032258064498</v>
      </c>
      <c r="P822" s="26">
        <v>0.99281092739036703</v>
      </c>
      <c r="Q822" s="26">
        <v>0.99712023038156905</v>
      </c>
      <c r="R822" s="26">
        <v>0.99458403126744799</v>
      </c>
      <c r="S822" s="28">
        <v>0.9</v>
      </c>
      <c r="T822" s="26">
        <v>0.97858064516128995</v>
      </c>
      <c r="U822" s="26">
        <v>0.97316079559070201</v>
      </c>
      <c r="V822" s="26">
        <v>0.97840172786177104</v>
      </c>
      <c r="W822" s="26">
        <v>0.97805695142378601</v>
      </c>
      <c r="X822" s="28">
        <v>0.92</v>
      </c>
      <c r="Y822" s="28">
        <v>0.94994786235662099</v>
      </c>
      <c r="Z822" s="28">
        <v>0.93301435406698596</v>
      </c>
      <c r="AA822" s="28">
        <v>0.91920529801324502</v>
      </c>
      <c r="AB822" s="28">
        <v>0.93954134815844303</v>
      </c>
      <c r="AC822" s="28">
        <v>0.92</v>
      </c>
      <c r="AD822" s="26">
        <v>0.99769053117782902</v>
      </c>
      <c r="AE822" s="26">
        <v>0.99792674498963396</v>
      </c>
      <c r="AF822" s="26">
        <v>0.99661933739012798</v>
      </c>
      <c r="AG822" s="26">
        <v>0.99687861271676304</v>
      </c>
      <c r="AH822" s="28">
        <v>0.92</v>
      </c>
      <c r="AI822" s="26">
        <v>0.98407445708376395</v>
      </c>
      <c r="AJ822" s="26">
        <v>0.98121885779992302</v>
      </c>
      <c r="AK822" s="26">
        <v>0.96828358208955201</v>
      </c>
      <c r="AL822" s="26">
        <v>0.98031013647695098</v>
      </c>
      <c r="AM822" s="25">
        <v>0.99</v>
      </c>
      <c r="AN822" s="30">
        <v>1</v>
      </c>
      <c r="AO822" s="30">
        <v>1</v>
      </c>
      <c r="AP822" s="30">
        <v>1</v>
      </c>
      <c r="AQ822" s="30">
        <v>1</v>
      </c>
      <c r="AR822" s="50">
        <v>8.1059522893420499E-2</v>
      </c>
      <c r="AS822" s="34">
        <v>7.1428571428571397E-2</v>
      </c>
      <c r="AT822" s="34">
        <v>0</v>
      </c>
      <c r="AU822" s="34">
        <v>0</v>
      </c>
      <c r="AV822" s="34">
        <v>2.1276595744680899E-2</v>
      </c>
      <c r="AW822" s="10"/>
      <c r="AX822" s="8"/>
    </row>
    <row r="823" spans="1:50">
      <c r="A823" s="7"/>
      <c r="B823" s="10"/>
      <c r="C823" s="45" t="s">
        <v>688</v>
      </c>
      <c r="D823" s="23" t="s">
        <v>21</v>
      </c>
      <c r="E823" s="68" t="s">
        <v>868</v>
      </c>
      <c r="F823" s="68" t="s">
        <v>868</v>
      </c>
      <c r="G823" s="68" t="s">
        <v>868</v>
      </c>
      <c r="H823" s="68" t="s">
        <v>868</v>
      </c>
      <c r="I823" s="25">
        <v>0.9</v>
      </c>
      <c r="J823" s="26">
        <v>0.82926829268292701</v>
      </c>
      <c r="K823" s="26">
        <v>0.92857142857142905</v>
      </c>
      <c r="L823" s="27">
        <v>1</v>
      </c>
      <c r="M823" s="26">
        <v>0.92543859649122795</v>
      </c>
      <c r="N823" s="28">
        <v>0.9</v>
      </c>
      <c r="O823" s="26">
        <v>0.93000225073148801</v>
      </c>
      <c r="P823" s="26">
        <v>0.98484505767925801</v>
      </c>
      <c r="Q823" s="26">
        <v>0.98332303891290895</v>
      </c>
      <c r="R823" s="26">
        <v>0.97169004877558196</v>
      </c>
      <c r="S823" s="28">
        <v>0.9</v>
      </c>
      <c r="T823" s="26">
        <v>0.86293045239702904</v>
      </c>
      <c r="U823" s="26">
        <v>0.93078489029631295</v>
      </c>
      <c r="V823" s="26">
        <v>0.934527486102532</v>
      </c>
      <c r="W823" s="26">
        <v>0.91315935032936102</v>
      </c>
      <c r="X823" s="28">
        <v>0.92</v>
      </c>
      <c r="Y823" s="28">
        <v>0.93714285714285706</v>
      </c>
      <c r="Z823" s="28">
        <v>0.93728813559322</v>
      </c>
      <c r="AA823" s="28">
        <v>0.938271604938272</v>
      </c>
      <c r="AB823" s="28">
        <v>0.93925902369216097</v>
      </c>
      <c r="AC823" s="28">
        <v>0.92</v>
      </c>
      <c r="AD823" s="26">
        <v>0.99855240301100201</v>
      </c>
      <c r="AE823" s="26">
        <v>0.99287833827893202</v>
      </c>
      <c r="AF823" s="26">
        <v>0.99358092618065097</v>
      </c>
      <c r="AG823" s="26">
        <v>0.99394928928159798</v>
      </c>
      <c r="AH823" s="28">
        <v>0.92</v>
      </c>
      <c r="AI823" s="26">
        <v>0.95721827780811897</v>
      </c>
      <c r="AJ823" s="26">
        <v>0.96464916979110904</v>
      </c>
      <c r="AK823" s="26">
        <v>0.96294771510909805</v>
      </c>
      <c r="AL823" s="26">
        <v>0.96394194041252901</v>
      </c>
      <c r="AM823" s="25">
        <v>0.99</v>
      </c>
      <c r="AN823" s="30">
        <v>1</v>
      </c>
      <c r="AO823" s="30">
        <v>1</v>
      </c>
      <c r="AP823" s="30">
        <v>1</v>
      </c>
      <c r="AQ823" s="30">
        <v>1</v>
      </c>
      <c r="AR823" s="50">
        <v>8.1059522893420499E-2</v>
      </c>
      <c r="AS823" s="34">
        <v>0</v>
      </c>
      <c r="AT823" s="34">
        <v>0.13793103448275901</v>
      </c>
      <c r="AU823" s="34">
        <v>0</v>
      </c>
      <c r="AV823" s="34">
        <v>4.2735042735042701E-2</v>
      </c>
      <c r="AW823" s="10"/>
      <c r="AX823" s="8"/>
    </row>
    <row r="824" spans="1:50">
      <c r="A824" s="7"/>
      <c r="B824" s="10"/>
      <c r="C824" s="45" t="s">
        <v>688</v>
      </c>
      <c r="D824" s="23" t="s">
        <v>21</v>
      </c>
      <c r="E824" s="68" t="s">
        <v>869</v>
      </c>
      <c r="F824" s="68" t="s">
        <v>869</v>
      </c>
      <c r="G824" s="68" t="s">
        <v>869</v>
      </c>
      <c r="H824" s="68" t="s">
        <v>869</v>
      </c>
      <c r="I824" s="25">
        <v>0.9</v>
      </c>
      <c r="J824" s="26">
        <v>0.87096774193548399</v>
      </c>
      <c r="K824" s="26">
        <v>1</v>
      </c>
      <c r="L824" s="27">
        <v>0.96296296296296302</v>
      </c>
      <c r="M824" s="26">
        <v>0.97237569060773499</v>
      </c>
      <c r="N824" s="28">
        <v>0.9</v>
      </c>
      <c r="O824" s="26">
        <v>0.94698600645855802</v>
      </c>
      <c r="P824" s="26">
        <v>0.88634667993036598</v>
      </c>
      <c r="Q824" s="26">
        <v>0.92717717717717696</v>
      </c>
      <c r="R824" s="26">
        <v>0.93240729977914705</v>
      </c>
      <c r="S824" s="28">
        <v>0.9</v>
      </c>
      <c r="T824" s="26">
        <v>0.92761033369214196</v>
      </c>
      <c r="U824" s="26">
        <v>0.91817955732404899</v>
      </c>
      <c r="V824" s="26">
        <v>0.93843843843843799</v>
      </c>
      <c r="W824" s="26">
        <v>0.93298849238637704</v>
      </c>
      <c r="X824" s="28">
        <v>0.92</v>
      </c>
      <c r="Y824" s="28">
        <v>0.85322069693769798</v>
      </c>
      <c r="Z824" s="28">
        <v>0.88551859099804298</v>
      </c>
      <c r="AA824" s="28">
        <v>0.90279823269514003</v>
      </c>
      <c r="AB824" s="28">
        <v>0.89384643985871004</v>
      </c>
      <c r="AC824" s="28">
        <v>0.92</v>
      </c>
      <c r="AD824" s="26">
        <v>0.99641209636084105</v>
      </c>
      <c r="AE824" s="26">
        <v>0.99336178283546706</v>
      </c>
      <c r="AF824" s="26">
        <v>0.99483471074380203</v>
      </c>
      <c r="AG824" s="26">
        <v>0.99146220904107096</v>
      </c>
      <c r="AH824" s="28">
        <v>0.92</v>
      </c>
      <c r="AI824" s="26">
        <v>0.94188290799914198</v>
      </c>
      <c r="AJ824" s="26">
        <v>0.95161610152686904</v>
      </c>
      <c r="AK824" s="26">
        <v>0.94927896568871195</v>
      </c>
      <c r="AL824" s="26">
        <v>0.95258124501903796</v>
      </c>
      <c r="AM824" s="25">
        <v>0.99</v>
      </c>
      <c r="AN824" s="30">
        <v>1</v>
      </c>
      <c r="AO824" s="30">
        <v>1</v>
      </c>
      <c r="AP824" s="30">
        <v>1</v>
      </c>
      <c r="AQ824" s="30">
        <v>1</v>
      </c>
      <c r="AR824" s="50">
        <v>8.1059522893420499E-2</v>
      </c>
      <c r="AS824" s="34">
        <v>0</v>
      </c>
      <c r="AT824" s="34">
        <v>0</v>
      </c>
      <c r="AU824" s="34">
        <v>0</v>
      </c>
      <c r="AV824" s="34">
        <v>0.05</v>
      </c>
      <c r="AW824" s="10"/>
      <c r="AX824" s="8"/>
    </row>
    <row r="825" spans="1:50">
      <c r="A825" s="7"/>
      <c r="B825" s="10"/>
      <c r="C825" s="45" t="s">
        <v>688</v>
      </c>
      <c r="D825" s="23" t="s">
        <v>21</v>
      </c>
      <c r="E825" s="68" t="s">
        <v>870</v>
      </c>
      <c r="F825" s="68" t="s">
        <v>870</v>
      </c>
      <c r="G825" s="68" t="s">
        <v>870</v>
      </c>
      <c r="H825" s="68" t="s">
        <v>870</v>
      </c>
      <c r="I825" s="25">
        <v>0.9</v>
      </c>
      <c r="J825" s="26">
        <v>0.82608695652173902</v>
      </c>
      <c r="K825" s="26">
        <v>0.86956521739130399</v>
      </c>
      <c r="L825" s="27">
        <v>0.625</v>
      </c>
      <c r="M825" s="26">
        <v>0.81300813008130102</v>
      </c>
      <c r="N825" s="28">
        <v>0.9</v>
      </c>
      <c r="O825" s="26">
        <v>0.92036242250834499</v>
      </c>
      <c r="P825" s="26">
        <v>0.95522388059701502</v>
      </c>
      <c r="Q825" s="26">
        <v>0.97342657342657302</v>
      </c>
      <c r="R825" s="26">
        <v>0.92429309820614203</v>
      </c>
      <c r="S825" s="28">
        <v>0.9</v>
      </c>
      <c r="T825" s="26">
        <v>0.92656175488793502</v>
      </c>
      <c r="U825" s="26">
        <v>0.92844600526777898</v>
      </c>
      <c r="V825" s="26">
        <v>0.94265734265734302</v>
      </c>
      <c r="W825" s="26">
        <v>0.93473193473193505</v>
      </c>
      <c r="X825" s="28">
        <v>0.92</v>
      </c>
      <c r="Y825" s="28">
        <v>0.92047377326565105</v>
      </c>
      <c r="Z825" s="28">
        <v>0.904332129963899</v>
      </c>
      <c r="AA825" s="28">
        <v>0.91970802919707995</v>
      </c>
      <c r="AB825" s="28">
        <v>0.91909898477157403</v>
      </c>
      <c r="AC825" s="28">
        <v>0.92</v>
      </c>
      <c r="AD825" s="26">
        <v>1</v>
      </c>
      <c r="AE825" s="26">
        <v>0.98369565217391297</v>
      </c>
      <c r="AF825" s="26">
        <v>0.98969072164948502</v>
      </c>
      <c r="AG825" s="26">
        <v>0.99306157849089305</v>
      </c>
      <c r="AH825" s="28">
        <v>0.92</v>
      </c>
      <c r="AI825" s="26">
        <v>0.95572916666666696</v>
      </c>
      <c r="AJ825" s="26">
        <v>0.95550847457627097</v>
      </c>
      <c r="AK825" s="26">
        <v>0.95648312611012398</v>
      </c>
      <c r="AL825" s="26">
        <v>0.95882940317996801</v>
      </c>
      <c r="AM825" s="25">
        <v>0.99</v>
      </c>
      <c r="AN825" s="30">
        <v>1</v>
      </c>
      <c r="AO825" s="30">
        <v>1</v>
      </c>
      <c r="AP825" s="30">
        <v>1</v>
      </c>
      <c r="AQ825" s="30">
        <v>1</v>
      </c>
      <c r="AR825" s="50">
        <v>8.1059522893420499E-2</v>
      </c>
      <c r="AS825" s="34">
        <v>0</v>
      </c>
      <c r="AT825" s="34">
        <v>8.3333333333333301E-2</v>
      </c>
      <c r="AU825" s="34">
        <v>0.16666666666666699</v>
      </c>
      <c r="AV825" s="34">
        <v>4.6511627906976702E-2</v>
      </c>
      <c r="AW825" s="10"/>
      <c r="AX825" s="8"/>
    </row>
    <row r="826" spans="1:50">
      <c r="A826" s="7"/>
      <c r="B826" s="10"/>
      <c r="C826" s="45" t="s">
        <v>688</v>
      </c>
      <c r="D826" s="23" t="s">
        <v>21</v>
      </c>
      <c r="E826" s="68" t="s">
        <v>871</v>
      </c>
      <c r="F826" s="68" t="s">
        <v>871</v>
      </c>
      <c r="G826" s="68" t="s">
        <v>871</v>
      </c>
      <c r="H826" s="68" t="s">
        <v>871</v>
      </c>
      <c r="I826" s="25">
        <v>0.9</v>
      </c>
      <c r="J826" s="26">
        <v>0.93333333333333302</v>
      </c>
      <c r="K826" s="26">
        <v>0.931034482758621</v>
      </c>
      <c r="L826" s="27">
        <v>1</v>
      </c>
      <c r="M826" s="26">
        <v>0.95321637426900596</v>
      </c>
      <c r="N826" s="28">
        <v>0.9</v>
      </c>
      <c r="O826" s="26">
        <v>0.91829308633807505</v>
      </c>
      <c r="P826" s="26">
        <v>0.81227900996464197</v>
      </c>
      <c r="Q826" s="26">
        <v>0.94288224956063305</v>
      </c>
      <c r="R826" s="26">
        <v>0.90802569351309403</v>
      </c>
      <c r="S826" s="28">
        <v>0.9</v>
      </c>
      <c r="T826" s="26">
        <v>0.87992060866688704</v>
      </c>
      <c r="U826" s="26">
        <v>0.91706846673095499</v>
      </c>
      <c r="V826" s="26">
        <v>0.91300527240773299</v>
      </c>
      <c r="W826" s="26">
        <v>0.91240206112797395</v>
      </c>
      <c r="X826" s="28">
        <v>0.92</v>
      </c>
      <c r="Y826" s="28">
        <v>0.91783073130649095</v>
      </c>
      <c r="Z826" s="28">
        <v>0.88733431516936701</v>
      </c>
      <c r="AA826" s="28">
        <v>0.861915367483296</v>
      </c>
      <c r="AB826" s="28">
        <v>0.90367947669664805</v>
      </c>
      <c r="AC826" s="28">
        <v>0.92</v>
      </c>
      <c r="AD826" s="26">
        <v>0.98286052009456304</v>
      </c>
      <c r="AE826" s="26">
        <v>0.98538622129436304</v>
      </c>
      <c r="AF826" s="26">
        <v>0.98563218390804597</v>
      </c>
      <c r="AG826" s="26">
        <v>0.98417399352151802</v>
      </c>
      <c r="AH826" s="28">
        <v>0.92</v>
      </c>
      <c r="AI826" s="26">
        <v>0.95096652522395098</v>
      </c>
      <c r="AJ826" s="26">
        <v>0.94146559428060805</v>
      </c>
      <c r="AK826" s="26">
        <v>0.94139886578449905</v>
      </c>
      <c r="AL826" s="26">
        <v>0.95193538855510695</v>
      </c>
      <c r="AM826" s="25">
        <v>0.99</v>
      </c>
      <c r="AN826" s="30">
        <v>1</v>
      </c>
      <c r="AO826" s="30">
        <v>1</v>
      </c>
      <c r="AP826" s="30">
        <v>1</v>
      </c>
      <c r="AQ826" s="30">
        <v>1</v>
      </c>
      <c r="AR826" s="50">
        <v>8.1059522893420499E-2</v>
      </c>
      <c r="AS826" s="34">
        <v>0</v>
      </c>
      <c r="AT826" s="34">
        <v>0</v>
      </c>
      <c r="AU826" s="34">
        <v>0</v>
      </c>
      <c r="AV826" s="34">
        <v>3.2258064516128997E-2</v>
      </c>
      <c r="AW826" s="10"/>
      <c r="AX826" s="8"/>
    </row>
    <row r="827" spans="1:50">
      <c r="A827" s="7"/>
      <c r="B827" s="10"/>
      <c r="C827" s="45" t="s">
        <v>688</v>
      </c>
      <c r="D827" s="23" t="s">
        <v>21</v>
      </c>
      <c r="E827" s="68" t="s">
        <v>872</v>
      </c>
      <c r="F827" s="68" t="s">
        <v>872</v>
      </c>
      <c r="G827" s="68" t="s">
        <v>872</v>
      </c>
      <c r="H827" s="68" t="s">
        <v>872</v>
      </c>
      <c r="I827" s="25">
        <v>0.9</v>
      </c>
      <c r="J827" s="26">
        <v>0.92</v>
      </c>
      <c r="K827" s="26">
        <v>0.92307692307692302</v>
      </c>
      <c r="L827" s="27">
        <v>0.89473684210526305</v>
      </c>
      <c r="M827" s="26">
        <v>0.86394557823129203</v>
      </c>
      <c r="N827" s="28">
        <v>0.9</v>
      </c>
      <c r="O827" s="26">
        <v>0.95391061452514003</v>
      </c>
      <c r="P827" s="26">
        <v>0.55018761726078802</v>
      </c>
      <c r="Q827" s="26">
        <v>0.94743589743589696</v>
      </c>
      <c r="R827" s="26">
        <v>0.85797743755036304</v>
      </c>
      <c r="S827" s="28">
        <v>0.9</v>
      </c>
      <c r="T827" s="26">
        <v>0.90921787709497204</v>
      </c>
      <c r="U827" s="26">
        <v>0.90056285178236395</v>
      </c>
      <c r="V827" s="26">
        <v>0.91923076923076896</v>
      </c>
      <c r="W827" s="26">
        <v>0.91649879129734102</v>
      </c>
      <c r="X827" s="28">
        <v>0.92</v>
      </c>
      <c r="Y827" s="28">
        <v>0.90941597139451702</v>
      </c>
      <c r="Z827" s="28">
        <v>0.91024390243902398</v>
      </c>
      <c r="AA827" s="28">
        <v>0.89690721649484495</v>
      </c>
      <c r="AB827" s="28">
        <v>0.91051660516605204</v>
      </c>
      <c r="AC827" s="28">
        <v>0.92</v>
      </c>
      <c r="AD827" s="26">
        <v>0.96401985111662503</v>
      </c>
      <c r="AE827" s="26">
        <v>0.96078431372549</v>
      </c>
      <c r="AF827" s="26">
        <v>0.98484848484848497</v>
      </c>
      <c r="AG827" s="26">
        <v>0.97951943234962102</v>
      </c>
      <c r="AH827" s="28">
        <v>0.92</v>
      </c>
      <c r="AI827" s="26">
        <v>0.94745649263721599</v>
      </c>
      <c r="AJ827" s="26">
        <v>0.93383982272871202</v>
      </c>
      <c r="AK827" s="26">
        <v>0.94864612511671298</v>
      </c>
      <c r="AL827" s="26">
        <v>0.95080243885345805</v>
      </c>
      <c r="AM827" s="25">
        <v>0.99</v>
      </c>
      <c r="AN827" s="30">
        <v>1</v>
      </c>
      <c r="AO827" s="30">
        <v>1</v>
      </c>
      <c r="AP827" s="30">
        <v>1</v>
      </c>
      <c r="AQ827" s="30">
        <v>1</v>
      </c>
      <c r="AR827" s="50">
        <v>8.1059522893420499E-2</v>
      </c>
      <c r="AS827" s="34">
        <v>0</v>
      </c>
      <c r="AT827" s="34">
        <v>9.0909090909090898E-2</v>
      </c>
      <c r="AU827" s="34">
        <v>0.11111111111111099</v>
      </c>
      <c r="AV827" s="34">
        <v>5.7142857142857099E-2</v>
      </c>
      <c r="AW827" s="10"/>
      <c r="AX827" s="8"/>
    </row>
    <row r="828" spans="1:50">
      <c r="A828" s="7"/>
      <c r="B828" s="10"/>
      <c r="C828" s="45" t="s">
        <v>688</v>
      </c>
      <c r="D828" s="23" t="s">
        <v>21</v>
      </c>
      <c r="E828" s="68" t="s">
        <v>873</v>
      </c>
      <c r="F828" s="68" t="s">
        <v>873</v>
      </c>
      <c r="G828" s="68" t="s">
        <v>873</v>
      </c>
      <c r="H828" s="68" t="s">
        <v>873</v>
      </c>
      <c r="I828" s="25">
        <v>0.9</v>
      </c>
      <c r="J828" s="26">
        <v>0.9375</v>
      </c>
      <c r="K828" s="26">
        <v>1</v>
      </c>
      <c r="L828" s="27">
        <v>1</v>
      </c>
      <c r="M828" s="26">
        <v>0.97175141242937901</v>
      </c>
      <c r="N828" s="28">
        <v>0.9</v>
      </c>
      <c r="O828" s="26">
        <v>0.96630727762803204</v>
      </c>
      <c r="P828" s="26">
        <v>0.92527287993283003</v>
      </c>
      <c r="Q828" s="26">
        <v>0.95785876993166297</v>
      </c>
      <c r="R828" s="26">
        <v>0.93483104344597101</v>
      </c>
      <c r="S828" s="28">
        <v>0.9</v>
      </c>
      <c r="T828" s="26">
        <v>0.91868823000898503</v>
      </c>
      <c r="U828" s="26">
        <v>0.92149454240134299</v>
      </c>
      <c r="V828" s="26">
        <v>0.88041002277904301</v>
      </c>
      <c r="W828" s="26">
        <v>0.91134422577051599</v>
      </c>
      <c r="X828" s="28">
        <v>0.92</v>
      </c>
      <c r="Y828" s="28">
        <v>0.72291904218928205</v>
      </c>
      <c r="Z828" s="28">
        <v>0.90735434574976104</v>
      </c>
      <c r="AA828" s="28">
        <v>0.59868421052631604</v>
      </c>
      <c r="AB828" s="28">
        <v>0.81833947539562102</v>
      </c>
      <c r="AC828" s="28">
        <v>0.92</v>
      </c>
      <c r="AD828" s="26">
        <v>0.97674418604651203</v>
      </c>
      <c r="AE828" s="26">
        <v>0.96875</v>
      </c>
      <c r="AF828" s="26">
        <v>0.986175115207373</v>
      </c>
      <c r="AG828" s="26">
        <v>0.97308132875143205</v>
      </c>
      <c r="AH828" s="28">
        <v>0.92</v>
      </c>
      <c r="AI828" s="26">
        <v>0.89324758842443697</v>
      </c>
      <c r="AJ828" s="26">
        <v>0.94400699912510899</v>
      </c>
      <c r="AK828" s="26">
        <v>0.85279187817258895</v>
      </c>
      <c r="AL828" s="26">
        <v>0.916596352307393</v>
      </c>
      <c r="AM828" s="25">
        <v>0.99</v>
      </c>
      <c r="AN828" s="30">
        <v>1</v>
      </c>
      <c r="AO828" s="30">
        <v>1</v>
      </c>
      <c r="AP828" s="30">
        <v>1</v>
      </c>
      <c r="AQ828" s="30">
        <v>1</v>
      </c>
      <c r="AR828" s="50">
        <v>8.1059522893420499E-2</v>
      </c>
      <c r="AS828" s="34">
        <v>0</v>
      </c>
      <c r="AT828" s="34">
        <v>0</v>
      </c>
      <c r="AU828" s="34">
        <v>0</v>
      </c>
      <c r="AV828" s="34">
        <v>2.2222222222222199E-2</v>
      </c>
      <c r="AW828" s="10"/>
      <c r="AX828" s="8"/>
    </row>
    <row r="829" spans="1:50">
      <c r="A829" s="7"/>
      <c r="B829" s="10"/>
      <c r="C829" s="45" t="s">
        <v>688</v>
      </c>
      <c r="D829" s="23" t="s">
        <v>21</v>
      </c>
      <c r="E829" s="68" t="s">
        <v>874</v>
      </c>
      <c r="F829" s="68" t="s">
        <v>874</v>
      </c>
      <c r="G829" s="68" t="s">
        <v>874</v>
      </c>
      <c r="H829" s="68" t="s">
        <v>874</v>
      </c>
      <c r="I829" s="25">
        <v>0.9</v>
      </c>
      <c r="J829" s="26">
        <v>0.95833333333333304</v>
      </c>
      <c r="K829" s="26">
        <v>0.91666666666666696</v>
      </c>
      <c r="L829" s="27">
        <v>0.94736842105263197</v>
      </c>
      <c r="M829" s="26">
        <v>0.92830188679245296</v>
      </c>
      <c r="N829" s="28">
        <v>0.9</v>
      </c>
      <c r="O829" s="26">
        <v>0.81429316640584204</v>
      </c>
      <c r="P829" s="26">
        <v>0.76008913097301301</v>
      </c>
      <c r="Q829" s="26">
        <v>0.91828533154722003</v>
      </c>
      <c r="R829" s="26">
        <v>0.80925204412006801</v>
      </c>
      <c r="S829" s="28">
        <v>0.9</v>
      </c>
      <c r="T829" s="26">
        <v>0.91471048513302</v>
      </c>
      <c r="U829" s="26">
        <v>0.89304283238425397</v>
      </c>
      <c r="V829" s="26">
        <v>0.92364367046215701</v>
      </c>
      <c r="W829" s="26">
        <v>0.89430938923338599</v>
      </c>
      <c r="X829" s="28">
        <v>0.92</v>
      </c>
      <c r="Y829" s="28">
        <v>0.84068965517241401</v>
      </c>
      <c r="Z829" s="28">
        <v>0.869833436150524</v>
      </c>
      <c r="AA829" s="28">
        <v>0.765625</v>
      </c>
      <c r="AB829" s="28">
        <v>0.82345795653934395</v>
      </c>
      <c r="AC829" s="28">
        <v>0.92</v>
      </c>
      <c r="AD829" s="26">
        <v>0.97328476017000598</v>
      </c>
      <c r="AE829" s="26">
        <v>0.98650674662668703</v>
      </c>
      <c r="AF829" s="26">
        <v>0.93998441153546397</v>
      </c>
      <c r="AG829" s="26">
        <v>0.96454763811048805</v>
      </c>
      <c r="AH829" s="28">
        <v>0.92</v>
      </c>
      <c r="AI829" s="26">
        <v>0.92562452687358099</v>
      </c>
      <c r="AJ829" s="26">
        <v>0.925515055467512</v>
      </c>
      <c r="AK829" s="26">
        <v>0.90841214534594295</v>
      </c>
      <c r="AL829" s="26">
        <v>0.91086948049417404</v>
      </c>
      <c r="AM829" s="25">
        <v>0.99</v>
      </c>
      <c r="AN829" s="30">
        <v>1</v>
      </c>
      <c r="AO829" s="30">
        <v>1</v>
      </c>
      <c r="AP829" s="30">
        <v>1</v>
      </c>
      <c r="AQ829" s="30">
        <v>1</v>
      </c>
      <c r="AR829" s="50">
        <v>8.1059522893420499E-2</v>
      </c>
      <c r="AS829" s="34">
        <v>8.3333333333333301E-2</v>
      </c>
      <c r="AT829" s="34">
        <v>0.135135135135135</v>
      </c>
      <c r="AU829" s="34">
        <v>4.7619047619047603E-2</v>
      </c>
      <c r="AV829" s="34">
        <v>0.102409638554217</v>
      </c>
      <c r="AW829" s="10"/>
      <c r="AX829" s="8"/>
    </row>
    <row r="830" spans="1:50">
      <c r="A830" s="7"/>
      <c r="B830" s="10"/>
      <c r="C830" s="45" t="s">
        <v>688</v>
      </c>
      <c r="D830" s="23" t="s">
        <v>21</v>
      </c>
      <c r="E830" s="68" t="s">
        <v>875</v>
      </c>
      <c r="F830" s="68" t="s">
        <v>875</v>
      </c>
      <c r="G830" s="68" t="s">
        <v>875</v>
      </c>
      <c r="H830" s="68" t="s">
        <v>875</v>
      </c>
      <c r="I830" s="25">
        <v>0.9</v>
      </c>
      <c r="J830" s="26">
        <v>1</v>
      </c>
      <c r="K830" s="26">
        <v>1</v>
      </c>
      <c r="L830" s="27">
        <v>1</v>
      </c>
      <c r="M830" s="26">
        <v>0.97005988023952106</v>
      </c>
      <c r="N830" s="28">
        <v>0.9</v>
      </c>
      <c r="O830" s="26">
        <v>0.94681252357600898</v>
      </c>
      <c r="P830" s="26">
        <v>0.95171909290417001</v>
      </c>
      <c r="Q830" s="26">
        <v>0.95972495088408605</v>
      </c>
      <c r="R830" s="26">
        <v>0.95115701817599496</v>
      </c>
      <c r="S830" s="28">
        <v>0.9</v>
      </c>
      <c r="T830" s="26">
        <v>0.92682006789890603</v>
      </c>
      <c r="U830" s="26">
        <v>0.92282370153621096</v>
      </c>
      <c r="V830" s="26">
        <v>0.93909626719057004</v>
      </c>
      <c r="W830" s="26">
        <v>0.92625510449195303</v>
      </c>
      <c r="X830" s="28">
        <v>0.92</v>
      </c>
      <c r="Y830" s="28">
        <v>0.89761431411530801</v>
      </c>
      <c r="Z830" s="28">
        <v>0.89737065309584396</v>
      </c>
      <c r="AA830" s="28">
        <v>0.84776902887139105</v>
      </c>
      <c r="AB830" s="28">
        <v>0.88220502901354003</v>
      </c>
      <c r="AC830" s="28">
        <v>0.92</v>
      </c>
      <c r="AD830" s="26">
        <v>0.97929936305732501</v>
      </c>
      <c r="AE830" s="26">
        <v>0.95179856115107897</v>
      </c>
      <c r="AF830" s="26">
        <v>0.95325842696629204</v>
      </c>
      <c r="AG830" s="26">
        <v>0.94418456304486498</v>
      </c>
      <c r="AH830" s="28">
        <v>0.92</v>
      </c>
      <c r="AI830" s="26">
        <v>0.95159967186218197</v>
      </c>
      <c r="AJ830" s="26">
        <v>0.94135645079041297</v>
      </c>
      <c r="AK830" s="26">
        <v>0.93214285714285705</v>
      </c>
      <c r="AL830" s="26">
        <v>0.94191505005373</v>
      </c>
      <c r="AM830" s="25">
        <v>0.99</v>
      </c>
      <c r="AN830" s="30">
        <v>1</v>
      </c>
      <c r="AO830" s="30">
        <v>1</v>
      </c>
      <c r="AP830" s="30">
        <v>1</v>
      </c>
      <c r="AQ830" s="30">
        <v>1</v>
      </c>
      <c r="AR830" s="50">
        <v>8.1059522893420499E-2</v>
      </c>
      <c r="AS830" s="34">
        <v>0</v>
      </c>
      <c r="AT830" s="34">
        <v>0</v>
      </c>
      <c r="AU830" s="34">
        <v>0.2</v>
      </c>
      <c r="AV830" s="34">
        <v>4.0540540540540501E-2</v>
      </c>
      <c r="AW830" s="10"/>
      <c r="AX830" s="8"/>
    </row>
    <row r="831" spans="1:50">
      <c r="A831" s="7"/>
      <c r="B831" s="10"/>
      <c r="C831" s="45" t="s">
        <v>688</v>
      </c>
      <c r="D831" s="23" t="s">
        <v>21</v>
      </c>
      <c r="E831" s="68" t="s">
        <v>876</v>
      </c>
      <c r="F831" s="68" t="s">
        <v>876</v>
      </c>
      <c r="G831" s="68" t="s">
        <v>876</v>
      </c>
      <c r="H831" s="68" t="s">
        <v>876</v>
      </c>
      <c r="I831" s="25">
        <v>0.9</v>
      </c>
      <c r="J831" s="26">
        <v>1</v>
      </c>
      <c r="K831" s="26">
        <v>0.97674418604651203</v>
      </c>
      <c r="L831" s="27">
        <v>0.97222222222222199</v>
      </c>
      <c r="M831" s="26">
        <v>0.98795180722891596</v>
      </c>
      <c r="N831" s="28">
        <v>0.9</v>
      </c>
      <c r="O831" s="26">
        <v>0.95933734939758997</v>
      </c>
      <c r="P831" s="26">
        <v>0.51658591129332798</v>
      </c>
      <c r="Q831" s="26">
        <v>0.97570456754130197</v>
      </c>
      <c r="R831" s="26">
        <v>0.87084300077339505</v>
      </c>
      <c r="S831" s="28">
        <v>0.9</v>
      </c>
      <c r="T831" s="26">
        <v>0.92921686746987997</v>
      </c>
      <c r="U831" s="26">
        <v>0.921356690272083</v>
      </c>
      <c r="V831" s="26">
        <v>0.92419825072886297</v>
      </c>
      <c r="W831" s="26">
        <v>0.92405259087393699</v>
      </c>
      <c r="X831" s="28">
        <v>0.92</v>
      </c>
      <c r="Y831" s="28">
        <v>0.91127541589648797</v>
      </c>
      <c r="Z831" s="28">
        <v>0.91931540342298301</v>
      </c>
      <c r="AA831" s="28">
        <v>0.83846153846153804</v>
      </c>
      <c r="AB831" s="28">
        <v>0.90026809651474504</v>
      </c>
      <c r="AC831" s="28">
        <v>0.92</v>
      </c>
      <c r="AD831" s="26">
        <v>0.97492836676217798</v>
      </c>
      <c r="AE831" s="26">
        <v>0.96342477140482097</v>
      </c>
      <c r="AF831" s="26">
        <v>0.97544338335607095</v>
      </c>
      <c r="AG831" s="26">
        <v>0.97172301118511994</v>
      </c>
      <c r="AH831" s="28">
        <v>0.92</v>
      </c>
      <c r="AI831" s="26">
        <v>0.94729802033172805</v>
      </c>
      <c r="AJ831" s="26">
        <v>0.95012787723785197</v>
      </c>
      <c r="AK831" s="26">
        <v>0.92882311486962699</v>
      </c>
      <c r="AL831" s="26">
        <v>0.94690838459048199</v>
      </c>
      <c r="AM831" s="25">
        <v>0.99</v>
      </c>
      <c r="AN831" s="30">
        <v>1</v>
      </c>
      <c r="AO831" s="30">
        <v>1</v>
      </c>
      <c r="AP831" s="30">
        <v>1</v>
      </c>
      <c r="AQ831" s="30">
        <v>1</v>
      </c>
      <c r="AR831" s="50">
        <v>8.1059522893420499E-2</v>
      </c>
      <c r="AS831" s="34">
        <v>0</v>
      </c>
      <c r="AT831" s="34">
        <v>0</v>
      </c>
      <c r="AU831" s="34">
        <v>0.1</v>
      </c>
      <c r="AV831" s="34">
        <v>8.6419753086419707E-2</v>
      </c>
      <c r="AW831" s="10"/>
      <c r="AX831" s="8"/>
    </row>
    <row r="832" spans="1:50">
      <c r="A832" s="7"/>
      <c r="B832" s="10"/>
      <c r="C832" s="45" t="s">
        <v>688</v>
      </c>
      <c r="D832" s="23" t="s">
        <v>21</v>
      </c>
      <c r="E832" s="68" t="s">
        <v>877</v>
      </c>
      <c r="F832" s="68" t="s">
        <v>877</v>
      </c>
      <c r="G832" s="68" t="s">
        <v>877</v>
      </c>
      <c r="H832" s="68" t="s">
        <v>877</v>
      </c>
      <c r="I832" s="25">
        <v>0.9</v>
      </c>
      <c r="J832" s="26">
        <v>0.90909090909090895</v>
      </c>
      <c r="K832" s="26">
        <v>0.95454545454545503</v>
      </c>
      <c r="L832" s="27">
        <v>0.91891891891891897</v>
      </c>
      <c r="M832" s="26">
        <v>0.93333333333333302</v>
      </c>
      <c r="N832" s="28">
        <v>0.9</v>
      </c>
      <c r="O832" s="26">
        <v>0.92099394711691596</v>
      </c>
      <c r="P832" s="26">
        <v>0.70334620334620301</v>
      </c>
      <c r="Q832" s="26">
        <v>0.959713518352731</v>
      </c>
      <c r="R832" s="26">
        <v>0.87365408204988404</v>
      </c>
      <c r="S832" s="28">
        <v>0.9</v>
      </c>
      <c r="T832" s="26">
        <v>0.907932462567697</v>
      </c>
      <c r="U832" s="26">
        <v>0.85939510939510899</v>
      </c>
      <c r="V832" s="26">
        <v>0.92927484333034904</v>
      </c>
      <c r="W832" s="26">
        <v>0.89730134932533701</v>
      </c>
      <c r="X832" s="28">
        <v>0.92</v>
      </c>
      <c r="Y832" s="28">
        <v>0.88722397476340698</v>
      </c>
      <c r="Z832" s="28">
        <v>0.87760979121670302</v>
      </c>
      <c r="AA832" s="28">
        <v>0.80607476635513997</v>
      </c>
      <c r="AB832" s="28">
        <v>0.85950150817590099</v>
      </c>
      <c r="AC832" s="28">
        <v>0.92</v>
      </c>
      <c r="AD832" s="26">
        <v>0.94209891435464399</v>
      </c>
      <c r="AE832" s="26">
        <v>0.99036918138041696</v>
      </c>
      <c r="AF832" s="26">
        <v>0.97732325477990201</v>
      </c>
      <c r="AG832" s="26">
        <v>0.97682639434406904</v>
      </c>
      <c r="AH832" s="28">
        <v>0.92</v>
      </c>
      <c r="AI832" s="26">
        <v>0.94056261343012704</v>
      </c>
      <c r="AJ832" s="26">
        <v>0.91060337178349604</v>
      </c>
      <c r="AK832" s="26">
        <v>0.91779935275080904</v>
      </c>
      <c r="AL832" s="26">
        <v>0.92728571428571405</v>
      </c>
      <c r="AM832" s="25">
        <v>0.99</v>
      </c>
      <c r="AN832" s="30">
        <v>1</v>
      </c>
      <c r="AO832" s="30">
        <v>1</v>
      </c>
      <c r="AP832" s="30">
        <v>1</v>
      </c>
      <c r="AQ832" s="30">
        <v>1</v>
      </c>
      <c r="AR832" s="50">
        <v>8.1059522893420499E-2</v>
      </c>
      <c r="AS832" s="34">
        <v>0</v>
      </c>
      <c r="AT832" s="34">
        <v>0</v>
      </c>
      <c r="AU832" s="34">
        <v>8.3333333333333301E-2</v>
      </c>
      <c r="AV832" s="34">
        <v>3.3707865168539297E-2</v>
      </c>
      <c r="AW832" s="10"/>
      <c r="AX832" s="8"/>
    </row>
    <row r="833" spans="1:50">
      <c r="A833" s="7"/>
      <c r="B833" s="10"/>
      <c r="C833" s="45" t="s">
        <v>688</v>
      </c>
      <c r="D833" s="23" t="s">
        <v>21</v>
      </c>
      <c r="E833" s="68" t="s">
        <v>878</v>
      </c>
      <c r="F833" s="68" t="s">
        <v>878</v>
      </c>
      <c r="G833" s="68" t="s">
        <v>878</v>
      </c>
      <c r="H833" s="68" t="s">
        <v>878</v>
      </c>
      <c r="I833" s="25">
        <v>0.9</v>
      </c>
      <c r="J833" s="26">
        <v>0.95833333333333304</v>
      </c>
      <c r="K833" s="26">
        <v>0.94845360824742297</v>
      </c>
      <c r="L833" s="27">
        <v>0.95714285714285696</v>
      </c>
      <c r="M833" s="26">
        <v>0.946768060836502</v>
      </c>
      <c r="N833" s="28">
        <v>0.9</v>
      </c>
      <c r="O833" s="26">
        <v>0.94467005076142097</v>
      </c>
      <c r="P833" s="26">
        <v>0.885917030567686</v>
      </c>
      <c r="Q833" s="26">
        <v>0.84217828650711102</v>
      </c>
      <c r="R833" s="26">
        <v>0.89666599210765996</v>
      </c>
      <c r="S833" s="28">
        <v>0.9</v>
      </c>
      <c r="T833" s="26">
        <v>0.91256345177664999</v>
      </c>
      <c r="U833" s="26">
        <v>0.89792576419213999</v>
      </c>
      <c r="V833" s="26">
        <v>0.91848768643773804</v>
      </c>
      <c r="W833" s="26">
        <v>0.910199332186583</v>
      </c>
      <c r="X833" s="28">
        <v>0.92</v>
      </c>
      <c r="Y833" s="28">
        <v>0.92043399638336298</v>
      </c>
      <c r="Z833" s="28">
        <v>0.92447916666666696</v>
      </c>
      <c r="AA833" s="28">
        <v>0.927876823338736</v>
      </c>
      <c r="AB833" s="28">
        <v>0.919640387275242</v>
      </c>
      <c r="AC833" s="28">
        <v>0.92</v>
      </c>
      <c r="AD833" s="26">
        <v>0.98491617175592605</v>
      </c>
      <c r="AE833" s="26">
        <v>0.97791644058600102</v>
      </c>
      <c r="AF833" s="26">
        <v>0.98704893384363002</v>
      </c>
      <c r="AG833" s="26">
        <v>0.98692266118528904</v>
      </c>
      <c r="AH833" s="28">
        <v>0.92</v>
      </c>
      <c r="AI833" s="26">
        <v>0.95527369826435204</v>
      </c>
      <c r="AJ833" s="26">
        <v>0.96681312517528295</v>
      </c>
      <c r="AK833" s="26">
        <v>0.95021855269548305</v>
      </c>
      <c r="AL833" s="26">
        <v>0.96057133082449497</v>
      </c>
      <c r="AM833" s="25">
        <v>0.99</v>
      </c>
      <c r="AN833" s="30">
        <v>1</v>
      </c>
      <c r="AO833" s="30">
        <v>1</v>
      </c>
      <c r="AP833" s="30">
        <v>1</v>
      </c>
      <c r="AQ833" s="30">
        <v>1</v>
      </c>
      <c r="AR833" s="50">
        <v>8.1059522893420499E-2</v>
      </c>
      <c r="AS833" s="34">
        <v>0</v>
      </c>
      <c r="AT833" s="34">
        <v>8.5714285714285701E-2</v>
      </c>
      <c r="AU833" s="34">
        <v>0.16666666666666699</v>
      </c>
      <c r="AV833" s="34">
        <v>4.49438202247191E-2</v>
      </c>
      <c r="AW833" s="10"/>
      <c r="AX833" s="8"/>
    </row>
    <row r="834" spans="1:50">
      <c r="A834" s="7"/>
      <c r="B834" s="10"/>
      <c r="C834" s="45" t="s">
        <v>688</v>
      </c>
      <c r="D834" s="23" t="s">
        <v>21</v>
      </c>
      <c r="E834" s="68" t="s">
        <v>879</v>
      </c>
      <c r="F834" s="68" t="s">
        <v>879</v>
      </c>
      <c r="G834" s="68" t="s">
        <v>879</v>
      </c>
      <c r="H834" s="68" t="s">
        <v>879</v>
      </c>
      <c r="I834" s="25">
        <v>0.9</v>
      </c>
      <c r="J834" s="26">
        <v>0.98076923076923095</v>
      </c>
      <c r="K834" s="26">
        <v>0.96226415094339601</v>
      </c>
      <c r="L834" s="27">
        <v>1</v>
      </c>
      <c r="M834" s="26">
        <v>0.97250859106529197</v>
      </c>
      <c r="N834" s="28">
        <v>0.9</v>
      </c>
      <c r="O834" s="26">
        <v>0.91582426127527194</v>
      </c>
      <c r="P834" s="26">
        <v>0.86697674418604698</v>
      </c>
      <c r="Q834" s="26">
        <v>0.94015345268542205</v>
      </c>
      <c r="R834" s="26">
        <v>0.90692115190677203</v>
      </c>
      <c r="S834" s="28">
        <v>0.9</v>
      </c>
      <c r="T834" s="26">
        <v>0.87033437013996895</v>
      </c>
      <c r="U834" s="26">
        <v>0.809147286821705</v>
      </c>
      <c r="V834" s="26">
        <v>0.901790281329923</v>
      </c>
      <c r="W834" s="26">
        <v>0.86590968513054201</v>
      </c>
      <c r="X834" s="28">
        <v>0.92</v>
      </c>
      <c r="Y834" s="28">
        <v>0.91389728096676703</v>
      </c>
      <c r="Z834" s="28">
        <v>0.945020746887967</v>
      </c>
      <c r="AA834" s="28">
        <v>0.90483162518301596</v>
      </c>
      <c r="AB834" s="28">
        <v>0.91963079693831595</v>
      </c>
      <c r="AC834" s="28">
        <v>0.92</v>
      </c>
      <c r="AD834" s="26">
        <v>0.99630996309963105</v>
      </c>
      <c r="AE834" s="26">
        <v>0.99266055045871604</v>
      </c>
      <c r="AF834" s="26">
        <v>0.99196787148594401</v>
      </c>
      <c r="AG834" s="26">
        <v>0.99177518848526403</v>
      </c>
      <c r="AH834" s="28">
        <v>0.92</v>
      </c>
      <c r="AI834" s="26">
        <v>0.96624181880812998</v>
      </c>
      <c r="AJ834" s="26">
        <v>0.96614513083355802</v>
      </c>
      <c r="AK834" s="26">
        <v>0.94958301743745299</v>
      </c>
      <c r="AL834" s="26">
        <v>0.963672475653511</v>
      </c>
      <c r="AM834" s="25">
        <v>0.99</v>
      </c>
      <c r="AN834" s="30">
        <v>1</v>
      </c>
      <c r="AO834" s="30">
        <v>1</v>
      </c>
      <c r="AP834" s="30">
        <v>1</v>
      </c>
      <c r="AQ834" s="30">
        <v>1</v>
      </c>
      <c r="AR834" s="50">
        <v>8.1059522893420499E-2</v>
      </c>
      <c r="AS834" s="34">
        <v>0.11111111111111099</v>
      </c>
      <c r="AT834" s="34">
        <v>3.4482758620689703E-2</v>
      </c>
      <c r="AU834" s="34">
        <v>0.25</v>
      </c>
      <c r="AV834" s="34">
        <v>0.10280373831775701</v>
      </c>
      <c r="AW834" s="10"/>
      <c r="AX834" s="8"/>
    </row>
    <row r="835" spans="1:50">
      <c r="A835" s="7"/>
      <c r="B835" s="10"/>
      <c r="C835" s="45" t="s">
        <v>688</v>
      </c>
      <c r="D835" s="23" t="s">
        <v>21</v>
      </c>
      <c r="E835" s="68" t="s">
        <v>880</v>
      </c>
      <c r="F835" s="68" t="s">
        <v>880</v>
      </c>
      <c r="G835" s="68" t="s">
        <v>880</v>
      </c>
      <c r="H835" s="68" t="s">
        <v>880</v>
      </c>
      <c r="I835" s="25">
        <v>0.9</v>
      </c>
      <c r="J835" s="26">
        <v>0.875</v>
      </c>
      <c r="K835" s="26">
        <v>0.91666666666666696</v>
      </c>
      <c r="L835" s="27">
        <v>1</v>
      </c>
      <c r="M835" s="26">
        <v>0.93893129770992401</v>
      </c>
      <c r="N835" s="28">
        <v>0.9</v>
      </c>
      <c r="O835" s="26">
        <v>0.98733676296003203</v>
      </c>
      <c r="P835" s="26">
        <v>0.99193819281155504</v>
      </c>
      <c r="Q835" s="26">
        <v>0.99059929494712096</v>
      </c>
      <c r="R835" s="26">
        <v>0.991939384168951</v>
      </c>
      <c r="S835" s="28">
        <v>0.9</v>
      </c>
      <c r="T835" s="26">
        <v>0.937870993272655</v>
      </c>
      <c r="U835" s="26">
        <v>0.95465233456499798</v>
      </c>
      <c r="V835" s="26">
        <v>0.96827262044653395</v>
      </c>
      <c r="W835" s="26">
        <v>0.95349024665484405</v>
      </c>
      <c r="X835" s="28">
        <v>0.92</v>
      </c>
      <c r="Y835" s="28">
        <v>0.91562500000000002</v>
      </c>
      <c r="Z835" s="28">
        <v>0.95368421052631602</v>
      </c>
      <c r="AA835" s="28">
        <v>0.98376623376623396</v>
      </c>
      <c r="AB835" s="28">
        <v>0.95374220374220398</v>
      </c>
      <c r="AC835" s="28">
        <v>0.92</v>
      </c>
      <c r="AD835" s="26">
        <v>0.98305084745762705</v>
      </c>
      <c r="AE835" s="26">
        <v>1</v>
      </c>
      <c r="AF835" s="26">
        <v>0.99395770392749205</v>
      </c>
      <c r="AG835" s="26">
        <v>0.99142550911039695</v>
      </c>
      <c r="AH835" s="28">
        <v>0.92</v>
      </c>
      <c r="AI835" s="26">
        <v>0.96136283807516698</v>
      </c>
      <c r="AJ835" s="26">
        <v>0.98348783314020904</v>
      </c>
      <c r="AK835" s="26">
        <v>0.98446937014667801</v>
      </c>
      <c r="AL835" s="26">
        <v>0.97969295184926697</v>
      </c>
      <c r="AM835" s="25">
        <v>0.99</v>
      </c>
      <c r="AN835" s="30">
        <v>1</v>
      </c>
      <c r="AO835" s="30">
        <v>1</v>
      </c>
      <c r="AP835" s="30">
        <v>1</v>
      </c>
      <c r="AQ835" s="30">
        <v>1</v>
      </c>
      <c r="AR835" s="50">
        <v>8.1059522893420499E-2</v>
      </c>
      <c r="AS835" s="34">
        <v>0.25</v>
      </c>
      <c r="AT835" s="34">
        <v>0</v>
      </c>
      <c r="AU835" s="34">
        <v>0.33333333333333298</v>
      </c>
      <c r="AV835" s="34">
        <v>0.10344827586206901</v>
      </c>
      <c r="AW835" s="10"/>
      <c r="AX835" s="8"/>
    </row>
    <row r="836" spans="1:50">
      <c r="A836" s="7"/>
      <c r="B836" s="10"/>
      <c r="C836" s="45" t="s">
        <v>688</v>
      </c>
      <c r="D836" s="23" t="s">
        <v>21</v>
      </c>
      <c r="E836" s="68" t="s">
        <v>881</v>
      </c>
      <c r="F836" s="68" t="s">
        <v>881</v>
      </c>
      <c r="G836" s="68" t="s">
        <v>881</v>
      </c>
      <c r="H836" s="68" t="s">
        <v>881</v>
      </c>
      <c r="I836" s="25">
        <v>0.9</v>
      </c>
      <c r="J836" s="26">
        <v>0.98076923076923095</v>
      </c>
      <c r="K836" s="26">
        <v>0.98113207547169801</v>
      </c>
      <c r="L836" s="27">
        <v>0.97222222222222199</v>
      </c>
      <c r="M836" s="26">
        <v>0.95185185185185195</v>
      </c>
      <c r="N836" s="28">
        <v>0.9</v>
      </c>
      <c r="O836" s="26">
        <v>0.97197855750487305</v>
      </c>
      <c r="P836" s="26">
        <v>0.97237569060773499</v>
      </c>
      <c r="Q836" s="26">
        <v>0.96908517350157697</v>
      </c>
      <c r="R836" s="26">
        <v>0.97283389736219905</v>
      </c>
      <c r="S836" s="28">
        <v>0.9</v>
      </c>
      <c r="T836" s="26">
        <v>0.91959064327485396</v>
      </c>
      <c r="U836" s="26">
        <v>0.93330702446724501</v>
      </c>
      <c r="V836" s="26">
        <v>0.96088328075709795</v>
      </c>
      <c r="W836" s="26">
        <v>0.93310463121783904</v>
      </c>
      <c r="X836" s="28">
        <v>0.92</v>
      </c>
      <c r="Y836" s="28">
        <v>0.94634146341463399</v>
      </c>
      <c r="Z836" s="28">
        <v>0.95179233621755299</v>
      </c>
      <c r="AA836" s="28">
        <v>0.94807370184254602</v>
      </c>
      <c r="AB836" s="28">
        <v>0.94199785177228801</v>
      </c>
      <c r="AC836" s="28">
        <v>0.92</v>
      </c>
      <c r="AD836" s="26">
        <v>0.99501661129568097</v>
      </c>
      <c r="AE836" s="26">
        <v>0.99500208246563904</v>
      </c>
      <c r="AF836" s="26">
        <v>0.99556048834628197</v>
      </c>
      <c r="AG836" s="26">
        <v>0.99597717963721499</v>
      </c>
      <c r="AH836" s="28">
        <v>0.92</v>
      </c>
      <c r="AI836" s="26">
        <v>0.97563559322033899</v>
      </c>
      <c r="AJ836" s="26">
        <v>0.98366513527309896</v>
      </c>
      <c r="AK836" s="26">
        <v>0.97341888175985303</v>
      </c>
      <c r="AL836" s="26">
        <v>0.97738772928526296</v>
      </c>
      <c r="AM836" s="25">
        <v>0.99</v>
      </c>
      <c r="AN836" s="30">
        <v>1</v>
      </c>
      <c r="AO836" s="30">
        <v>1</v>
      </c>
      <c r="AP836" s="30">
        <v>1</v>
      </c>
      <c r="AQ836" s="30">
        <v>1</v>
      </c>
      <c r="AR836" s="50">
        <v>8.1059522893420499E-2</v>
      </c>
      <c r="AS836" s="34">
        <v>0.2</v>
      </c>
      <c r="AT836" s="34">
        <v>-0.05</v>
      </c>
      <c r="AU836" s="34">
        <v>7.69230769230769E-2</v>
      </c>
      <c r="AV836" s="34">
        <v>4.4444444444444398E-2</v>
      </c>
      <c r="AW836" s="10"/>
      <c r="AX836" s="8"/>
    </row>
    <row r="837" spans="1:50">
      <c r="A837" s="7"/>
      <c r="B837" s="10"/>
      <c r="C837" s="45" t="s">
        <v>688</v>
      </c>
      <c r="D837" s="23" t="s">
        <v>21</v>
      </c>
      <c r="E837" s="68" t="s">
        <v>882</v>
      </c>
      <c r="F837" s="68" t="s">
        <v>882</v>
      </c>
      <c r="G837" s="68" t="s">
        <v>882</v>
      </c>
      <c r="H837" s="68" t="s">
        <v>882</v>
      </c>
      <c r="I837" s="25">
        <v>0.9</v>
      </c>
      <c r="J837" s="26">
        <v>0.86206896551724099</v>
      </c>
      <c r="K837" s="26">
        <v>0.89655172413793105</v>
      </c>
      <c r="L837" s="27">
        <v>0.837209302325581</v>
      </c>
      <c r="M837" s="26">
        <v>0.85576923076923095</v>
      </c>
      <c r="N837" s="28">
        <v>0.9</v>
      </c>
      <c r="O837" s="26">
        <v>0.88718636276575402</v>
      </c>
      <c r="P837" s="26">
        <v>0.87759472817133399</v>
      </c>
      <c r="Q837" s="26">
        <v>0.89889994761655301</v>
      </c>
      <c r="R837" s="26">
        <v>0.89233562543459799</v>
      </c>
      <c r="S837" s="28">
        <v>0.9</v>
      </c>
      <c r="T837" s="26">
        <v>0.85941390538211104</v>
      </c>
      <c r="U837" s="26">
        <v>0.85584843492586504</v>
      </c>
      <c r="V837" s="26">
        <v>0.86904138292299604</v>
      </c>
      <c r="W837" s="26">
        <v>0.87676736459862503</v>
      </c>
      <c r="X837" s="28">
        <v>0.92</v>
      </c>
      <c r="Y837" s="28">
        <v>0.87441130298273195</v>
      </c>
      <c r="Z837" s="28">
        <v>0.91075050709939098</v>
      </c>
      <c r="AA837" s="28">
        <v>0.88108882521489995</v>
      </c>
      <c r="AB837" s="28">
        <v>0.88483337111766003</v>
      </c>
      <c r="AC837" s="28">
        <v>0.92</v>
      </c>
      <c r="AD837" s="26">
        <v>0.98676909944515601</v>
      </c>
      <c r="AE837" s="26">
        <v>0.98608137044967903</v>
      </c>
      <c r="AF837" s="26">
        <v>0.976331360946746</v>
      </c>
      <c r="AG837" s="26">
        <v>0.98837729101475202</v>
      </c>
      <c r="AH837" s="28">
        <v>0.92</v>
      </c>
      <c r="AI837" s="26">
        <v>0.95749402526459504</v>
      </c>
      <c r="AJ837" s="26">
        <v>0.96627462094374394</v>
      </c>
      <c r="AK837" s="26">
        <v>0.94322976601457598</v>
      </c>
      <c r="AL837" s="26">
        <v>0.961251567760248</v>
      </c>
      <c r="AM837" s="25">
        <v>0.99</v>
      </c>
      <c r="AN837" s="30">
        <v>1</v>
      </c>
      <c r="AO837" s="30">
        <v>1</v>
      </c>
      <c r="AP837" s="30">
        <v>1</v>
      </c>
      <c r="AQ837" s="30">
        <v>1</v>
      </c>
      <c r="AR837" s="50">
        <v>8.1059522893420499E-2</v>
      </c>
      <c r="AS837" s="34">
        <v>0.27272727272727298</v>
      </c>
      <c r="AT837" s="34">
        <v>0</v>
      </c>
      <c r="AU837" s="34">
        <v>0</v>
      </c>
      <c r="AV837" s="34">
        <v>9.5238095238095205E-2</v>
      </c>
      <c r="AW837" s="10"/>
      <c r="AX837" s="8"/>
    </row>
    <row r="838" spans="1:50">
      <c r="A838" s="7"/>
      <c r="B838" s="10"/>
      <c r="C838" s="45" t="s">
        <v>688</v>
      </c>
      <c r="D838" s="23" t="s">
        <v>21</v>
      </c>
      <c r="E838" s="68" t="s">
        <v>883</v>
      </c>
      <c r="F838" s="68" t="s">
        <v>883</v>
      </c>
      <c r="G838" s="68" t="s">
        <v>883</v>
      </c>
      <c r="H838" s="68" t="s">
        <v>883</v>
      </c>
      <c r="I838" s="25">
        <v>0.9</v>
      </c>
      <c r="J838" s="26">
        <v>0.83928571428571397</v>
      </c>
      <c r="K838" s="26">
        <v>0.89473684210526305</v>
      </c>
      <c r="L838" s="27">
        <v>0.78571428571428603</v>
      </c>
      <c r="M838" s="26">
        <v>0.83</v>
      </c>
      <c r="N838" s="28">
        <v>0.9</v>
      </c>
      <c r="O838" s="26">
        <v>0.94763038303397495</v>
      </c>
      <c r="P838" s="26">
        <v>0.95573150980745003</v>
      </c>
      <c r="Q838" s="26">
        <v>0.95857988165680497</v>
      </c>
      <c r="R838" s="26">
        <v>0.95603646587714097</v>
      </c>
      <c r="S838" s="28">
        <v>0.9</v>
      </c>
      <c r="T838" s="26">
        <v>0.90586453148669099</v>
      </c>
      <c r="U838" s="26">
        <v>0.92082058664747202</v>
      </c>
      <c r="V838" s="26">
        <v>0.94970414201183395</v>
      </c>
      <c r="W838" s="26">
        <v>0.91398994632359198</v>
      </c>
      <c r="X838" s="28">
        <v>0.92</v>
      </c>
      <c r="Y838" s="28">
        <v>0.89304812834224601</v>
      </c>
      <c r="Z838" s="28">
        <v>0.91771428571428604</v>
      </c>
      <c r="AA838" s="28">
        <v>0.94511149228130398</v>
      </c>
      <c r="AB838" s="28">
        <v>0.91541017122412505</v>
      </c>
      <c r="AC838" s="28">
        <v>0.92</v>
      </c>
      <c r="AD838" s="26">
        <v>1</v>
      </c>
      <c r="AE838" s="26">
        <v>0.99373695198329903</v>
      </c>
      <c r="AF838" s="26">
        <v>0.99439775910364103</v>
      </c>
      <c r="AG838" s="26">
        <v>0.99569760295021503</v>
      </c>
      <c r="AH838" s="28">
        <v>0.92</v>
      </c>
      <c r="AI838" s="26">
        <v>0.95871913580246904</v>
      </c>
      <c r="AJ838" s="26">
        <v>0.96595149253731305</v>
      </c>
      <c r="AK838" s="26">
        <v>0.96304443466783995</v>
      </c>
      <c r="AL838" s="26">
        <v>0.96199342825848899</v>
      </c>
      <c r="AM838" s="25">
        <v>0.99</v>
      </c>
      <c r="AN838" s="30">
        <v>1</v>
      </c>
      <c r="AO838" s="30">
        <v>1</v>
      </c>
      <c r="AP838" s="30">
        <v>1</v>
      </c>
      <c r="AQ838" s="30">
        <v>1</v>
      </c>
      <c r="AR838" s="50">
        <v>8.1059522893420499E-2</v>
      </c>
      <c r="AS838" s="34">
        <v>6.25E-2</v>
      </c>
      <c r="AT838" s="34">
        <v>0</v>
      </c>
      <c r="AU838" s="34">
        <v>0</v>
      </c>
      <c r="AV838" s="34">
        <v>3.06122448979592E-2</v>
      </c>
      <c r="AW838" s="10"/>
      <c r="AX838" s="8"/>
    </row>
    <row r="839" spans="1:50">
      <c r="A839" s="7"/>
      <c r="B839" s="10"/>
      <c r="C839" s="45" t="s">
        <v>688</v>
      </c>
      <c r="D839" s="23" t="s">
        <v>21</v>
      </c>
      <c r="E839" s="68" t="s">
        <v>884</v>
      </c>
      <c r="F839" s="68" t="s">
        <v>884</v>
      </c>
      <c r="G839" s="68" t="s">
        <v>884</v>
      </c>
      <c r="H839" s="68" t="s">
        <v>884</v>
      </c>
      <c r="I839" s="25">
        <v>0.9</v>
      </c>
      <c r="J839" s="26">
        <v>1</v>
      </c>
      <c r="K839" s="26">
        <v>0.98245614035087703</v>
      </c>
      <c r="L839" s="27">
        <v>0.97826086956521696</v>
      </c>
      <c r="M839" s="26">
        <v>0.98124999999999996</v>
      </c>
      <c r="N839" s="28">
        <v>0.9</v>
      </c>
      <c r="O839" s="26">
        <v>0.98072392375240902</v>
      </c>
      <c r="P839" s="26">
        <v>0.966438356164384</v>
      </c>
      <c r="Q839" s="26">
        <v>0.978366684694429</v>
      </c>
      <c r="R839" s="26">
        <v>0.97644814860886497</v>
      </c>
      <c r="S839" s="28">
        <v>0.9</v>
      </c>
      <c r="T839" s="26">
        <v>0.92439494538445099</v>
      </c>
      <c r="U839" s="26">
        <v>0.90205479452054804</v>
      </c>
      <c r="V839" s="26">
        <v>0.94645754461871301</v>
      </c>
      <c r="W839" s="26">
        <v>0.91765144918522201</v>
      </c>
      <c r="X839" s="28">
        <v>0.92</v>
      </c>
      <c r="Y839" s="28">
        <v>0.90053285968028396</v>
      </c>
      <c r="Z839" s="28">
        <v>0.93390191897654595</v>
      </c>
      <c r="AA839" s="28">
        <v>0.916139240506329</v>
      </c>
      <c r="AB839" s="28">
        <v>0.91407192855418795</v>
      </c>
      <c r="AC839" s="28">
        <v>0.92</v>
      </c>
      <c r="AD839" s="26">
        <v>1</v>
      </c>
      <c r="AE839" s="26">
        <v>0.98181818181818203</v>
      </c>
      <c r="AF839" s="26">
        <v>0.98559670781893005</v>
      </c>
      <c r="AG839" s="26">
        <v>0.98977505112474395</v>
      </c>
      <c r="AH839" s="28">
        <v>0.92</v>
      </c>
      <c r="AI839" s="26">
        <v>0.96387614678899103</v>
      </c>
      <c r="AJ839" s="26">
        <v>0.97064463785219102</v>
      </c>
      <c r="AK839" s="26">
        <v>0.96049979846835998</v>
      </c>
      <c r="AL839" s="26">
        <v>0.96773052154836903</v>
      </c>
      <c r="AM839" s="25">
        <v>0.99</v>
      </c>
      <c r="AN839" s="30">
        <v>1</v>
      </c>
      <c r="AO839" s="30">
        <v>1</v>
      </c>
      <c r="AP839" s="30">
        <v>1</v>
      </c>
      <c r="AQ839" s="30">
        <v>1</v>
      </c>
      <c r="AR839" s="50">
        <v>8.1059522893420499E-2</v>
      </c>
      <c r="AS839" s="34">
        <v>0</v>
      </c>
      <c r="AT839" s="34">
        <v>0</v>
      </c>
      <c r="AU839" s="34">
        <v>0.16666666666666699</v>
      </c>
      <c r="AV839" s="34">
        <v>2.7777777777777801E-2</v>
      </c>
      <c r="AW839" s="10"/>
      <c r="AX839" s="8"/>
    </row>
    <row r="840" spans="1:50">
      <c r="A840" s="7"/>
      <c r="B840" s="10"/>
      <c r="C840" s="45" t="s">
        <v>688</v>
      </c>
      <c r="D840" s="23" t="s">
        <v>21</v>
      </c>
      <c r="E840" s="68" t="s">
        <v>885</v>
      </c>
      <c r="F840" s="68" t="s">
        <v>885</v>
      </c>
      <c r="G840" s="68" t="s">
        <v>885</v>
      </c>
      <c r="H840" s="68" t="s">
        <v>885</v>
      </c>
      <c r="I840" s="25">
        <v>0.9</v>
      </c>
      <c r="J840" s="26">
        <v>1</v>
      </c>
      <c r="K840" s="26">
        <v>0.94117647058823495</v>
      </c>
      <c r="L840" s="27">
        <v>0.96153846153846201</v>
      </c>
      <c r="M840" s="26">
        <v>0.96276595744680804</v>
      </c>
      <c r="N840" s="28">
        <v>0.9</v>
      </c>
      <c r="O840" s="26">
        <v>0.92524439332950004</v>
      </c>
      <c r="P840" s="26">
        <v>0.909115067765081</v>
      </c>
      <c r="Q840" s="26">
        <v>0.97555555555555595</v>
      </c>
      <c r="R840" s="26">
        <v>0.95101942333212697</v>
      </c>
      <c r="S840" s="28">
        <v>0.9</v>
      </c>
      <c r="T840" s="26">
        <v>0.941920644048304</v>
      </c>
      <c r="U840" s="26">
        <v>0.94445920807866102</v>
      </c>
      <c r="V840" s="26">
        <v>0.95629629629629598</v>
      </c>
      <c r="W840" s="26">
        <v>0.95518156593075199</v>
      </c>
      <c r="X840" s="28">
        <v>0.92</v>
      </c>
      <c r="Y840" s="28">
        <v>0.92600000000000005</v>
      </c>
      <c r="Z840" s="28">
        <v>0.95641646489104104</v>
      </c>
      <c r="AA840" s="28">
        <v>0.96404109589041098</v>
      </c>
      <c r="AB840" s="28">
        <v>0.93639780283318896</v>
      </c>
      <c r="AC840" s="28">
        <v>0.92</v>
      </c>
      <c r="AD840" s="26">
        <v>0.99325973271353896</v>
      </c>
      <c r="AE840" s="26">
        <v>0.98609501738122796</v>
      </c>
      <c r="AF840" s="26">
        <v>0.99089047383659301</v>
      </c>
      <c r="AG840" s="26">
        <v>0.98973020017406399</v>
      </c>
      <c r="AH840" s="28">
        <v>0.92</v>
      </c>
      <c r="AI840" s="26">
        <v>0.96933132227249896</v>
      </c>
      <c r="AJ840" s="26">
        <v>0.98061002178649204</v>
      </c>
      <c r="AK840" s="26">
        <v>0.97104446742502604</v>
      </c>
      <c r="AL840" s="26">
        <v>0.97520207564115402</v>
      </c>
      <c r="AM840" s="25">
        <v>0.99</v>
      </c>
      <c r="AN840" s="30">
        <v>1</v>
      </c>
      <c r="AO840" s="30">
        <v>1</v>
      </c>
      <c r="AP840" s="30">
        <v>1</v>
      </c>
      <c r="AQ840" s="30">
        <v>1</v>
      </c>
      <c r="AR840" s="50">
        <v>8.1059522893420499E-2</v>
      </c>
      <c r="AS840" s="34">
        <v>0</v>
      </c>
      <c r="AT840" s="34">
        <v>-5.8823529411764698E-2</v>
      </c>
      <c r="AU840" s="34">
        <v>0.16666666666666699</v>
      </c>
      <c r="AV840" s="34">
        <v>4.3478260869565202E-2</v>
      </c>
      <c r="AW840" s="10"/>
      <c r="AX840" s="8"/>
    </row>
    <row r="841" spans="1:50">
      <c r="A841" s="7"/>
      <c r="B841" s="10"/>
      <c r="C841" s="45" t="s">
        <v>688</v>
      </c>
      <c r="D841" s="23" t="s">
        <v>21</v>
      </c>
      <c r="E841" s="68" t="s">
        <v>886</v>
      </c>
      <c r="F841" s="68" t="s">
        <v>886</v>
      </c>
      <c r="G841" s="68" t="s">
        <v>886</v>
      </c>
      <c r="H841" s="68" t="s">
        <v>886</v>
      </c>
      <c r="I841" s="25">
        <v>0.9</v>
      </c>
      <c r="J841" s="26">
        <v>1</v>
      </c>
      <c r="K841" s="26">
        <v>1</v>
      </c>
      <c r="L841" s="27">
        <v>0.95652173913043503</v>
      </c>
      <c r="M841" s="26">
        <v>0.97902097902097895</v>
      </c>
      <c r="N841" s="28">
        <v>0.9</v>
      </c>
      <c r="O841" s="26">
        <v>0.91998324256388797</v>
      </c>
      <c r="P841" s="26">
        <v>0.92336035372144398</v>
      </c>
      <c r="Q841" s="26">
        <v>0.95957193816884701</v>
      </c>
      <c r="R841" s="26">
        <v>0.95137722539469305</v>
      </c>
      <c r="S841" s="28">
        <v>0.9</v>
      </c>
      <c r="T841" s="26">
        <v>0.87892752408881403</v>
      </c>
      <c r="U841" s="26">
        <v>0.89314664701547497</v>
      </c>
      <c r="V841" s="26">
        <v>0.95600475624256798</v>
      </c>
      <c r="W841" s="26">
        <v>0.92568021498152497</v>
      </c>
      <c r="X841" s="28">
        <v>0.92</v>
      </c>
      <c r="Y841" s="28">
        <v>0.75668449197860999</v>
      </c>
      <c r="Z841" s="28">
        <v>0.94746059544658501</v>
      </c>
      <c r="AA841" s="28">
        <v>0.92332268370606996</v>
      </c>
      <c r="AB841" s="28">
        <v>0.91485587583148598</v>
      </c>
      <c r="AC841" s="28">
        <v>0.92</v>
      </c>
      <c r="AD841" s="26">
        <v>0.99638989169675096</v>
      </c>
      <c r="AE841" s="26">
        <v>0.99075500770416003</v>
      </c>
      <c r="AF841" s="26">
        <v>0.99373040752351105</v>
      </c>
      <c r="AG841" s="26">
        <v>0.99588025267783598</v>
      </c>
      <c r="AH841" s="28">
        <v>0.92</v>
      </c>
      <c r="AI841" s="26">
        <v>0.94603404563563898</v>
      </c>
      <c r="AJ841" s="26">
        <v>0.98173515981735204</v>
      </c>
      <c r="AK841" s="26">
        <v>0.969670710571924</v>
      </c>
      <c r="AL841" s="26">
        <v>0.97564247387743597</v>
      </c>
      <c r="AM841" s="25">
        <v>0.99</v>
      </c>
      <c r="AN841" s="30">
        <v>1</v>
      </c>
      <c r="AO841" s="30">
        <v>1</v>
      </c>
      <c r="AP841" s="30">
        <v>1</v>
      </c>
      <c r="AQ841" s="30">
        <v>1</v>
      </c>
      <c r="AR841" s="50">
        <v>8.1059522893420499E-2</v>
      </c>
      <c r="AS841" s="34">
        <v>0</v>
      </c>
      <c r="AT841" s="34">
        <v>0</v>
      </c>
      <c r="AU841" s="34">
        <v>0</v>
      </c>
      <c r="AV841" s="34">
        <v>-5.2631578947368397E-2</v>
      </c>
      <c r="AW841" s="10"/>
      <c r="AX841" s="8"/>
    </row>
    <row r="842" spans="1:50">
      <c r="A842" s="7"/>
      <c r="B842" s="10"/>
      <c r="C842" s="45" t="s">
        <v>688</v>
      </c>
      <c r="D842" s="23" t="s">
        <v>21</v>
      </c>
      <c r="E842" s="68" t="s">
        <v>887</v>
      </c>
      <c r="F842" s="68" t="s">
        <v>887</v>
      </c>
      <c r="G842" s="68" t="s">
        <v>887</v>
      </c>
      <c r="H842" s="68" t="s">
        <v>887</v>
      </c>
      <c r="I842" s="25">
        <v>0.9</v>
      </c>
      <c r="J842" s="26">
        <v>1</v>
      </c>
      <c r="K842" s="26">
        <v>1</v>
      </c>
      <c r="L842" s="27">
        <v>0.8125</v>
      </c>
      <c r="M842" s="26">
        <v>0.97540983606557397</v>
      </c>
      <c r="N842" s="28">
        <v>0.9</v>
      </c>
      <c r="O842" s="26">
        <v>0.95712909441233096</v>
      </c>
      <c r="P842" s="26">
        <v>0.967395967395967</v>
      </c>
      <c r="Q842" s="26">
        <v>0.99072847682119203</v>
      </c>
      <c r="R842" s="26">
        <v>0.96424096385542202</v>
      </c>
      <c r="S842" s="28">
        <v>0.9</v>
      </c>
      <c r="T842" s="26">
        <v>0.940269749518304</v>
      </c>
      <c r="U842" s="26">
        <v>0.93436293436293405</v>
      </c>
      <c r="V842" s="26">
        <v>0.94834437086092704</v>
      </c>
      <c r="W842" s="26">
        <v>0.929927710843373</v>
      </c>
      <c r="X842" s="28">
        <v>0.92</v>
      </c>
      <c r="Y842" s="28">
        <v>0.92385786802030501</v>
      </c>
      <c r="Z842" s="28">
        <v>0.93842887473460701</v>
      </c>
      <c r="AA842" s="28">
        <v>0.92233009708737901</v>
      </c>
      <c r="AB842" s="28">
        <v>0.93502202643171795</v>
      </c>
      <c r="AC842" s="28">
        <v>0.92</v>
      </c>
      <c r="AD842" s="26">
        <v>1</v>
      </c>
      <c r="AE842" s="26">
        <v>0.99772727272727302</v>
      </c>
      <c r="AF842" s="26">
        <v>0.99632352941176505</v>
      </c>
      <c r="AG842" s="26">
        <v>0.99777365491651204</v>
      </c>
      <c r="AH842" s="28">
        <v>0.92</v>
      </c>
      <c r="AI842" s="26">
        <v>0.97316322041354997</v>
      </c>
      <c r="AJ842" s="26">
        <v>0.96716630977872997</v>
      </c>
      <c r="AK842" s="26">
        <v>0.96428571428571397</v>
      </c>
      <c r="AL842" s="26">
        <v>0.96948568616192299</v>
      </c>
      <c r="AM842" s="25">
        <v>0.99</v>
      </c>
      <c r="AN842" s="30">
        <v>1</v>
      </c>
      <c r="AO842" s="30">
        <v>1</v>
      </c>
      <c r="AP842" s="30">
        <v>1</v>
      </c>
      <c r="AQ842" s="30">
        <v>1</v>
      </c>
      <c r="AR842" s="50">
        <v>8.1059522893420499E-2</v>
      </c>
      <c r="AS842" s="34">
        <v>0.16666666666666699</v>
      </c>
      <c r="AT842" s="34">
        <v>0</v>
      </c>
      <c r="AU842" s="34">
        <v>0</v>
      </c>
      <c r="AV842" s="34">
        <v>0.05</v>
      </c>
      <c r="AW842" s="10"/>
      <c r="AX842" s="8"/>
    </row>
    <row r="843" spans="1:50">
      <c r="A843" s="7"/>
      <c r="B843" s="10"/>
      <c r="C843" s="45" t="s">
        <v>688</v>
      </c>
      <c r="D843" s="23" t="s">
        <v>21</v>
      </c>
      <c r="E843" s="68" t="s">
        <v>888</v>
      </c>
      <c r="F843" s="68" t="s">
        <v>888</v>
      </c>
      <c r="G843" s="68" t="s">
        <v>888</v>
      </c>
      <c r="H843" s="68" t="s">
        <v>888</v>
      </c>
      <c r="I843" s="25">
        <v>0.9</v>
      </c>
      <c r="J843" s="26">
        <v>0.83333333333333304</v>
      </c>
      <c r="K843" s="26">
        <v>0.94444444444444398</v>
      </c>
      <c r="L843" s="27">
        <v>0.85714285714285698</v>
      </c>
      <c r="M843" s="26">
        <v>0.81443298969072198</v>
      </c>
      <c r="N843" s="28">
        <v>0.9</v>
      </c>
      <c r="O843" s="26">
        <v>0.94351732991014103</v>
      </c>
      <c r="P843" s="26">
        <v>0.95854063018242097</v>
      </c>
      <c r="Q843" s="26">
        <v>0.95925297113752095</v>
      </c>
      <c r="R843" s="26">
        <v>0.95764705882352896</v>
      </c>
      <c r="S843" s="28">
        <v>0.9</v>
      </c>
      <c r="T843" s="26">
        <v>0.72207958921694504</v>
      </c>
      <c r="U843" s="26">
        <v>0.61746821448314004</v>
      </c>
      <c r="V843" s="26">
        <v>0.83191850594227501</v>
      </c>
      <c r="W843" s="26">
        <v>0.71477124183006502</v>
      </c>
      <c r="X843" s="28">
        <v>0.92</v>
      </c>
      <c r="Y843" s="28">
        <v>0.63095238095238104</v>
      </c>
      <c r="Z843" s="28">
        <v>0.76325088339222602</v>
      </c>
      <c r="AA843" s="28">
        <v>0.594444444444444</v>
      </c>
      <c r="AB843" s="28">
        <v>0.71082390953150199</v>
      </c>
      <c r="AC843" s="28">
        <v>0.92</v>
      </c>
      <c r="AD843" s="26">
        <v>1</v>
      </c>
      <c r="AE843" s="26">
        <v>0.92</v>
      </c>
      <c r="AF843" s="26">
        <v>0.96</v>
      </c>
      <c r="AG843" s="26">
        <v>0.96551724137931005</v>
      </c>
      <c r="AH843" s="28">
        <v>0.92</v>
      </c>
      <c r="AI843" s="26">
        <v>0.91135573580533003</v>
      </c>
      <c r="AJ843" s="26">
        <v>0.94024856596558304</v>
      </c>
      <c r="AK843" s="26">
        <v>0.88036410923276998</v>
      </c>
      <c r="AL843" s="26">
        <v>0.93035553555355499</v>
      </c>
      <c r="AM843" s="25">
        <v>0.99</v>
      </c>
      <c r="AN843" s="30">
        <v>1</v>
      </c>
      <c r="AO843" s="30">
        <v>1</v>
      </c>
      <c r="AP843" s="30">
        <v>1</v>
      </c>
      <c r="AQ843" s="30">
        <v>1</v>
      </c>
      <c r="AR843" s="50">
        <v>8.1059522893420499E-2</v>
      </c>
      <c r="AS843" s="34">
        <v>0</v>
      </c>
      <c r="AT843" s="34">
        <v>0</v>
      </c>
      <c r="AU843" s="34">
        <v>0</v>
      </c>
      <c r="AV843" s="34">
        <v>6.8965517241379296E-2</v>
      </c>
      <c r="AW843" s="10"/>
      <c r="AX843" s="8"/>
    </row>
    <row r="844" spans="1:50">
      <c r="A844" s="7"/>
      <c r="B844" s="10"/>
      <c r="C844" s="45" t="s">
        <v>688</v>
      </c>
      <c r="D844" s="23" t="s">
        <v>21</v>
      </c>
      <c r="E844" s="68" t="s">
        <v>889</v>
      </c>
      <c r="F844" s="68" t="s">
        <v>889</v>
      </c>
      <c r="G844" s="68" t="s">
        <v>889</v>
      </c>
      <c r="H844" s="68" t="s">
        <v>889</v>
      </c>
      <c r="I844" s="25">
        <v>0.9</v>
      </c>
      <c r="J844" s="26">
        <v>0.86206896551724099</v>
      </c>
      <c r="K844" s="26">
        <v>0.92857142857142905</v>
      </c>
      <c r="L844" s="27">
        <v>0.82608695652173902</v>
      </c>
      <c r="M844" s="26">
        <v>0.89156626506024095</v>
      </c>
      <c r="N844" s="28">
        <v>0.9</v>
      </c>
      <c r="O844" s="26">
        <v>0.95675872093023295</v>
      </c>
      <c r="P844" s="26">
        <v>0.94358035986581301</v>
      </c>
      <c r="Q844" s="26">
        <v>0.94159113796575999</v>
      </c>
      <c r="R844" s="26">
        <v>0.95385839299920405</v>
      </c>
      <c r="S844" s="28">
        <v>0.9</v>
      </c>
      <c r="T844" s="26">
        <v>0.91969476744186096</v>
      </c>
      <c r="U844" s="26">
        <v>0.85391887770661801</v>
      </c>
      <c r="V844" s="26">
        <v>0.93454179254783498</v>
      </c>
      <c r="W844" s="26">
        <v>0.91249005568814601</v>
      </c>
      <c r="X844" s="28">
        <v>0.92</v>
      </c>
      <c r="Y844" s="28">
        <v>0.76923076923076905</v>
      </c>
      <c r="Z844" s="28">
        <v>0.83980582524271796</v>
      </c>
      <c r="AA844" s="28">
        <v>0.74397590361445798</v>
      </c>
      <c r="AB844" s="28">
        <v>0.82144329896907198</v>
      </c>
      <c r="AC844" s="28">
        <v>0.92</v>
      </c>
      <c r="AD844" s="26">
        <v>0.996835443037975</v>
      </c>
      <c r="AE844" s="26">
        <v>0.98086124401913899</v>
      </c>
      <c r="AF844" s="26">
        <v>0.99139414802065395</v>
      </c>
      <c r="AG844" s="26">
        <v>0.98972738048202302</v>
      </c>
      <c r="AH844" s="28">
        <v>0.92</v>
      </c>
      <c r="AI844" s="26">
        <v>0.95218228498074498</v>
      </c>
      <c r="AJ844" s="26">
        <v>0.94482935591480599</v>
      </c>
      <c r="AK844" s="26">
        <v>0.90264150943396204</v>
      </c>
      <c r="AL844" s="26">
        <v>0.94979079497907903</v>
      </c>
      <c r="AM844" s="25">
        <v>0.99</v>
      </c>
      <c r="AN844" s="30">
        <v>1</v>
      </c>
      <c r="AO844" s="30">
        <v>1</v>
      </c>
      <c r="AP844" s="30">
        <v>1</v>
      </c>
      <c r="AQ844" s="30">
        <v>1</v>
      </c>
      <c r="AR844" s="50">
        <v>8.1059522893420499E-2</v>
      </c>
      <c r="AS844" s="34">
        <v>0</v>
      </c>
      <c r="AT844" s="34">
        <v>0.2</v>
      </c>
      <c r="AU844" s="34">
        <v>0</v>
      </c>
      <c r="AV844" s="34">
        <v>8.3333333333333301E-2</v>
      </c>
      <c r="AW844" s="10"/>
      <c r="AX844" s="8"/>
    </row>
    <row r="845" spans="1:50">
      <c r="A845" s="7"/>
      <c r="B845" s="10"/>
      <c r="C845" s="45" t="s">
        <v>688</v>
      </c>
      <c r="D845" s="23" t="s">
        <v>21</v>
      </c>
      <c r="E845" s="68" t="s">
        <v>890</v>
      </c>
      <c r="F845" s="68" t="s">
        <v>890</v>
      </c>
      <c r="G845" s="68" t="s">
        <v>890</v>
      </c>
      <c r="H845" s="68" t="s">
        <v>890</v>
      </c>
      <c r="I845" s="25">
        <v>0.9</v>
      </c>
      <c r="J845" s="26">
        <v>0.93877551020408201</v>
      </c>
      <c r="K845" s="26">
        <v>0.83333333333333304</v>
      </c>
      <c r="L845" s="27">
        <v>0.86046511627906996</v>
      </c>
      <c r="M845" s="26">
        <v>0.86029411764705899</v>
      </c>
      <c r="N845" s="28">
        <v>0.9</v>
      </c>
      <c r="O845" s="26">
        <v>0.96233974358974395</v>
      </c>
      <c r="P845" s="26">
        <v>0.95335276967930005</v>
      </c>
      <c r="Q845" s="26">
        <v>0.94510293200249496</v>
      </c>
      <c r="R845" s="26">
        <v>0.951323967201128</v>
      </c>
      <c r="S845" s="28">
        <v>0.9</v>
      </c>
      <c r="T845" s="26">
        <v>0.91372863247863201</v>
      </c>
      <c r="U845" s="26">
        <v>0.926665171563131</v>
      </c>
      <c r="V845" s="26">
        <v>0.89332501559575805</v>
      </c>
      <c r="W845" s="26">
        <v>0.92458348566354998</v>
      </c>
      <c r="X845" s="28">
        <v>0.92</v>
      </c>
      <c r="Y845" s="28">
        <v>0.91558441558441594</v>
      </c>
      <c r="Z845" s="28">
        <v>0.91136974037600704</v>
      </c>
      <c r="AA845" s="28">
        <v>0.92274305555555602</v>
      </c>
      <c r="AB845" s="28">
        <v>0.90541529454811598</v>
      </c>
      <c r="AC845" s="28">
        <v>0.92</v>
      </c>
      <c r="AD845" s="26">
        <v>0.99830316742081404</v>
      </c>
      <c r="AE845" s="26">
        <v>0.98995311453449397</v>
      </c>
      <c r="AF845" s="26">
        <v>0.99248120300751896</v>
      </c>
      <c r="AG845" s="26">
        <v>0.99427272727272697</v>
      </c>
      <c r="AH845" s="28">
        <v>0.92</v>
      </c>
      <c r="AI845" s="26">
        <v>0.94731205825658604</v>
      </c>
      <c r="AJ845" s="26">
        <v>0.95606957145418703</v>
      </c>
      <c r="AK845" s="26">
        <v>0.929219600725953</v>
      </c>
      <c r="AL845" s="26">
        <v>0.94925858216534598</v>
      </c>
      <c r="AM845" s="25">
        <v>0.99</v>
      </c>
      <c r="AN845" s="30">
        <v>1</v>
      </c>
      <c r="AO845" s="30">
        <v>1</v>
      </c>
      <c r="AP845" s="30">
        <v>1</v>
      </c>
      <c r="AQ845" s="30">
        <v>1</v>
      </c>
      <c r="AR845" s="50">
        <v>8.1059522893420499E-2</v>
      </c>
      <c r="AS845" s="34">
        <v>4.1666666666666699E-2</v>
      </c>
      <c r="AT845" s="34">
        <v>7.69230769230769E-2</v>
      </c>
      <c r="AU845" s="34">
        <v>0.08</v>
      </c>
      <c r="AV845" s="34">
        <v>4.6979865771812103E-2</v>
      </c>
      <c r="AW845" s="10"/>
      <c r="AX845" s="8"/>
    </row>
    <row r="846" spans="1:50">
      <c r="A846" s="7"/>
      <c r="B846" s="10"/>
      <c r="C846" s="45" t="s">
        <v>688</v>
      </c>
      <c r="D846" s="23" t="s">
        <v>21</v>
      </c>
      <c r="E846" s="68" t="s">
        <v>891</v>
      </c>
      <c r="F846" s="68" t="s">
        <v>891</v>
      </c>
      <c r="G846" s="68" t="s">
        <v>891</v>
      </c>
      <c r="H846" s="68" t="s">
        <v>891</v>
      </c>
      <c r="I846" s="25">
        <v>0.9</v>
      </c>
      <c r="J846" s="26">
        <v>0.92500000000000004</v>
      </c>
      <c r="K846" s="26">
        <v>0.875</v>
      </c>
      <c r="L846" s="27">
        <v>0.90625</v>
      </c>
      <c r="M846" s="26">
        <v>0.87892376681614304</v>
      </c>
      <c r="N846" s="28">
        <v>0.9</v>
      </c>
      <c r="O846" s="26">
        <v>0.92298288508557502</v>
      </c>
      <c r="P846" s="26">
        <v>0.93938598792967698</v>
      </c>
      <c r="Q846" s="26">
        <v>0.88535453943008602</v>
      </c>
      <c r="R846" s="26">
        <v>0.92572289156626497</v>
      </c>
      <c r="S846" s="28">
        <v>0.9</v>
      </c>
      <c r="T846" s="26">
        <v>0.87011002444987795</v>
      </c>
      <c r="U846" s="26">
        <v>0.88953030700603497</v>
      </c>
      <c r="V846" s="26">
        <v>0.88535453943008602</v>
      </c>
      <c r="W846" s="26">
        <v>0.88373493975903605</v>
      </c>
      <c r="X846" s="28">
        <v>0.92</v>
      </c>
      <c r="Y846" s="28">
        <v>0.90864197530864199</v>
      </c>
      <c r="Z846" s="28">
        <v>0.90909090909090895</v>
      </c>
      <c r="AA846" s="28">
        <v>0.90511727078891302</v>
      </c>
      <c r="AB846" s="28">
        <v>0.90868989854433202</v>
      </c>
      <c r="AC846" s="28">
        <v>0.92</v>
      </c>
      <c r="AD846" s="26">
        <v>0.99836601307189499</v>
      </c>
      <c r="AE846" s="26">
        <v>0.988256549232159</v>
      </c>
      <c r="AF846" s="26">
        <v>0.99147200593251805</v>
      </c>
      <c r="AG846" s="26">
        <v>0.99189567523760402</v>
      </c>
      <c r="AH846" s="28">
        <v>0.92</v>
      </c>
      <c r="AI846" s="26">
        <v>0.937545922116091</v>
      </c>
      <c r="AJ846" s="26">
        <v>0.94231570179092095</v>
      </c>
      <c r="AK846" s="26">
        <v>0.91867592970984902</v>
      </c>
      <c r="AL846" s="26">
        <v>0.93788731728085495</v>
      </c>
      <c r="AM846" s="25">
        <v>0.99</v>
      </c>
      <c r="AN846" s="30">
        <v>1</v>
      </c>
      <c r="AO846" s="30">
        <v>1</v>
      </c>
      <c r="AP846" s="30">
        <v>1</v>
      </c>
      <c r="AQ846" s="30">
        <v>1</v>
      </c>
      <c r="AR846" s="50">
        <v>8.1059522893420499E-2</v>
      </c>
      <c r="AS846" s="34">
        <v>0.04</v>
      </c>
      <c r="AT846" s="34">
        <v>0</v>
      </c>
      <c r="AU846" s="34">
        <v>0</v>
      </c>
      <c r="AV846" s="34">
        <v>1.38888888888889E-2</v>
      </c>
      <c r="AW846" s="10"/>
      <c r="AX846" s="8"/>
    </row>
    <row r="847" spans="1:50">
      <c r="A847" s="7"/>
      <c r="B847" s="10"/>
      <c r="C847" s="45" t="s">
        <v>688</v>
      </c>
      <c r="D847" s="23" t="s">
        <v>21</v>
      </c>
      <c r="E847" s="68" t="s">
        <v>892</v>
      </c>
      <c r="F847" s="68" t="s">
        <v>892</v>
      </c>
      <c r="G847" s="68" t="s">
        <v>892</v>
      </c>
      <c r="H847" s="68" t="s">
        <v>892</v>
      </c>
      <c r="I847" s="25">
        <v>0.9</v>
      </c>
      <c r="J847" s="26">
        <v>0.87804878048780499</v>
      </c>
      <c r="K847" s="26">
        <v>0.90243902439024404</v>
      </c>
      <c r="L847" s="27">
        <v>0.92307692307692302</v>
      </c>
      <c r="M847" s="26">
        <v>0.85185185185185197</v>
      </c>
      <c r="N847" s="28">
        <v>0.9</v>
      </c>
      <c r="O847" s="26">
        <v>0.918711329208449</v>
      </c>
      <c r="P847" s="26">
        <v>0.91649844008074899</v>
      </c>
      <c r="Q847" s="26">
        <v>0.94765245547760402</v>
      </c>
      <c r="R847" s="26">
        <v>0.90458129128489195</v>
      </c>
      <c r="S847" s="28">
        <v>0.9</v>
      </c>
      <c r="T847" s="26">
        <v>0.88478771068913997</v>
      </c>
      <c r="U847" s="26">
        <v>0.89098917232519703</v>
      </c>
      <c r="V847" s="26">
        <v>0.93362115488397202</v>
      </c>
      <c r="W847" s="26">
        <v>0.89857234178563805</v>
      </c>
      <c r="X847" s="28">
        <v>0.92</v>
      </c>
      <c r="Y847" s="28">
        <v>0.93000958772770903</v>
      </c>
      <c r="Z847" s="28">
        <v>0.94177583697234402</v>
      </c>
      <c r="AA847" s="28">
        <v>0.951945080091533</v>
      </c>
      <c r="AB847" s="28">
        <v>0.944543538187125</v>
      </c>
      <c r="AC847" s="28">
        <v>0.92</v>
      </c>
      <c r="AD847" s="26">
        <v>1</v>
      </c>
      <c r="AE847" s="26">
        <v>0.98962655601659799</v>
      </c>
      <c r="AF847" s="26">
        <v>0.97058823529411797</v>
      </c>
      <c r="AG847" s="26">
        <v>0.98774860779633999</v>
      </c>
      <c r="AH847" s="28">
        <v>0.92</v>
      </c>
      <c r="AI847" s="26">
        <v>0.94799301919720802</v>
      </c>
      <c r="AJ847" s="26">
        <v>0.95060823684596196</v>
      </c>
      <c r="AK847" s="26">
        <v>0.96207332490518305</v>
      </c>
      <c r="AL847" s="26">
        <v>0.95461294459067303</v>
      </c>
      <c r="AM847" s="25">
        <v>0.99</v>
      </c>
      <c r="AN847" s="30">
        <v>1</v>
      </c>
      <c r="AO847" s="30">
        <v>1</v>
      </c>
      <c r="AP847" s="30">
        <v>1</v>
      </c>
      <c r="AQ847" s="30">
        <v>1</v>
      </c>
      <c r="AR847" s="50">
        <v>8.1059522893420499E-2</v>
      </c>
      <c r="AS847" s="34">
        <v>0.04</v>
      </c>
      <c r="AT847" s="34">
        <v>2.9411764705882401E-2</v>
      </c>
      <c r="AU847" s="34">
        <v>6.8965517241379296E-2</v>
      </c>
      <c r="AV847" s="34">
        <v>3.7162162162162199E-2</v>
      </c>
      <c r="AW847" s="10"/>
      <c r="AX847" s="8"/>
    </row>
    <row r="848" spans="1:50">
      <c r="A848" s="7"/>
      <c r="B848" s="10"/>
      <c r="C848" s="45" t="s">
        <v>688</v>
      </c>
      <c r="D848" s="23" t="s">
        <v>21</v>
      </c>
      <c r="E848" s="68" t="s">
        <v>893</v>
      </c>
      <c r="F848" s="68" t="s">
        <v>893</v>
      </c>
      <c r="G848" s="68" t="s">
        <v>893</v>
      </c>
      <c r="H848" s="68" t="s">
        <v>893</v>
      </c>
      <c r="I848" s="25">
        <v>0.9</v>
      </c>
      <c r="J848" s="26">
        <v>0.97058823529411797</v>
      </c>
      <c r="K848" s="26">
        <v>0.97058823529411797</v>
      </c>
      <c r="L848" s="27">
        <v>0.86666666666666703</v>
      </c>
      <c r="M848" s="26">
        <v>0.92146596858638696</v>
      </c>
      <c r="N848" s="28">
        <v>0.9</v>
      </c>
      <c r="O848" s="26">
        <v>0.97059671375036005</v>
      </c>
      <c r="P848" s="26">
        <v>0.96910179640718597</v>
      </c>
      <c r="Q848" s="26">
        <v>0.95285524568393098</v>
      </c>
      <c r="R848" s="26">
        <v>0.96888127349104602</v>
      </c>
      <c r="S848" s="28">
        <v>0.9</v>
      </c>
      <c r="T848" s="26">
        <v>0.94234649754972599</v>
      </c>
      <c r="U848" s="26">
        <v>0.92215568862275499</v>
      </c>
      <c r="V848" s="26">
        <v>0.92695883134130097</v>
      </c>
      <c r="W848" s="26">
        <v>0.93709927039575502</v>
      </c>
      <c r="X848" s="28">
        <v>0.92</v>
      </c>
      <c r="Y848" s="28">
        <v>0.97826086956521696</v>
      </c>
      <c r="Z848" s="28">
        <v>0.97985901309164103</v>
      </c>
      <c r="AA848" s="28">
        <v>0.97655334114888603</v>
      </c>
      <c r="AB848" s="28">
        <v>0.97609744886233096</v>
      </c>
      <c r="AC848" s="28">
        <v>0.92</v>
      </c>
      <c r="AD848" s="26">
        <v>0.995143011332974</v>
      </c>
      <c r="AE848" s="26">
        <v>0.99952584163110503</v>
      </c>
      <c r="AF848" s="26">
        <v>0.99871904355251895</v>
      </c>
      <c r="AG848" s="26">
        <v>0.99823647967752804</v>
      </c>
      <c r="AH848" s="28">
        <v>0.92</v>
      </c>
      <c r="AI848" s="26">
        <v>0.97953904045155205</v>
      </c>
      <c r="AJ848" s="26">
        <v>0.98258513931888503</v>
      </c>
      <c r="AK848" s="26">
        <v>0.98007630351844</v>
      </c>
      <c r="AL848" s="26">
        <v>0.98266797362323999</v>
      </c>
      <c r="AM848" s="25">
        <v>0.99</v>
      </c>
      <c r="AN848" s="30">
        <v>1</v>
      </c>
      <c r="AO848" s="30">
        <v>1</v>
      </c>
      <c r="AP848" s="30">
        <v>1</v>
      </c>
      <c r="AQ848" s="30">
        <v>1</v>
      </c>
      <c r="AR848" s="50">
        <v>8.1059522893420499E-2</v>
      </c>
      <c r="AS848" s="34">
        <v>8.3333333333333301E-2</v>
      </c>
      <c r="AT848" s="34">
        <v>7.69230769230769E-2</v>
      </c>
      <c r="AU848" s="34">
        <v>0</v>
      </c>
      <c r="AV848" s="34">
        <v>5.8823529411764698E-2</v>
      </c>
      <c r="AW848" s="10"/>
      <c r="AX848" s="8"/>
    </row>
    <row r="849" spans="1:50">
      <c r="A849" s="7"/>
      <c r="B849" s="10"/>
      <c r="C849" s="45" t="s">
        <v>688</v>
      </c>
      <c r="D849" s="23" t="s">
        <v>21</v>
      </c>
      <c r="E849" s="68" t="s">
        <v>894</v>
      </c>
      <c r="F849" s="68" t="s">
        <v>894</v>
      </c>
      <c r="G849" s="68" t="s">
        <v>894</v>
      </c>
      <c r="H849" s="68" t="s">
        <v>894</v>
      </c>
      <c r="I849" s="25">
        <v>0.9</v>
      </c>
      <c r="J849" s="26">
        <v>0.77272727272727304</v>
      </c>
      <c r="K849" s="26">
        <v>0.73913043478260898</v>
      </c>
      <c r="L849" s="27">
        <v>0.71428571428571397</v>
      </c>
      <c r="M849" s="26">
        <v>0.76153846153846105</v>
      </c>
      <c r="N849" s="28">
        <v>0.9</v>
      </c>
      <c r="O849" s="26">
        <v>0.95171026156941696</v>
      </c>
      <c r="P849" s="26">
        <v>0.92034261241969995</v>
      </c>
      <c r="Q849" s="26">
        <v>0.963007159904535</v>
      </c>
      <c r="R849" s="26">
        <v>0.95317073170731703</v>
      </c>
      <c r="S849" s="28">
        <v>0.9</v>
      </c>
      <c r="T849" s="26">
        <v>0.88380281690140805</v>
      </c>
      <c r="U849" s="26">
        <v>0.90492505353319097</v>
      </c>
      <c r="V849" s="26">
        <v>0.87947494033412899</v>
      </c>
      <c r="W849" s="26">
        <v>0.90253658536585402</v>
      </c>
      <c r="X849" s="28">
        <v>0.92</v>
      </c>
      <c r="Y849" s="28">
        <v>0.91474654377880205</v>
      </c>
      <c r="Z849" s="28">
        <v>0.93367346938775497</v>
      </c>
      <c r="AA849" s="28">
        <v>0.95343680709534395</v>
      </c>
      <c r="AB849" s="28">
        <v>0.92417260159195602</v>
      </c>
      <c r="AC849" s="28">
        <v>0.92</v>
      </c>
      <c r="AD849" s="26">
        <v>0.99368421052631595</v>
      </c>
      <c r="AE849" s="26">
        <v>0.948780487804878</v>
      </c>
      <c r="AF849" s="26">
        <v>0.98218262806236101</v>
      </c>
      <c r="AG849" s="26">
        <v>0.97680412371133996</v>
      </c>
      <c r="AH849" s="28">
        <v>0.92</v>
      </c>
      <c r="AI849" s="26">
        <v>0.95788604459124704</v>
      </c>
      <c r="AJ849" s="26">
        <v>0.96682626538987704</v>
      </c>
      <c r="AK849" s="26">
        <v>0.963537626066718</v>
      </c>
      <c r="AL849" s="26">
        <v>0.96107902855786698</v>
      </c>
      <c r="AM849" s="25">
        <v>0.99</v>
      </c>
      <c r="AN849" s="30">
        <v>1</v>
      </c>
      <c r="AO849" s="30">
        <v>1</v>
      </c>
      <c r="AP849" s="30">
        <v>1</v>
      </c>
      <c r="AQ849" s="30">
        <v>1</v>
      </c>
      <c r="AR849" s="50">
        <v>8.1059522893420499E-2</v>
      </c>
      <c r="AS849" s="34">
        <v>0</v>
      </c>
      <c r="AT849" s="34">
        <v>0</v>
      </c>
      <c r="AU849" s="34">
        <v>0</v>
      </c>
      <c r="AV849" s="34">
        <v>1.6949152542372899E-2</v>
      </c>
      <c r="AW849" s="10"/>
      <c r="AX849" s="8"/>
    </row>
    <row r="850" spans="1:50">
      <c r="A850" s="7"/>
      <c r="B850" s="10"/>
      <c r="C850" s="45" t="s">
        <v>688</v>
      </c>
      <c r="D850" s="23" t="s">
        <v>21</v>
      </c>
      <c r="E850" s="68" t="s">
        <v>895</v>
      </c>
      <c r="F850" s="68" t="s">
        <v>895</v>
      </c>
      <c r="G850" s="68" t="s">
        <v>895</v>
      </c>
      <c r="H850" s="68" t="s">
        <v>895</v>
      </c>
      <c r="I850" s="25">
        <v>0.9</v>
      </c>
      <c r="J850" s="26">
        <v>1</v>
      </c>
      <c r="K850" s="26">
        <v>1</v>
      </c>
      <c r="L850" s="27">
        <v>1</v>
      </c>
      <c r="M850" s="26">
        <v>0.97790055248618801</v>
      </c>
      <c r="N850" s="28">
        <v>0.9</v>
      </c>
      <c r="O850" s="26">
        <v>0.95236602945784998</v>
      </c>
      <c r="P850" s="26">
        <v>0.96292610102015397</v>
      </c>
      <c r="Q850" s="26">
        <v>0.95302491103202802</v>
      </c>
      <c r="R850" s="26">
        <v>0.96375769429902802</v>
      </c>
      <c r="S850" s="28">
        <v>0.9</v>
      </c>
      <c r="T850" s="26">
        <v>0.92729551864619197</v>
      </c>
      <c r="U850" s="26">
        <v>0.903458571784026</v>
      </c>
      <c r="V850" s="26">
        <v>0.91245551601423502</v>
      </c>
      <c r="W850" s="26">
        <v>0.92671000402692305</v>
      </c>
      <c r="X850" s="28">
        <v>0.92</v>
      </c>
      <c r="Y850" s="28">
        <v>0.93333333333333302</v>
      </c>
      <c r="Z850" s="28">
        <v>0.92790937178166799</v>
      </c>
      <c r="AA850" s="28">
        <v>0.89052069425901204</v>
      </c>
      <c r="AB850" s="28">
        <v>0.92515337423312904</v>
      </c>
      <c r="AC850" s="28">
        <v>0.92</v>
      </c>
      <c r="AD850" s="26">
        <v>0.99504950495049505</v>
      </c>
      <c r="AE850" s="26">
        <v>0.99772554965883198</v>
      </c>
      <c r="AF850" s="26">
        <v>0.98980335032774902</v>
      </c>
      <c r="AG850" s="26">
        <v>0.99402286902286896</v>
      </c>
      <c r="AH850" s="28">
        <v>0.92</v>
      </c>
      <c r="AI850" s="26">
        <v>0.96625535129690299</v>
      </c>
      <c r="AJ850" s="26">
        <v>0.97074148296593199</v>
      </c>
      <c r="AK850" s="26">
        <v>0.92525533890436396</v>
      </c>
      <c r="AL850" s="26">
        <v>0.96700838769804298</v>
      </c>
      <c r="AM850" s="25">
        <v>0.99</v>
      </c>
      <c r="AN850" s="30">
        <v>1</v>
      </c>
      <c r="AO850" s="30">
        <v>1</v>
      </c>
      <c r="AP850" s="30">
        <v>1</v>
      </c>
      <c r="AQ850" s="30">
        <v>1</v>
      </c>
      <c r="AR850" s="50">
        <v>8.1059522893420499E-2</v>
      </c>
      <c r="AS850" s="34">
        <v>0</v>
      </c>
      <c r="AT850" s="34">
        <v>0.28571428571428598</v>
      </c>
      <c r="AU850" s="34">
        <v>0</v>
      </c>
      <c r="AV850" s="34">
        <v>7.8125E-2</v>
      </c>
      <c r="AW850" s="10"/>
      <c r="AX850" s="8"/>
    </row>
    <row r="851" spans="1:50">
      <c r="A851" s="7"/>
      <c r="B851" s="10"/>
      <c r="C851" s="45" t="s">
        <v>688</v>
      </c>
      <c r="D851" s="23" t="s">
        <v>21</v>
      </c>
      <c r="E851" s="68" t="s">
        <v>896</v>
      </c>
      <c r="F851" s="68" t="s">
        <v>896</v>
      </c>
      <c r="G851" s="68" t="s">
        <v>896</v>
      </c>
      <c r="H851" s="68" t="s">
        <v>896</v>
      </c>
      <c r="I851" s="25">
        <v>0.9</v>
      </c>
      <c r="J851" s="26">
        <v>0.65853658536585402</v>
      </c>
      <c r="K851" s="26">
        <v>0.66666666666666696</v>
      </c>
      <c r="L851" s="27">
        <v>0.61538461538461497</v>
      </c>
      <c r="M851" s="26">
        <v>0.662337662337662</v>
      </c>
      <c r="N851" s="28">
        <v>0.9</v>
      </c>
      <c r="O851" s="26">
        <v>0.76555148980658605</v>
      </c>
      <c r="P851" s="26">
        <v>0.79680851063829805</v>
      </c>
      <c r="Q851" s="26">
        <v>0.824290998766954</v>
      </c>
      <c r="R851" s="26">
        <v>0.75768782613101004</v>
      </c>
      <c r="S851" s="28">
        <v>0.9</v>
      </c>
      <c r="T851" s="26">
        <v>0.47281756403554598</v>
      </c>
      <c r="U851" s="26">
        <v>0.45446808510638298</v>
      </c>
      <c r="V851" s="26">
        <v>0.57768187422934603</v>
      </c>
      <c r="W851" s="26">
        <v>0.471047165509904</v>
      </c>
      <c r="X851" s="28">
        <v>0.92</v>
      </c>
      <c r="Y851" s="28">
        <v>0.57928388746803094</v>
      </c>
      <c r="Z851" s="28">
        <v>0.69938650306748495</v>
      </c>
      <c r="AA851" s="28">
        <v>0.54801536491677305</v>
      </c>
      <c r="AB851" s="28">
        <v>0.48096502877379399</v>
      </c>
      <c r="AC851" s="28">
        <v>0.92</v>
      </c>
      <c r="AD851" s="26">
        <v>0.99096774193548398</v>
      </c>
      <c r="AE851" s="26">
        <v>0.96277915632754296</v>
      </c>
      <c r="AF851" s="26">
        <v>0.95544554455445496</v>
      </c>
      <c r="AG851" s="26">
        <v>0.972444444444444</v>
      </c>
      <c r="AH851" s="28">
        <v>0.92</v>
      </c>
      <c r="AI851" s="26">
        <v>0.79796006944444398</v>
      </c>
      <c r="AJ851" s="26">
        <v>0.83772680588839399</v>
      </c>
      <c r="AK851" s="26">
        <v>0.74698293799417403</v>
      </c>
      <c r="AL851" s="26">
        <v>0.75933712589661095</v>
      </c>
      <c r="AM851" s="25">
        <v>0.99</v>
      </c>
      <c r="AN851" s="30">
        <v>1</v>
      </c>
      <c r="AO851" s="30">
        <v>1</v>
      </c>
      <c r="AP851" s="30">
        <v>1</v>
      </c>
      <c r="AQ851" s="30">
        <v>1</v>
      </c>
      <c r="AR851" s="50">
        <v>8.1059522893420499E-2</v>
      </c>
      <c r="AS851" s="34">
        <v>0</v>
      </c>
      <c r="AT851" s="34">
        <v>-3.2258064516128997E-2</v>
      </c>
      <c r="AU851" s="34">
        <v>0.114285714285714</v>
      </c>
      <c r="AV851" s="34">
        <v>4.2944785276073601E-2</v>
      </c>
      <c r="AW851" s="10"/>
      <c r="AX851" s="8"/>
    </row>
    <row r="852" spans="1:50">
      <c r="A852" s="7"/>
      <c r="B852" s="10"/>
      <c r="C852" s="45" t="s">
        <v>688</v>
      </c>
      <c r="D852" s="23" t="s">
        <v>21</v>
      </c>
      <c r="E852" s="68" t="s">
        <v>897</v>
      </c>
      <c r="F852" s="68" t="s">
        <v>897</v>
      </c>
      <c r="G852" s="68" t="s">
        <v>897</v>
      </c>
      <c r="H852" s="68" t="s">
        <v>897</v>
      </c>
      <c r="I852" s="25">
        <v>0.9</v>
      </c>
      <c r="J852" s="26">
        <v>0</v>
      </c>
      <c r="K852" s="26">
        <v>0</v>
      </c>
      <c r="L852" s="27">
        <v>0</v>
      </c>
      <c r="M852" s="26">
        <v>0</v>
      </c>
      <c r="N852" s="28">
        <v>0.9</v>
      </c>
      <c r="O852" s="26">
        <v>0</v>
      </c>
      <c r="P852" s="26">
        <v>0.125</v>
      </c>
      <c r="Q852" s="26">
        <v>0</v>
      </c>
      <c r="R852" s="26">
        <v>9.2592592592592605E-3</v>
      </c>
      <c r="S852" s="28">
        <v>0.9</v>
      </c>
      <c r="T852" s="26">
        <v>1</v>
      </c>
      <c r="U852" s="26">
        <v>1</v>
      </c>
      <c r="V852" s="26">
        <v>1</v>
      </c>
      <c r="W852" s="26">
        <v>0.69444444444444398</v>
      </c>
      <c r="X852" s="28">
        <v>0.92</v>
      </c>
      <c r="Y852" s="28">
        <v>1</v>
      </c>
      <c r="Z852" s="28">
        <v>1</v>
      </c>
      <c r="AA852" s="28">
        <v>1</v>
      </c>
      <c r="AB852" s="28">
        <v>1</v>
      </c>
      <c r="AC852" s="28">
        <v>0.92</v>
      </c>
      <c r="AD852" s="26">
        <v>0</v>
      </c>
      <c r="AE852" s="26">
        <v>0</v>
      </c>
      <c r="AF852" s="26">
        <v>0</v>
      </c>
      <c r="AG852" s="26">
        <v>0.66666666666666696</v>
      </c>
      <c r="AH852" s="28">
        <v>0.92</v>
      </c>
      <c r="AI852" s="26">
        <v>1</v>
      </c>
      <c r="AJ852" s="26">
        <v>1</v>
      </c>
      <c r="AK852" s="26">
        <v>1</v>
      </c>
      <c r="AL852" s="26">
        <v>1</v>
      </c>
      <c r="AM852" s="25">
        <v>0.99</v>
      </c>
      <c r="AN852" s="30">
        <v>0</v>
      </c>
      <c r="AO852" s="30">
        <v>0</v>
      </c>
      <c r="AP852" s="30">
        <v>0</v>
      </c>
      <c r="AQ852" s="30">
        <v>1</v>
      </c>
      <c r="AR852" s="50">
        <v>8.1059522893420499E-2</v>
      </c>
      <c r="AS852" s="34">
        <v>0</v>
      </c>
      <c r="AT852" s="34">
        <v>0</v>
      </c>
      <c r="AU852" s="34">
        <v>0</v>
      </c>
      <c r="AV852" s="34">
        <v>0</v>
      </c>
      <c r="AW852" s="10"/>
      <c r="AX852" s="8"/>
    </row>
    <row r="853" spans="1:50">
      <c r="A853" s="7"/>
      <c r="B853" s="10"/>
      <c r="C853" s="45" t="s">
        <v>688</v>
      </c>
      <c r="D853" s="23" t="s">
        <v>21</v>
      </c>
      <c r="E853" s="68" t="s">
        <v>898</v>
      </c>
      <c r="F853" s="68" t="s">
        <v>898</v>
      </c>
      <c r="G853" s="68" t="s">
        <v>898</v>
      </c>
      <c r="H853" s="68" t="s">
        <v>898</v>
      </c>
      <c r="I853" s="25">
        <v>0.9</v>
      </c>
      <c r="J853" s="26">
        <v>0.89583333333333304</v>
      </c>
      <c r="K853" s="26">
        <v>0.875</v>
      </c>
      <c r="L853" s="27">
        <v>0.88888888888888895</v>
      </c>
      <c r="M853" s="26">
        <v>0.90780141843971596</v>
      </c>
      <c r="N853" s="28">
        <v>0.9</v>
      </c>
      <c r="O853" s="26">
        <v>0.94710327455919396</v>
      </c>
      <c r="P853" s="26">
        <v>0.96516433772879395</v>
      </c>
      <c r="Q853" s="26">
        <v>0.96891811117752502</v>
      </c>
      <c r="R853" s="26">
        <v>0.95659284179048698</v>
      </c>
      <c r="S853" s="28">
        <v>0.9</v>
      </c>
      <c r="T853" s="26">
        <v>0.89420654911838804</v>
      </c>
      <c r="U853" s="26">
        <v>0.91694548317260405</v>
      </c>
      <c r="V853" s="26">
        <v>0.91930663478780605</v>
      </c>
      <c r="W853" s="26">
        <v>0.91365292963274503</v>
      </c>
      <c r="X853" s="28">
        <v>0.92</v>
      </c>
      <c r="Y853" s="28">
        <v>0.90822179732313602</v>
      </c>
      <c r="Z853" s="28">
        <v>0.92580645161290298</v>
      </c>
      <c r="AA853" s="28">
        <v>0.94001578531965302</v>
      </c>
      <c r="AB853" s="28">
        <v>0.91215176892838801</v>
      </c>
      <c r="AC853" s="28">
        <v>0.92</v>
      </c>
      <c r="AD853" s="26">
        <v>1</v>
      </c>
      <c r="AE853" s="26">
        <v>0.98522167487684698</v>
      </c>
      <c r="AF853" s="26">
        <v>0.9618138424821</v>
      </c>
      <c r="AG853" s="26">
        <v>0.98219584569732898</v>
      </c>
      <c r="AH853" s="28">
        <v>0.92</v>
      </c>
      <c r="AI853" s="26">
        <v>0.95085904304452196</v>
      </c>
      <c r="AJ853" s="26">
        <v>0.96519538047777298</v>
      </c>
      <c r="AK853" s="26">
        <v>0.95785180149558102</v>
      </c>
      <c r="AL853" s="26">
        <v>0.95611814345991597</v>
      </c>
      <c r="AM853" s="25">
        <v>0.99</v>
      </c>
      <c r="AN853" s="30">
        <v>1</v>
      </c>
      <c r="AO853" s="30">
        <v>1</v>
      </c>
      <c r="AP853" s="30">
        <v>1</v>
      </c>
      <c r="AQ853" s="30">
        <v>1</v>
      </c>
      <c r="AR853" s="50">
        <v>8.1059522893420499E-2</v>
      </c>
      <c r="AS853" s="34">
        <v>0</v>
      </c>
      <c r="AT853" s="34">
        <v>9.6774193548387094E-2</v>
      </c>
      <c r="AU853" s="34">
        <v>6.4516129032258104E-2</v>
      </c>
      <c r="AV853" s="34">
        <v>5.7291666666666699E-2</v>
      </c>
      <c r="AW853" s="10"/>
      <c r="AX853" s="8"/>
    </row>
    <row r="854" spans="1:50">
      <c r="A854" s="7"/>
      <c r="B854" s="10"/>
      <c r="C854" s="45" t="s">
        <v>688</v>
      </c>
      <c r="D854" s="23" t="s">
        <v>21</v>
      </c>
      <c r="E854" s="68" t="s">
        <v>899</v>
      </c>
      <c r="F854" s="68" t="s">
        <v>899</v>
      </c>
      <c r="G854" s="68" t="s">
        <v>899</v>
      </c>
      <c r="H854" s="68" t="s">
        <v>899</v>
      </c>
      <c r="I854" s="25">
        <v>0.9</v>
      </c>
      <c r="J854" s="26">
        <v>0.94285714285714295</v>
      </c>
      <c r="K854" s="26">
        <v>0.94285714285714295</v>
      </c>
      <c r="L854" s="27">
        <v>0.93548387096774199</v>
      </c>
      <c r="M854" s="26">
        <v>0.95454545454545503</v>
      </c>
      <c r="N854" s="28">
        <v>0.9</v>
      </c>
      <c r="O854" s="26">
        <v>0.94543470352855596</v>
      </c>
      <c r="P854" s="26">
        <v>0.96966939642098904</v>
      </c>
      <c r="Q854" s="26">
        <v>0.9812734082397</v>
      </c>
      <c r="R854" s="26">
        <v>0.96105545364752398</v>
      </c>
      <c r="S854" s="28">
        <v>0.9</v>
      </c>
      <c r="T854" s="26">
        <v>0.89159694434339798</v>
      </c>
      <c r="U854" s="26">
        <v>0.911434637549287</v>
      </c>
      <c r="V854" s="26">
        <v>0.94662921348314599</v>
      </c>
      <c r="W854" s="26">
        <v>0.91258642585014804</v>
      </c>
      <c r="X854" s="28">
        <v>0.92</v>
      </c>
      <c r="Y854" s="28">
        <v>0.89436619718309895</v>
      </c>
      <c r="Z854" s="28">
        <v>0.89832689832689805</v>
      </c>
      <c r="AA854" s="28">
        <v>0.90228013029316001</v>
      </c>
      <c r="AB854" s="28">
        <v>0.90622154779969699</v>
      </c>
      <c r="AC854" s="28">
        <v>0.92</v>
      </c>
      <c r="AD854" s="26">
        <v>1</v>
      </c>
      <c r="AE854" s="26">
        <v>0.99186991869918695</v>
      </c>
      <c r="AF854" s="26">
        <v>1</v>
      </c>
      <c r="AG854" s="26">
        <v>0.996458087367178</v>
      </c>
      <c r="AH854" s="28">
        <v>0.92</v>
      </c>
      <c r="AI854" s="26">
        <v>0.94271932469098596</v>
      </c>
      <c r="AJ854" s="26">
        <v>0.96318114874815897</v>
      </c>
      <c r="AK854" s="26">
        <v>0.95065398335315099</v>
      </c>
      <c r="AL854" s="26">
        <v>0.95964279580972001</v>
      </c>
      <c r="AM854" s="25">
        <v>0.99</v>
      </c>
      <c r="AN854" s="30">
        <v>1</v>
      </c>
      <c r="AO854" s="30">
        <v>1</v>
      </c>
      <c r="AP854" s="30">
        <v>1</v>
      </c>
      <c r="AQ854" s="30">
        <v>1</v>
      </c>
      <c r="AR854" s="50">
        <v>8.1059522893420499E-2</v>
      </c>
      <c r="AS854" s="34">
        <v>0.1</v>
      </c>
      <c r="AT854" s="34">
        <v>0.230769230769231</v>
      </c>
      <c r="AU854" s="34">
        <v>0.1</v>
      </c>
      <c r="AV854" s="34">
        <v>9.0909090909090898E-2</v>
      </c>
      <c r="AW854" s="10"/>
      <c r="AX854" s="8"/>
    </row>
    <row r="855" spans="1:50">
      <c r="A855" s="7"/>
      <c r="B855" s="10"/>
      <c r="C855" s="45" t="s">
        <v>688</v>
      </c>
      <c r="D855" s="23" t="s">
        <v>21</v>
      </c>
      <c r="E855" s="68" t="s">
        <v>900</v>
      </c>
      <c r="F855" s="68" t="s">
        <v>900</v>
      </c>
      <c r="G855" s="68" t="s">
        <v>900</v>
      </c>
      <c r="H855" s="68" t="s">
        <v>900</v>
      </c>
      <c r="I855" s="25">
        <v>0.9</v>
      </c>
      <c r="J855" s="26">
        <v>0.92857142857142905</v>
      </c>
      <c r="K855" s="26">
        <v>0.89285714285714302</v>
      </c>
      <c r="L855" s="27">
        <v>0.96296296296296302</v>
      </c>
      <c r="M855" s="26">
        <v>0.92215568862275499</v>
      </c>
      <c r="N855" s="28">
        <v>0.9</v>
      </c>
      <c r="O855" s="26">
        <v>0.97436849925705804</v>
      </c>
      <c r="P855" s="26">
        <v>0.972886297376093</v>
      </c>
      <c r="Q855" s="26">
        <v>0.92922564529558704</v>
      </c>
      <c r="R855" s="26">
        <v>0.97102727642828102</v>
      </c>
      <c r="S855" s="28">
        <v>0.9</v>
      </c>
      <c r="T855" s="26">
        <v>0.92161961367013401</v>
      </c>
      <c r="U855" s="26">
        <v>0.92682215743440199</v>
      </c>
      <c r="V855" s="26">
        <v>0.92589508742714399</v>
      </c>
      <c r="W855" s="26">
        <v>0.928484190527887</v>
      </c>
      <c r="X855" s="28">
        <v>0.92</v>
      </c>
      <c r="Y855" s="28">
        <v>0.92307692307692302</v>
      </c>
      <c r="Z855" s="28">
        <v>0.91061452513966501</v>
      </c>
      <c r="AA855" s="28">
        <v>0.94522691705790296</v>
      </c>
      <c r="AB855" s="28">
        <v>0.92069690597777099</v>
      </c>
      <c r="AC855" s="28">
        <v>0.92</v>
      </c>
      <c r="AD855" s="26">
        <v>1</v>
      </c>
      <c r="AE855" s="26">
        <v>0.99390862944162395</v>
      </c>
      <c r="AF855" s="26">
        <v>0.99216454456415304</v>
      </c>
      <c r="AG855" s="26">
        <v>0.99528301886792403</v>
      </c>
      <c r="AH855" s="28">
        <v>0.92</v>
      </c>
      <c r="AI855" s="26">
        <v>0.95683890577507602</v>
      </c>
      <c r="AJ855" s="26">
        <v>0.95513748191027503</v>
      </c>
      <c r="AK855" s="26">
        <v>0.95489130434782599</v>
      </c>
      <c r="AL855" s="26">
        <v>0.95765760779321396</v>
      </c>
      <c r="AM855" s="25">
        <v>0.99</v>
      </c>
      <c r="AN855" s="30">
        <v>1</v>
      </c>
      <c r="AO855" s="30">
        <v>1</v>
      </c>
      <c r="AP855" s="30">
        <v>1</v>
      </c>
      <c r="AQ855" s="30">
        <v>1</v>
      </c>
      <c r="AR855" s="50">
        <v>8.1059522893420499E-2</v>
      </c>
      <c r="AS855" s="34">
        <v>0</v>
      </c>
      <c r="AT855" s="34">
        <v>0</v>
      </c>
      <c r="AU855" s="34">
        <v>0</v>
      </c>
      <c r="AV855" s="34">
        <v>0</v>
      </c>
      <c r="AW855" s="10"/>
      <c r="AX855" s="8"/>
    </row>
    <row r="856" spans="1:50">
      <c r="A856" s="7"/>
      <c r="B856" s="10"/>
      <c r="C856" s="45" t="s">
        <v>688</v>
      </c>
      <c r="D856" s="23" t="s">
        <v>21</v>
      </c>
      <c r="E856" s="68" t="s">
        <v>901</v>
      </c>
      <c r="F856" s="68" t="s">
        <v>901</v>
      </c>
      <c r="G856" s="68" t="s">
        <v>901</v>
      </c>
      <c r="H856" s="68" t="s">
        <v>901</v>
      </c>
      <c r="I856" s="25">
        <v>0.9</v>
      </c>
      <c r="J856" s="26">
        <v>0.921875</v>
      </c>
      <c r="K856" s="26">
        <v>0.95081967213114704</v>
      </c>
      <c r="L856" s="27">
        <v>0.98</v>
      </c>
      <c r="M856" s="26">
        <v>0.94366197183098599</v>
      </c>
      <c r="N856" s="28">
        <v>0.9</v>
      </c>
      <c r="O856" s="26">
        <v>0.90927906174542905</v>
      </c>
      <c r="P856" s="26">
        <v>0.73167461263408795</v>
      </c>
      <c r="Q856" s="26">
        <v>0.93857493857493901</v>
      </c>
      <c r="R856" s="26">
        <v>0.88036484479954702</v>
      </c>
      <c r="S856" s="28">
        <v>0.9</v>
      </c>
      <c r="T856" s="26">
        <v>0.90444981027940696</v>
      </c>
      <c r="U856" s="26">
        <v>0.89898688915375402</v>
      </c>
      <c r="V856" s="26">
        <v>0.90122850122850096</v>
      </c>
      <c r="W856" s="26">
        <v>0.90592519267482097</v>
      </c>
      <c r="X856" s="28">
        <v>0.92</v>
      </c>
      <c r="Y856" s="28">
        <v>0.870253164556962</v>
      </c>
      <c r="Z856" s="28">
        <v>0.88638195004028997</v>
      </c>
      <c r="AA856" s="28">
        <v>0.84892086330935301</v>
      </c>
      <c r="AB856" s="28">
        <v>0.87707517254243605</v>
      </c>
      <c r="AC856" s="28">
        <v>0.92</v>
      </c>
      <c r="AD856" s="26">
        <v>0.99879855826992403</v>
      </c>
      <c r="AE856" s="26">
        <v>0.97376037044182895</v>
      </c>
      <c r="AF856" s="26">
        <v>0.99092313634607998</v>
      </c>
      <c r="AG856" s="26">
        <v>0.98150691494458497</v>
      </c>
      <c r="AH856" s="28">
        <v>0.92</v>
      </c>
      <c r="AI856" s="26">
        <v>0.94129854728728102</v>
      </c>
      <c r="AJ856" s="26">
        <v>0.950716620568268</v>
      </c>
      <c r="AK856" s="26">
        <v>0.91251307075636101</v>
      </c>
      <c r="AL856" s="26">
        <v>0.944543509272468</v>
      </c>
      <c r="AM856" s="25">
        <v>0.99</v>
      </c>
      <c r="AN856" s="30">
        <v>1</v>
      </c>
      <c r="AO856" s="30">
        <v>1</v>
      </c>
      <c r="AP856" s="30">
        <v>1</v>
      </c>
      <c r="AQ856" s="30">
        <v>1</v>
      </c>
      <c r="AR856" s="50">
        <v>8.1059522893420499E-2</v>
      </c>
      <c r="AS856" s="34">
        <v>7.69230769230769E-2</v>
      </c>
      <c r="AT856" s="34">
        <v>0</v>
      </c>
      <c r="AU856" s="34">
        <v>0.15384615384615399</v>
      </c>
      <c r="AV856" s="34">
        <v>5.5118110236220499E-2</v>
      </c>
      <c r="AW856" s="10"/>
      <c r="AX856" s="8"/>
    </row>
    <row r="857" spans="1:50">
      <c r="A857" s="7"/>
      <c r="B857" s="10"/>
      <c r="C857" s="45" t="s">
        <v>688</v>
      </c>
      <c r="D857" s="23" t="s">
        <v>21</v>
      </c>
      <c r="E857" s="68" t="s">
        <v>902</v>
      </c>
      <c r="F857" s="68" t="s">
        <v>902</v>
      </c>
      <c r="G857" s="68" t="s">
        <v>902</v>
      </c>
      <c r="H857" s="68" t="s">
        <v>902</v>
      </c>
      <c r="I857" s="25">
        <v>0.9</v>
      </c>
      <c r="J857" s="26">
        <v>0.94285714285714295</v>
      </c>
      <c r="K857" s="26">
        <v>0.97142857142857097</v>
      </c>
      <c r="L857" s="27">
        <v>0.81481481481481499</v>
      </c>
      <c r="M857" s="26">
        <v>0.92307692307692302</v>
      </c>
      <c r="N857" s="28">
        <v>0.9</v>
      </c>
      <c r="O857" s="26">
        <v>0.945765937202664</v>
      </c>
      <c r="P857" s="26">
        <v>0.48758865248227001</v>
      </c>
      <c r="Q857" s="26">
        <v>0.97880184331797204</v>
      </c>
      <c r="R857" s="26">
        <v>0.85157341494245198</v>
      </c>
      <c r="S857" s="28">
        <v>0.9</v>
      </c>
      <c r="T857" s="26">
        <v>0.93339676498572799</v>
      </c>
      <c r="U857" s="26">
        <v>0.90661938534278996</v>
      </c>
      <c r="V857" s="26">
        <v>0.91889400921659004</v>
      </c>
      <c r="W857" s="26">
        <v>0.92362450934734897</v>
      </c>
      <c r="X857" s="28">
        <v>0.92</v>
      </c>
      <c r="Y857" s="28">
        <v>0.90570175438596501</v>
      </c>
      <c r="Z857" s="28">
        <v>0.92098445595854905</v>
      </c>
      <c r="AA857" s="28">
        <v>0.83887468030690504</v>
      </c>
      <c r="AB857" s="28">
        <v>0.87223756906077299</v>
      </c>
      <c r="AC857" s="28">
        <v>0.92</v>
      </c>
      <c r="AD857" s="26">
        <v>1</v>
      </c>
      <c r="AE857" s="26">
        <v>0.98839907192575405</v>
      </c>
      <c r="AF857" s="26">
        <v>0.99537037037037002</v>
      </c>
      <c r="AG857" s="26">
        <v>0.98860510805501001</v>
      </c>
      <c r="AH857" s="28">
        <v>0.92</v>
      </c>
      <c r="AI857" s="26">
        <v>0.96647270712108602</v>
      </c>
      <c r="AJ857" s="26">
        <v>0.96847930702598695</v>
      </c>
      <c r="AK857" s="26">
        <v>0.93970189701897</v>
      </c>
      <c r="AL857" s="26">
        <v>0.95994868076086304</v>
      </c>
      <c r="AM857" s="25">
        <v>0.99</v>
      </c>
      <c r="AN857" s="30">
        <v>1</v>
      </c>
      <c r="AO857" s="30">
        <v>1</v>
      </c>
      <c r="AP857" s="30">
        <v>1</v>
      </c>
      <c r="AQ857" s="30">
        <v>1</v>
      </c>
      <c r="AR857" s="50">
        <v>8.1059522893420499E-2</v>
      </c>
      <c r="AS857" s="34">
        <v>7.1428571428571397E-2</v>
      </c>
      <c r="AT857" s="34">
        <v>5.2631578947368397E-2</v>
      </c>
      <c r="AU857" s="34">
        <v>0</v>
      </c>
      <c r="AV857" s="34">
        <v>4.1666666666666699E-2</v>
      </c>
      <c r="AW857" s="10"/>
      <c r="AX857" s="8"/>
    </row>
    <row r="858" spans="1:50">
      <c r="A858" s="7"/>
      <c r="B858" s="10"/>
      <c r="C858" s="45" t="s">
        <v>688</v>
      </c>
      <c r="D858" s="23" t="s">
        <v>21</v>
      </c>
      <c r="E858" s="68" t="s">
        <v>903</v>
      </c>
      <c r="F858" s="68" t="s">
        <v>903</v>
      </c>
      <c r="G858" s="68" t="s">
        <v>903</v>
      </c>
      <c r="H858" s="68" t="s">
        <v>903</v>
      </c>
      <c r="I858" s="25">
        <v>0.9</v>
      </c>
      <c r="J858" s="26">
        <v>1</v>
      </c>
      <c r="K858" s="26">
        <v>0.97727272727272696</v>
      </c>
      <c r="L858" s="27">
        <v>1</v>
      </c>
      <c r="M858" s="26">
        <v>0.98770491803278704</v>
      </c>
      <c r="N858" s="28">
        <v>0.9</v>
      </c>
      <c r="O858" s="26">
        <v>0.84273890142964603</v>
      </c>
      <c r="P858" s="26">
        <v>0.83190534475724198</v>
      </c>
      <c r="Q858" s="26">
        <v>0.86420612813370501</v>
      </c>
      <c r="R858" s="26">
        <v>0.82591998444411996</v>
      </c>
      <c r="S858" s="28">
        <v>0.9</v>
      </c>
      <c r="T858" s="26">
        <v>0.58816152495610696</v>
      </c>
      <c r="U858" s="26">
        <v>0.54957160342717304</v>
      </c>
      <c r="V858" s="26">
        <v>0.69777158774373305</v>
      </c>
      <c r="W858" s="26">
        <v>0.60162364493704701</v>
      </c>
      <c r="X858" s="28">
        <v>0.92</v>
      </c>
      <c r="Y858" s="28">
        <v>0.70761245674740503</v>
      </c>
      <c r="Z858" s="28">
        <v>0.60361445783132495</v>
      </c>
      <c r="AA858" s="28">
        <v>0.6</v>
      </c>
      <c r="AB858" s="28">
        <v>0.63424657534246598</v>
      </c>
      <c r="AC858" s="28">
        <v>0.92</v>
      </c>
      <c r="AD858" s="26">
        <v>1</v>
      </c>
      <c r="AE858" s="26">
        <v>0.99615088529638196</v>
      </c>
      <c r="AF858" s="26">
        <v>0.99745977984758705</v>
      </c>
      <c r="AG858" s="26">
        <v>0.99575990459785302</v>
      </c>
      <c r="AH858" s="28">
        <v>0.92</v>
      </c>
      <c r="AI858" s="26">
        <v>0.92267250821467695</v>
      </c>
      <c r="AJ858" s="26">
        <v>0.88939288206559697</v>
      </c>
      <c r="AK858" s="26">
        <v>0.81655034895314105</v>
      </c>
      <c r="AL858" s="26">
        <v>0.89275541795665603</v>
      </c>
      <c r="AM858" s="25">
        <v>0.99</v>
      </c>
      <c r="AN858" s="30">
        <v>1</v>
      </c>
      <c r="AO858" s="30">
        <v>1</v>
      </c>
      <c r="AP858" s="30">
        <v>0</v>
      </c>
      <c r="AQ858" s="30">
        <v>1</v>
      </c>
      <c r="AR858" s="50">
        <v>8.1059522893420499E-2</v>
      </c>
      <c r="AS858" s="34">
        <v>0.18181818181818199</v>
      </c>
      <c r="AT858" s="34">
        <v>0.1</v>
      </c>
      <c r="AU858" s="34">
        <v>0</v>
      </c>
      <c r="AV858" s="34">
        <v>0.10126582278481</v>
      </c>
      <c r="AW858" s="10"/>
      <c r="AX858" s="8"/>
    </row>
    <row r="859" spans="1:50">
      <c r="A859" s="7"/>
      <c r="B859" s="10"/>
      <c r="C859" s="45" t="s">
        <v>688</v>
      </c>
      <c r="D859" s="23" t="s">
        <v>21</v>
      </c>
      <c r="E859" s="68" t="s">
        <v>904</v>
      </c>
      <c r="F859" s="68" t="s">
        <v>904</v>
      </c>
      <c r="G859" s="68" t="s">
        <v>904</v>
      </c>
      <c r="H859" s="68" t="s">
        <v>904</v>
      </c>
      <c r="I859" s="25">
        <v>0.9</v>
      </c>
      <c r="J859" s="26">
        <v>0.97777777777777797</v>
      </c>
      <c r="K859" s="26">
        <v>0.97826086956521696</v>
      </c>
      <c r="L859" s="27">
        <v>1</v>
      </c>
      <c r="M859" s="26">
        <v>0.98755186721991695</v>
      </c>
      <c r="N859" s="28">
        <v>0.9</v>
      </c>
      <c r="O859" s="26">
        <v>0.95846490162739895</v>
      </c>
      <c r="P859" s="26">
        <v>0.82983638113570701</v>
      </c>
      <c r="Q859" s="26">
        <v>0.97163588390501299</v>
      </c>
      <c r="R859" s="26">
        <v>0.93507967279776805</v>
      </c>
      <c r="S859" s="28">
        <v>0.9</v>
      </c>
      <c r="T859" s="26">
        <v>0.92786009230021904</v>
      </c>
      <c r="U859" s="26">
        <v>0.91357074109720904</v>
      </c>
      <c r="V859" s="26">
        <v>0.93205804749340404</v>
      </c>
      <c r="W859" s="26">
        <v>0.93096600312071498</v>
      </c>
      <c r="X859" s="28">
        <v>0.92</v>
      </c>
      <c r="Y859" s="28">
        <v>0.85496183206106902</v>
      </c>
      <c r="Z859" s="28">
        <v>0.84649122807017496</v>
      </c>
      <c r="AA859" s="28">
        <v>0.82269503546099298</v>
      </c>
      <c r="AB859" s="28">
        <v>0.82228834189883704</v>
      </c>
      <c r="AC859" s="28">
        <v>0.92</v>
      </c>
      <c r="AD859" s="26">
        <v>0.99358974358974395</v>
      </c>
      <c r="AE859" s="26">
        <v>0.99019607843137303</v>
      </c>
      <c r="AF859" s="26">
        <v>0.967741935483871</v>
      </c>
      <c r="AG859" s="26">
        <v>0.98339350180505403</v>
      </c>
      <c r="AH859" s="28">
        <v>0.92</v>
      </c>
      <c r="AI859" s="26">
        <v>0.95539754363283802</v>
      </c>
      <c r="AJ859" s="26">
        <v>0.96037334206648095</v>
      </c>
      <c r="AK859" s="26">
        <v>0.92836538461538498</v>
      </c>
      <c r="AL859" s="26">
        <v>0.95508331320937001</v>
      </c>
      <c r="AM859" s="25">
        <v>0.99</v>
      </c>
      <c r="AN859" s="30">
        <v>1</v>
      </c>
      <c r="AO859" s="30">
        <v>1</v>
      </c>
      <c r="AP859" s="30">
        <v>1</v>
      </c>
      <c r="AQ859" s="30">
        <v>1</v>
      </c>
      <c r="AR859" s="50">
        <v>8.1059522893420499E-2</v>
      </c>
      <c r="AS859" s="34">
        <v>9.0909090909090898E-2</v>
      </c>
      <c r="AT859" s="34">
        <v>0</v>
      </c>
      <c r="AU859" s="34">
        <v>0.14285714285714299</v>
      </c>
      <c r="AV859" s="34">
        <v>6.0606060606060601E-2</v>
      </c>
      <c r="AW859" s="10"/>
      <c r="AX859" s="8"/>
    </row>
    <row r="860" spans="1:50">
      <c r="A860" s="7"/>
      <c r="B860" s="10"/>
      <c r="C860" s="45" t="s">
        <v>688</v>
      </c>
      <c r="D860" s="23" t="s">
        <v>21</v>
      </c>
      <c r="E860" s="68" t="s">
        <v>905</v>
      </c>
      <c r="F860" s="68" t="s">
        <v>905</v>
      </c>
      <c r="G860" s="68" t="s">
        <v>905</v>
      </c>
      <c r="H860" s="68" t="s">
        <v>905</v>
      </c>
      <c r="I860" s="25">
        <v>0.9</v>
      </c>
      <c r="J860" s="26">
        <v>0.89361702127659604</v>
      </c>
      <c r="K860" s="26">
        <v>0.89583333333333304</v>
      </c>
      <c r="L860" s="27">
        <v>0.90697674418604601</v>
      </c>
      <c r="M860" s="26">
        <v>0.88447653429602902</v>
      </c>
      <c r="N860" s="28">
        <v>0.9</v>
      </c>
      <c r="O860" s="26">
        <v>0.87924682767089601</v>
      </c>
      <c r="P860" s="26">
        <v>0.88133519748339695</v>
      </c>
      <c r="Q860" s="26">
        <v>0.90552077404666997</v>
      </c>
      <c r="R860" s="26">
        <v>0.89532557664829604</v>
      </c>
      <c r="S860" s="28">
        <v>0.9</v>
      </c>
      <c r="T860" s="26">
        <v>0.83483422022104004</v>
      </c>
      <c r="U860" s="26">
        <v>0.84445997902831205</v>
      </c>
      <c r="V860" s="26">
        <v>0.89755264655663103</v>
      </c>
      <c r="W860" s="26">
        <v>0.86209430496019601</v>
      </c>
      <c r="X860" s="28">
        <v>0.92</v>
      </c>
      <c r="Y860" s="28">
        <v>0.815634218289086</v>
      </c>
      <c r="Z860" s="28">
        <v>0.87210379981464303</v>
      </c>
      <c r="AA860" s="28">
        <v>0.86704384724186701</v>
      </c>
      <c r="AB860" s="28">
        <v>0.853947662715276</v>
      </c>
      <c r="AC860" s="28">
        <v>0.92</v>
      </c>
      <c r="AD860" s="26">
        <v>0.99325084364454397</v>
      </c>
      <c r="AE860" s="26">
        <v>0.99932478055368001</v>
      </c>
      <c r="AF860" s="26">
        <v>0.99516616314199402</v>
      </c>
      <c r="AG860" s="26">
        <v>0.99252635793407196</v>
      </c>
      <c r="AH860" s="28">
        <v>0.92</v>
      </c>
      <c r="AI860" s="26">
        <v>0.93493889288281795</v>
      </c>
      <c r="AJ860" s="26">
        <v>0.95560129373713598</v>
      </c>
      <c r="AK860" s="26">
        <v>0.93547077922077904</v>
      </c>
      <c r="AL860" s="26">
        <v>0.94704318707494695</v>
      </c>
      <c r="AM860" s="25">
        <v>0.99</v>
      </c>
      <c r="AN860" s="30">
        <v>1</v>
      </c>
      <c r="AO860" s="30">
        <v>1</v>
      </c>
      <c r="AP860" s="30">
        <v>1</v>
      </c>
      <c r="AQ860" s="30">
        <v>1</v>
      </c>
      <c r="AR860" s="50">
        <v>8.1059522893420499E-2</v>
      </c>
      <c r="AS860" s="34">
        <v>0</v>
      </c>
      <c r="AT860" s="34">
        <v>0</v>
      </c>
      <c r="AU860" s="34">
        <v>0.125</v>
      </c>
      <c r="AV860" s="34">
        <v>0.10638297872340401</v>
      </c>
      <c r="AW860" s="10"/>
      <c r="AX860" s="8"/>
    </row>
    <row r="861" spans="1:50">
      <c r="A861" s="7"/>
      <c r="B861" s="10"/>
      <c r="C861" s="45" t="s">
        <v>688</v>
      </c>
      <c r="D861" s="23" t="s">
        <v>21</v>
      </c>
      <c r="E861" s="68" t="s">
        <v>906</v>
      </c>
      <c r="F861" s="68" t="s">
        <v>906</v>
      </c>
      <c r="G861" s="68" t="s">
        <v>906</v>
      </c>
      <c r="H861" s="68" t="s">
        <v>906</v>
      </c>
      <c r="I861" s="25">
        <v>0.9</v>
      </c>
      <c r="J861" s="26">
        <v>0.939393939393939</v>
      </c>
      <c r="K861" s="26">
        <v>0.89552238805970197</v>
      </c>
      <c r="L861" s="27">
        <v>0.91489361702127703</v>
      </c>
      <c r="M861" s="26">
        <v>0.91061452513966501</v>
      </c>
      <c r="N861" s="28">
        <v>0.9</v>
      </c>
      <c r="O861" s="26">
        <v>0.77286343612334796</v>
      </c>
      <c r="P861" s="26">
        <v>0.48499693815064299</v>
      </c>
      <c r="Q861" s="26">
        <v>0.926404773744406</v>
      </c>
      <c r="R861" s="26">
        <v>0.75145844799119399</v>
      </c>
      <c r="S861" s="28">
        <v>0.9</v>
      </c>
      <c r="T861" s="26">
        <v>0.88599118942731303</v>
      </c>
      <c r="U861" s="26">
        <v>0.86527862829148805</v>
      </c>
      <c r="V861" s="26">
        <v>0.892590750870214</v>
      </c>
      <c r="W861" s="26">
        <v>0.88427811410750301</v>
      </c>
      <c r="X861" s="28">
        <v>0.92</v>
      </c>
      <c r="Y861" s="28">
        <v>0.87909604519773998</v>
      </c>
      <c r="Z861" s="28">
        <v>0.8712715855573</v>
      </c>
      <c r="AA861" s="28">
        <v>0.861809045226131</v>
      </c>
      <c r="AB861" s="28">
        <v>0.87270290964777997</v>
      </c>
      <c r="AC861" s="28">
        <v>0.92</v>
      </c>
      <c r="AD861" s="26">
        <v>0.99615384615384595</v>
      </c>
      <c r="AE861" s="26">
        <v>0.992307692307692</v>
      </c>
      <c r="AF861" s="26">
        <v>0.99590163934426201</v>
      </c>
      <c r="AG861" s="26">
        <v>0.98981410746116605</v>
      </c>
      <c r="AH861" s="28">
        <v>0.92</v>
      </c>
      <c r="AI861" s="26">
        <v>0.94496951219512204</v>
      </c>
      <c r="AJ861" s="26">
        <v>0.94196771714066097</v>
      </c>
      <c r="AK861" s="26">
        <v>0.926255789098682</v>
      </c>
      <c r="AL861" s="26">
        <v>0.94599587425721199</v>
      </c>
      <c r="AM861" s="25">
        <v>0.99</v>
      </c>
      <c r="AN861" s="30">
        <v>1</v>
      </c>
      <c r="AO861" s="30">
        <v>1</v>
      </c>
      <c r="AP861" s="30">
        <v>1</v>
      </c>
      <c r="AQ861" s="30">
        <v>1</v>
      </c>
      <c r="AR861" s="50">
        <v>8.1059522893420499E-2</v>
      </c>
      <c r="AS861" s="34">
        <v>6.8965517241379296E-2</v>
      </c>
      <c r="AT861" s="34">
        <v>7.69230769230769E-2</v>
      </c>
      <c r="AU861" s="34">
        <v>0</v>
      </c>
      <c r="AV861" s="34">
        <v>7.8947368421052599E-2</v>
      </c>
      <c r="AW861" s="10"/>
      <c r="AX861" s="8"/>
    </row>
    <row r="862" spans="1:50">
      <c r="A862" s="7"/>
      <c r="B862" s="10"/>
      <c r="C862" s="45" t="s">
        <v>688</v>
      </c>
      <c r="D862" s="23" t="s">
        <v>21</v>
      </c>
      <c r="E862" s="68" t="s">
        <v>907</v>
      </c>
      <c r="F862" s="68" t="s">
        <v>907</v>
      </c>
      <c r="G862" s="68" t="s">
        <v>907</v>
      </c>
      <c r="H862" s="68" t="s">
        <v>907</v>
      </c>
      <c r="I862" s="25">
        <v>0.9</v>
      </c>
      <c r="J862" s="26">
        <v>0.82608695652173902</v>
      </c>
      <c r="K862" s="26">
        <v>0.89795918367346905</v>
      </c>
      <c r="L862" s="27">
        <v>0.58333333333333304</v>
      </c>
      <c r="M862" s="26">
        <v>0.82720588235294101</v>
      </c>
      <c r="N862" s="28">
        <v>0.9</v>
      </c>
      <c r="O862" s="26">
        <v>0.87209831588529796</v>
      </c>
      <c r="P862" s="26">
        <v>0.786227771471812</v>
      </c>
      <c r="Q862" s="26">
        <v>0.92445820433436499</v>
      </c>
      <c r="R862" s="26">
        <v>0.862545551506533</v>
      </c>
      <c r="S862" s="28">
        <v>0.9</v>
      </c>
      <c r="T862" s="26">
        <v>0.88825671370050097</v>
      </c>
      <c r="U862" s="26">
        <v>0.881195611048051</v>
      </c>
      <c r="V862" s="26">
        <v>0.89411764705882402</v>
      </c>
      <c r="W862" s="26">
        <v>0.89476490978579704</v>
      </c>
      <c r="X862" s="28">
        <v>0.92</v>
      </c>
      <c r="Y862" s="28">
        <v>0.91766723842195497</v>
      </c>
      <c r="Z862" s="28">
        <v>0.915813424345848</v>
      </c>
      <c r="AA862" s="28">
        <v>0.85400313971742503</v>
      </c>
      <c r="AB862" s="28">
        <v>0.89815289892252403</v>
      </c>
      <c r="AC862" s="28">
        <v>0.92</v>
      </c>
      <c r="AD862" s="26">
        <v>0.99766355140186902</v>
      </c>
      <c r="AE862" s="26">
        <v>0.99501246882793004</v>
      </c>
      <c r="AF862" s="26">
        <v>0.995294117647059</v>
      </c>
      <c r="AG862" s="26">
        <v>0.99513973268529798</v>
      </c>
      <c r="AH862" s="28">
        <v>0.92</v>
      </c>
      <c r="AI862" s="26">
        <v>0.95760498292143903</v>
      </c>
      <c r="AJ862" s="26">
        <v>0.96382806163828105</v>
      </c>
      <c r="AK862" s="26">
        <v>0.93383658969804595</v>
      </c>
      <c r="AL862" s="26">
        <v>0.95950757575757595</v>
      </c>
      <c r="AM862" s="25">
        <v>0.99</v>
      </c>
      <c r="AN862" s="30">
        <v>1</v>
      </c>
      <c r="AO862" s="30">
        <v>1</v>
      </c>
      <c r="AP862" s="30">
        <v>1</v>
      </c>
      <c r="AQ862" s="30">
        <v>1</v>
      </c>
      <c r="AR862" s="50">
        <v>8.1059522893420499E-2</v>
      </c>
      <c r="AS862" s="34">
        <v>0</v>
      </c>
      <c r="AT862" s="34">
        <v>0</v>
      </c>
      <c r="AU862" s="34">
        <v>0.14285714285714299</v>
      </c>
      <c r="AV862" s="34">
        <v>9.6153846153846201E-2</v>
      </c>
      <c r="AW862" s="10"/>
      <c r="AX862" s="8"/>
    </row>
    <row r="863" spans="1:50">
      <c r="A863" s="7"/>
      <c r="B863" s="10"/>
      <c r="C863" s="45" t="s">
        <v>688</v>
      </c>
      <c r="D863" s="23" t="s">
        <v>21</v>
      </c>
      <c r="E863" s="68" t="s">
        <v>908</v>
      </c>
      <c r="F863" s="68" t="s">
        <v>908</v>
      </c>
      <c r="G863" s="68" t="s">
        <v>908</v>
      </c>
      <c r="H863" s="68" t="s">
        <v>908</v>
      </c>
      <c r="I863" s="25">
        <v>0.9</v>
      </c>
      <c r="J863" s="26">
        <v>0.907407407407407</v>
      </c>
      <c r="K863" s="26">
        <v>0.92727272727272703</v>
      </c>
      <c r="L863" s="27">
        <v>0.90697674418604601</v>
      </c>
      <c r="M863" s="26">
        <v>0.89597315436241598</v>
      </c>
      <c r="N863" s="28">
        <v>0.9</v>
      </c>
      <c r="O863" s="26">
        <v>0.94729857819905205</v>
      </c>
      <c r="P863" s="26">
        <v>0.93660908938453802</v>
      </c>
      <c r="Q863" s="26">
        <v>0.99147727272727304</v>
      </c>
      <c r="R863" s="26">
        <v>0.94873657867118799</v>
      </c>
      <c r="S863" s="28">
        <v>0.9</v>
      </c>
      <c r="T863" s="26">
        <v>0.89990521327014195</v>
      </c>
      <c r="U863" s="26">
        <v>0.904242830789871</v>
      </c>
      <c r="V863" s="26">
        <v>0.92784090909090899</v>
      </c>
      <c r="W863" s="26">
        <v>0.91365948171470102</v>
      </c>
      <c r="X863" s="28">
        <v>0.92</v>
      </c>
      <c r="Y863" s="28">
        <v>0.92219020172910704</v>
      </c>
      <c r="Z863" s="28">
        <v>0.93273986152324395</v>
      </c>
      <c r="AA863" s="28">
        <v>0.905718701700155</v>
      </c>
      <c r="AB863" s="28">
        <v>0.91552941176470604</v>
      </c>
      <c r="AC863" s="28">
        <v>0.92</v>
      </c>
      <c r="AD863" s="26">
        <v>0.99410898379970503</v>
      </c>
      <c r="AE863" s="26">
        <v>0.98465829846582997</v>
      </c>
      <c r="AF863" s="26">
        <v>0.98769574944071603</v>
      </c>
      <c r="AG863" s="26">
        <v>0.98550724637681197</v>
      </c>
      <c r="AH863" s="28">
        <v>0.92</v>
      </c>
      <c r="AI863" s="26">
        <v>0.951248115262188</v>
      </c>
      <c r="AJ863" s="26">
        <v>0.961428161743619</v>
      </c>
      <c r="AK863" s="26">
        <v>0.95471541337764898</v>
      </c>
      <c r="AL863" s="26">
        <v>0.95824289405684804</v>
      </c>
      <c r="AM863" s="25">
        <v>0.99</v>
      </c>
      <c r="AN863" s="30">
        <v>1</v>
      </c>
      <c r="AO863" s="30">
        <v>1</v>
      </c>
      <c r="AP863" s="30">
        <v>1</v>
      </c>
      <c r="AQ863" s="30">
        <v>1</v>
      </c>
      <c r="AR863" s="50">
        <v>8.1059522893420499E-2</v>
      </c>
      <c r="AS863" s="34">
        <v>9.0909090909090898E-2</v>
      </c>
      <c r="AT863" s="34">
        <v>4.1666666666666699E-2</v>
      </c>
      <c r="AU863" s="34">
        <v>0.14285714285714299</v>
      </c>
      <c r="AV863" s="34">
        <v>7.69230769230769E-2</v>
      </c>
      <c r="AW863" s="10"/>
      <c r="AX863" s="8"/>
    </row>
    <row r="864" spans="1:50">
      <c r="A864" s="7"/>
      <c r="B864" s="10"/>
      <c r="C864" s="45" t="s">
        <v>688</v>
      </c>
      <c r="D864" s="23" t="s">
        <v>21</v>
      </c>
      <c r="E864" s="68" t="s">
        <v>909</v>
      </c>
      <c r="F864" s="68" t="s">
        <v>909</v>
      </c>
      <c r="G864" s="68" t="s">
        <v>909</v>
      </c>
      <c r="H864" s="68" t="s">
        <v>909</v>
      </c>
      <c r="I864" s="25">
        <v>0.9</v>
      </c>
      <c r="J864" s="26">
        <v>0.94545454545454499</v>
      </c>
      <c r="K864" s="26">
        <v>0.96491228070175405</v>
      </c>
      <c r="L864" s="27">
        <v>0.93181818181818199</v>
      </c>
      <c r="M864" s="26">
        <v>0.946540880503145</v>
      </c>
      <c r="N864" s="28">
        <v>0.9</v>
      </c>
      <c r="O864" s="26">
        <v>0.85639110507553895</v>
      </c>
      <c r="P864" s="26">
        <v>0.87973967176004497</v>
      </c>
      <c r="Q864" s="26">
        <v>0.95950299125632799</v>
      </c>
      <c r="R864" s="26">
        <v>0.88529833094579702</v>
      </c>
      <c r="S864" s="28">
        <v>0.9</v>
      </c>
      <c r="T864" s="26">
        <v>0.87455440502461401</v>
      </c>
      <c r="U864" s="26">
        <v>0.86926994906621402</v>
      </c>
      <c r="V864" s="26">
        <v>0.88034974689369505</v>
      </c>
      <c r="W864" s="26">
        <v>0.87477096312089797</v>
      </c>
      <c r="X864" s="28">
        <v>0.92</v>
      </c>
      <c r="Y864" s="28">
        <v>0.86524822695035497</v>
      </c>
      <c r="Z864" s="28">
        <v>0.86848847139197305</v>
      </c>
      <c r="AA864" s="28">
        <v>0.85419354838709705</v>
      </c>
      <c r="AB864" s="28">
        <v>0.85902293120638096</v>
      </c>
      <c r="AC864" s="28">
        <v>0.92</v>
      </c>
      <c r="AD864" s="26">
        <v>0.98136645962732905</v>
      </c>
      <c r="AE864" s="26">
        <v>0.98</v>
      </c>
      <c r="AF864" s="26">
        <v>0.98395721925133695</v>
      </c>
      <c r="AG864" s="26">
        <v>0.977911646586345</v>
      </c>
      <c r="AH864" s="28">
        <v>0.92</v>
      </c>
      <c r="AI864" s="26">
        <v>0.95391146149181305</v>
      </c>
      <c r="AJ864" s="26">
        <v>0.96091758708581099</v>
      </c>
      <c r="AK864" s="26">
        <v>0.92842605156038005</v>
      </c>
      <c r="AL864" s="26">
        <v>0.95335826220991604</v>
      </c>
      <c r="AM864" s="25">
        <v>0.99</v>
      </c>
      <c r="AN864" s="30">
        <v>1</v>
      </c>
      <c r="AO864" s="30">
        <v>1</v>
      </c>
      <c r="AP864" s="30">
        <v>1</v>
      </c>
      <c r="AQ864" s="30">
        <v>1</v>
      </c>
      <c r="AR864" s="50">
        <v>8.1059522893420499E-2</v>
      </c>
      <c r="AS864" s="34">
        <v>0</v>
      </c>
      <c r="AT864" s="34">
        <v>9.0909090909090898E-2</v>
      </c>
      <c r="AU864" s="34">
        <v>0</v>
      </c>
      <c r="AV864" s="34">
        <v>7.1428571428571397E-2</v>
      </c>
      <c r="AW864" s="10"/>
      <c r="AX864" s="8"/>
    </row>
    <row r="865" spans="1:50">
      <c r="A865" s="7"/>
      <c r="B865" s="10"/>
      <c r="C865" s="45" t="s">
        <v>688</v>
      </c>
      <c r="D865" s="23" t="s">
        <v>21</v>
      </c>
      <c r="E865" s="68" t="s">
        <v>910</v>
      </c>
      <c r="F865" s="68" t="s">
        <v>910</v>
      </c>
      <c r="G865" s="68" t="s">
        <v>910</v>
      </c>
      <c r="H865" s="68" t="s">
        <v>910</v>
      </c>
      <c r="I865" s="25">
        <v>0.9</v>
      </c>
      <c r="J865" s="26">
        <v>0.80952380952380998</v>
      </c>
      <c r="K865" s="26">
        <v>0.90476190476190499</v>
      </c>
      <c r="L865" s="27">
        <v>0.35294117647058798</v>
      </c>
      <c r="M865" s="26">
        <v>0.73553719008264495</v>
      </c>
      <c r="N865" s="28">
        <v>0.9</v>
      </c>
      <c r="O865" s="26">
        <v>0.93323293172690802</v>
      </c>
      <c r="P865" s="26">
        <v>0.93226079593564803</v>
      </c>
      <c r="Q865" s="26">
        <v>0.94044321329639902</v>
      </c>
      <c r="R865" s="26">
        <v>0.93171697179614099</v>
      </c>
      <c r="S865" s="28">
        <v>0.9</v>
      </c>
      <c r="T865" s="26">
        <v>0.91967871485943797</v>
      </c>
      <c r="U865" s="26">
        <v>0.92421676545300602</v>
      </c>
      <c r="V865" s="26">
        <v>0.90443213296398905</v>
      </c>
      <c r="W865" s="26">
        <v>0.927659574468085</v>
      </c>
      <c r="X865" s="28">
        <v>0.92</v>
      </c>
      <c r="Y865" s="28">
        <v>0.90734824281150195</v>
      </c>
      <c r="Z865" s="28">
        <v>0.89737470167064404</v>
      </c>
      <c r="AA865" s="28">
        <v>0.88</v>
      </c>
      <c r="AB865" s="28">
        <v>0.88789942378208497</v>
      </c>
      <c r="AC865" s="28">
        <v>0.92</v>
      </c>
      <c r="AD865" s="26">
        <v>0.97872340425531901</v>
      </c>
      <c r="AE865" s="26">
        <v>0.94736842105263197</v>
      </c>
      <c r="AF865" s="26">
        <v>0.93877551020408201</v>
      </c>
      <c r="AG865" s="26">
        <v>0.95548961424332302</v>
      </c>
      <c r="AH865" s="28">
        <v>0.92</v>
      </c>
      <c r="AI865" s="26">
        <v>0.95618221258134495</v>
      </c>
      <c r="AJ865" s="26">
        <v>0.95792880258899704</v>
      </c>
      <c r="AK865" s="26">
        <v>0.92954990215264199</v>
      </c>
      <c r="AL865" s="26">
        <v>0.95638784852268</v>
      </c>
      <c r="AM865" s="25">
        <v>0.99</v>
      </c>
      <c r="AN865" s="30">
        <v>1</v>
      </c>
      <c r="AO865" s="30">
        <v>1</v>
      </c>
      <c r="AP865" s="30">
        <v>1</v>
      </c>
      <c r="AQ865" s="30">
        <v>1</v>
      </c>
      <c r="AR865" s="50">
        <v>8.1059522893420499E-2</v>
      </c>
      <c r="AS865" s="34">
        <v>0</v>
      </c>
      <c r="AT865" s="34">
        <v>0</v>
      </c>
      <c r="AU865" s="34">
        <v>0</v>
      </c>
      <c r="AV865" s="34">
        <v>2.9411764705882401E-2</v>
      </c>
      <c r="AW865" s="10"/>
      <c r="AX865" s="8"/>
    </row>
    <row r="866" spans="1:50">
      <c r="A866" s="7"/>
      <c r="B866" s="10"/>
      <c r="C866" s="45" t="s">
        <v>688</v>
      </c>
      <c r="D866" s="23" t="s">
        <v>21</v>
      </c>
      <c r="E866" s="68" t="s">
        <v>911</v>
      </c>
      <c r="F866" s="68" t="s">
        <v>911</v>
      </c>
      <c r="G866" s="68" t="s">
        <v>911</v>
      </c>
      <c r="H866" s="68" t="s">
        <v>911</v>
      </c>
      <c r="I866" s="25">
        <v>0.9</v>
      </c>
      <c r="J866" s="26">
        <v>1</v>
      </c>
      <c r="K866" s="26">
        <v>1</v>
      </c>
      <c r="L866" s="27">
        <v>1</v>
      </c>
      <c r="M866" s="26">
        <v>0.99180327868852503</v>
      </c>
      <c r="N866" s="28">
        <v>0.9</v>
      </c>
      <c r="O866" s="26">
        <v>0.97570498915401305</v>
      </c>
      <c r="P866" s="26">
        <v>0.95735294117647096</v>
      </c>
      <c r="Q866" s="26">
        <v>0.98864926220204297</v>
      </c>
      <c r="R866" s="26">
        <v>0.971975277283888</v>
      </c>
      <c r="S866" s="28">
        <v>0.9</v>
      </c>
      <c r="T866" s="26">
        <v>0.94533622559652897</v>
      </c>
      <c r="U866" s="26">
        <v>0.92536764705882402</v>
      </c>
      <c r="V866" s="26">
        <v>0.95800227014756001</v>
      </c>
      <c r="W866" s="26">
        <v>0.93268986537973098</v>
      </c>
      <c r="X866" s="28">
        <v>0.92</v>
      </c>
      <c r="Y866" s="28">
        <v>0.85057471264367801</v>
      </c>
      <c r="Z866" s="28">
        <v>0.81628392484342405</v>
      </c>
      <c r="AA866" s="28">
        <v>0.87043189368770801</v>
      </c>
      <c r="AB866" s="28">
        <v>0.81818181818181801</v>
      </c>
      <c r="AC866" s="28">
        <v>0.92</v>
      </c>
      <c r="AD866" s="26">
        <v>1</v>
      </c>
      <c r="AE866" s="26">
        <v>0.984732824427481</v>
      </c>
      <c r="AF866" s="26">
        <v>0.97902097902097895</v>
      </c>
      <c r="AG866" s="26">
        <v>0.98868458274398896</v>
      </c>
      <c r="AH866" s="28">
        <v>0.92</v>
      </c>
      <c r="AI866" s="26">
        <v>0.96268375424048203</v>
      </c>
      <c r="AJ866" s="26">
        <v>0.95811190997186602</v>
      </c>
      <c r="AK866" s="26">
        <v>0.95600676818950903</v>
      </c>
      <c r="AL866" s="26">
        <v>0.95655306578283705</v>
      </c>
      <c r="AM866" s="25">
        <v>0.99</v>
      </c>
      <c r="AN866" s="30">
        <v>1</v>
      </c>
      <c r="AO866" s="30">
        <v>1</v>
      </c>
      <c r="AP866" s="30">
        <v>1</v>
      </c>
      <c r="AQ866" s="30">
        <v>1</v>
      </c>
      <c r="AR866" s="50">
        <v>8.1059522893420499E-2</v>
      </c>
      <c r="AS866" s="34">
        <v>0.1</v>
      </c>
      <c r="AT866" s="34">
        <v>0.14285714285714299</v>
      </c>
      <c r="AU866" s="34">
        <v>0.14285714285714299</v>
      </c>
      <c r="AV866" s="34">
        <v>6.6666666666666693E-2</v>
      </c>
      <c r="AW866" s="10"/>
      <c r="AX866" s="8"/>
    </row>
    <row r="867" spans="1:50">
      <c r="A867" s="7"/>
      <c r="B867" s="10"/>
      <c r="C867" s="45" t="s">
        <v>688</v>
      </c>
      <c r="D867" s="23" t="s">
        <v>21</v>
      </c>
      <c r="E867" s="68" t="s">
        <v>912</v>
      </c>
      <c r="F867" s="68" t="s">
        <v>912</v>
      </c>
      <c r="G867" s="68" t="s">
        <v>912</v>
      </c>
      <c r="H867" s="68" t="s">
        <v>912</v>
      </c>
      <c r="I867" s="25">
        <v>0.9</v>
      </c>
      <c r="J867" s="26">
        <v>1</v>
      </c>
      <c r="K867" s="26">
        <v>1</v>
      </c>
      <c r="L867" s="27">
        <v>0.90476190476190499</v>
      </c>
      <c r="M867" s="26">
        <v>0.95783132530120496</v>
      </c>
      <c r="N867" s="28">
        <v>0.9</v>
      </c>
      <c r="O867" s="26">
        <v>0.98728813559322004</v>
      </c>
      <c r="P867" s="26">
        <v>0.97175324675324704</v>
      </c>
      <c r="Q867" s="26">
        <v>0.99463519313304705</v>
      </c>
      <c r="R867" s="26">
        <v>0.98591021509405696</v>
      </c>
      <c r="S867" s="28">
        <v>0.9</v>
      </c>
      <c r="T867" s="26">
        <v>0.94029275808936796</v>
      </c>
      <c r="U867" s="26">
        <v>0.92532467532467499</v>
      </c>
      <c r="V867" s="26">
        <v>0.94635193133047202</v>
      </c>
      <c r="W867" s="26">
        <v>0.93659596792325595</v>
      </c>
      <c r="X867" s="28">
        <v>0.92</v>
      </c>
      <c r="Y867" s="28">
        <v>0.92913385826771699</v>
      </c>
      <c r="Z867" s="28">
        <v>0.95532646048110004</v>
      </c>
      <c r="AA867" s="28">
        <v>0.89130434782608703</v>
      </c>
      <c r="AB867" s="28">
        <v>0.92352211657709804</v>
      </c>
      <c r="AC867" s="28">
        <v>0.92</v>
      </c>
      <c r="AD867" s="26">
        <v>0.971830985915493</v>
      </c>
      <c r="AE867" s="26">
        <v>0.97883597883597895</v>
      </c>
      <c r="AF867" s="26">
        <v>0.96491228070175405</v>
      </c>
      <c r="AG867" s="26">
        <v>0.98456790123456805</v>
      </c>
      <c r="AH867" s="28">
        <v>0.92</v>
      </c>
      <c r="AI867" s="26">
        <v>0.97279140073899895</v>
      </c>
      <c r="AJ867" s="26">
        <v>0.97760786455488802</v>
      </c>
      <c r="AK867" s="26">
        <v>0.95769230769230795</v>
      </c>
      <c r="AL867" s="26">
        <v>0.97170409846466199</v>
      </c>
      <c r="AM867" s="25">
        <v>0.99</v>
      </c>
      <c r="AN867" s="30">
        <v>1</v>
      </c>
      <c r="AO867" s="30">
        <v>1</v>
      </c>
      <c r="AP867" s="30">
        <v>1</v>
      </c>
      <c r="AQ867" s="30">
        <v>1</v>
      </c>
      <c r="AR867" s="50">
        <v>8.1059522893420499E-2</v>
      </c>
      <c r="AS867" s="34">
        <v>0</v>
      </c>
      <c r="AT867" s="34">
        <v>0</v>
      </c>
      <c r="AU867" s="34">
        <v>0.33333333333333298</v>
      </c>
      <c r="AV867" s="34">
        <v>4.2553191489361701E-2</v>
      </c>
      <c r="AW867" s="10"/>
      <c r="AX867" s="8"/>
    </row>
    <row r="868" spans="1:50">
      <c r="A868" s="7"/>
      <c r="B868" s="10"/>
      <c r="C868" s="45" t="s">
        <v>688</v>
      </c>
      <c r="D868" s="23" t="s">
        <v>21</v>
      </c>
      <c r="E868" s="68" t="s">
        <v>913</v>
      </c>
      <c r="F868" s="68" t="s">
        <v>913</v>
      </c>
      <c r="G868" s="68" t="s">
        <v>913</v>
      </c>
      <c r="H868" s="68" t="s">
        <v>913</v>
      </c>
      <c r="I868" s="25">
        <v>0.9</v>
      </c>
      <c r="J868" s="26">
        <v>0.78378378378378399</v>
      </c>
      <c r="K868" s="26">
        <v>0.78947368421052599</v>
      </c>
      <c r="L868" s="27">
        <v>0.89655172413793105</v>
      </c>
      <c r="M868" s="26">
        <v>0.82926829268292701</v>
      </c>
      <c r="N868" s="28">
        <v>0.9</v>
      </c>
      <c r="O868" s="26">
        <v>0.96858453935757105</v>
      </c>
      <c r="P868" s="26">
        <v>0.84809052333804802</v>
      </c>
      <c r="Q868" s="26">
        <v>0.965355805243446</v>
      </c>
      <c r="R868" s="26">
        <v>0.92129285279599704</v>
      </c>
      <c r="S868" s="28">
        <v>0.9</v>
      </c>
      <c r="T868" s="26">
        <v>0.93081539004588798</v>
      </c>
      <c r="U868" s="26">
        <v>0.90834512022630798</v>
      </c>
      <c r="V868" s="26">
        <v>0.90355805243445697</v>
      </c>
      <c r="W868" s="26">
        <v>0.91358442085333702</v>
      </c>
      <c r="X868" s="28">
        <v>0.92</v>
      </c>
      <c r="Y868" s="28">
        <v>0.8828125</v>
      </c>
      <c r="Z868" s="28">
        <v>0.87521367521367499</v>
      </c>
      <c r="AA868" s="28">
        <v>0.77393617021276595</v>
      </c>
      <c r="AB868" s="28">
        <v>0.78244837758112096</v>
      </c>
      <c r="AC868" s="28">
        <v>0.92</v>
      </c>
      <c r="AD868" s="26">
        <v>1</v>
      </c>
      <c r="AE868" s="26">
        <v>0.98913043478260898</v>
      </c>
      <c r="AF868" s="26">
        <v>0.984615384615385</v>
      </c>
      <c r="AG868" s="26">
        <v>0.98832684824902695</v>
      </c>
      <c r="AH868" s="28">
        <v>0.92</v>
      </c>
      <c r="AI868" s="26">
        <v>0.96083707025411103</v>
      </c>
      <c r="AJ868" s="26">
        <v>0.95631067961165095</v>
      </c>
      <c r="AK868" s="26">
        <v>0.91204986149584499</v>
      </c>
      <c r="AL868" s="26">
        <v>0.94091766184789405</v>
      </c>
      <c r="AM868" s="25">
        <v>0.99</v>
      </c>
      <c r="AN868" s="30">
        <v>1</v>
      </c>
      <c r="AO868" s="30">
        <v>1</v>
      </c>
      <c r="AP868" s="30">
        <v>1</v>
      </c>
      <c r="AQ868" s="30">
        <v>1</v>
      </c>
      <c r="AR868" s="50">
        <v>8.1059522893420499E-2</v>
      </c>
      <c r="AS868" s="34">
        <v>0</v>
      </c>
      <c r="AT868" s="34">
        <v>0</v>
      </c>
      <c r="AU868" s="34">
        <v>0</v>
      </c>
      <c r="AV868" s="34">
        <v>1.7543859649122799E-2</v>
      </c>
      <c r="AW868" s="10"/>
      <c r="AX868" s="8"/>
    </row>
    <row r="869" spans="1:50">
      <c r="A869" s="7"/>
      <c r="B869" s="10"/>
      <c r="C869" s="45" t="s">
        <v>688</v>
      </c>
      <c r="D869" s="23" t="s">
        <v>21</v>
      </c>
      <c r="E869" s="68" t="s">
        <v>914</v>
      </c>
      <c r="F869" s="68" t="s">
        <v>914</v>
      </c>
      <c r="G869" s="68" t="s">
        <v>914</v>
      </c>
      <c r="H869" s="68" t="s">
        <v>914</v>
      </c>
      <c r="I869" s="25">
        <v>0.9</v>
      </c>
      <c r="J869" s="26">
        <v>0.952380952380952</v>
      </c>
      <c r="K869" s="26">
        <v>1</v>
      </c>
      <c r="L869" s="27">
        <v>1</v>
      </c>
      <c r="M869" s="26">
        <v>0.97933884297520701</v>
      </c>
      <c r="N869" s="28">
        <v>0.9</v>
      </c>
      <c r="O869" s="26">
        <v>0.96556399132321002</v>
      </c>
      <c r="P869" s="26">
        <v>0.96632181377944104</v>
      </c>
      <c r="Q869" s="26">
        <v>0.977337110481586</v>
      </c>
      <c r="R869" s="26">
        <v>0.96840484282073103</v>
      </c>
      <c r="S869" s="28">
        <v>0.9</v>
      </c>
      <c r="T869" s="26">
        <v>0.90970715835141003</v>
      </c>
      <c r="U869" s="26">
        <v>0.919216376843495</v>
      </c>
      <c r="V869" s="26">
        <v>0.943342776203966</v>
      </c>
      <c r="W869" s="26">
        <v>0.92857901444349999</v>
      </c>
      <c r="X869" s="28">
        <v>0.92</v>
      </c>
      <c r="Y869" s="28">
        <v>0.84164859002169201</v>
      </c>
      <c r="Z869" s="28">
        <v>0.84583333333333299</v>
      </c>
      <c r="AA869" s="28">
        <v>0.90476190476190499</v>
      </c>
      <c r="AB869" s="28">
        <v>0.88843494657448097</v>
      </c>
      <c r="AC869" s="28">
        <v>0.92</v>
      </c>
      <c r="AD869" s="26">
        <v>0.99275362318840599</v>
      </c>
      <c r="AE869" s="26">
        <v>0.99199999999999999</v>
      </c>
      <c r="AF869" s="26">
        <v>0.992307692307692</v>
      </c>
      <c r="AG869" s="26">
        <v>0.986648865153538</v>
      </c>
      <c r="AH869" s="28">
        <v>0.92</v>
      </c>
      <c r="AI869" s="26">
        <v>0.93926247288503295</v>
      </c>
      <c r="AJ869" s="26">
        <v>0.95249857495724899</v>
      </c>
      <c r="AK869" s="26">
        <v>0.95456892101187396</v>
      </c>
      <c r="AL869" s="26">
        <v>0.95802671027527897</v>
      </c>
      <c r="AM869" s="25">
        <v>0.99</v>
      </c>
      <c r="AN869" s="30">
        <v>1</v>
      </c>
      <c r="AO869" s="30">
        <v>1</v>
      </c>
      <c r="AP869" s="30">
        <v>1</v>
      </c>
      <c r="AQ869" s="30">
        <v>1</v>
      </c>
      <c r="AR869" s="50">
        <v>8.1059522893420499E-2</v>
      </c>
      <c r="AS869" s="34">
        <v>0.2</v>
      </c>
      <c r="AT869" s="34">
        <v>0</v>
      </c>
      <c r="AU869" s="34">
        <v>0.1</v>
      </c>
      <c r="AV869" s="34">
        <v>0.123287671232877</v>
      </c>
      <c r="AW869" s="10"/>
      <c r="AX869" s="8"/>
    </row>
    <row r="870" spans="1:50">
      <c r="A870" s="7"/>
      <c r="B870" s="10"/>
      <c r="C870" s="45" t="s">
        <v>688</v>
      </c>
      <c r="D870" s="23" t="s">
        <v>21</v>
      </c>
      <c r="E870" s="68" t="s">
        <v>915</v>
      </c>
      <c r="F870" s="68" t="s">
        <v>915</v>
      </c>
      <c r="G870" s="68" t="s">
        <v>915</v>
      </c>
      <c r="H870" s="68" t="s">
        <v>915</v>
      </c>
      <c r="I870" s="25">
        <v>0.9</v>
      </c>
      <c r="J870" s="26">
        <v>0.79411764705882304</v>
      </c>
      <c r="K870" s="26">
        <v>0.81818181818181801</v>
      </c>
      <c r="L870" s="27">
        <v>0.8</v>
      </c>
      <c r="M870" s="26">
        <v>0.76216216216216204</v>
      </c>
      <c r="N870" s="28">
        <v>0.9</v>
      </c>
      <c r="O870" s="26">
        <v>0.99904761904761896</v>
      </c>
      <c r="P870" s="26">
        <v>0.99554655870445297</v>
      </c>
      <c r="Q870" s="26">
        <v>1</v>
      </c>
      <c r="R870" s="26">
        <v>0.99266526957515699</v>
      </c>
      <c r="S870" s="28">
        <v>0.9</v>
      </c>
      <c r="T870" s="26">
        <v>0.93666666666666698</v>
      </c>
      <c r="U870" s="26">
        <v>0.93117408906882604</v>
      </c>
      <c r="V870" s="26">
        <v>0.93927125506072895</v>
      </c>
      <c r="W870" s="26">
        <v>0.93589255096208801</v>
      </c>
      <c r="X870" s="28">
        <v>0.92</v>
      </c>
      <c r="Y870" s="28">
        <v>0.93353474320241703</v>
      </c>
      <c r="Z870" s="28">
        <v>0.95975855130784704</v>
      </c>
      <c r="AA870" s="28">
        <v>0.96028880866426003</v>
      </c>
      <c r="AB870" s="28">
        <v>0.94304771677783505</v>
      </c>
      <c r="AC870" s="28">
        <v>0.92</v>
      </c>
      <c r="AD870" s="26">
        <v>0.99141630901287603</v>
      </c>
      <c r="AE870" s="26">
        <v>0.969879518072289</v>
      </c>
      <c r="AF870" s="26">
        <v>0.97959183673469397</v>
      </c>
      <c r="AG870" s="26">
        <v>0.98232695139911597</v>
      </c>
      <c r="AH870" s="28">
        <v>0.92</v>
      </c>
      <c r="AI870" s="26">
        <v>0.97161661867544202</v>
      </c>
      <c r="AJ870" s="26">
        <v>0.979777553083923</v>
      </c>
      <c r="AK870" s="26">
        <v>0.97249508840864396</v>
      </c>
      <c r="AL870" s="26">
        <v>0.97589780670041004</v>
      </c>
      <c r="AM870" s="25">
        <v>0.99</v>
      </c>
      <c r="AN870" s="30">
        <v>1</v>
      </c>
      <c r="AO870" s="30">
        <v>1</v>
      </c>
      <c r="AP870" s="30">
        <v>1</v>
      </c>
      <c r="AQ870" s="30">
        <v>1</v>
      </c>
      <c r="AR870" s="50">
        <v>8.1059522893420499E-2</v>
      </c>
      <c r="AS870" s="34">
        <v>0</v>
      </c>
      <c r="AT870" s="34">
        <v>0</v>
      </c>
      <c r="AU870" s="34">
        <v>0</v>
      </c>
      <c r="AV870" s="34">
        <v>0</v>
      </c>
      <c r="AW870" s="10"/>
      <c r="AX870" s="8"/>
    </row>
    <row r="871" spans="1:50">
      <c r="A871" s="7"/>
      <c r="B871" s="10"/>
      <c r="C871" s="45" t="s">
        <v>688</v>
      </c>
      <c r="D871" s="23" t="s">
        <v>21</v>
      </c>
      <c r="E871" s="68" t="s">
        <v>916</v>
      </c>
      <c r="F871" s="68" t="s">
        <v>916</v>
      </c>
      <c r="G871" s="68" t="s">
        <v>916</v>
      </c>
      <c r="H871" s="68" t="s">
        <v>916</v>
      </c>
      <c r="I871" s="25">
        <v>0.9</v>
      </c>
      <c r="J871" s="26">
        <v>0.94871794871794901</v>
      </c>
      <c r="K871" s="26">
        <v>0.84615384615384603</v>
      </c>
      <c r="L871" s="27">
        <v>0.90322580645161299</v>
      </c>
      <c r="M871" s="26">
        <v>0.89099526066350698</v>
      </c>
      <c r="N871" s="28">
        <v>0.9</v>
      </c>
      <c r="O871" s="26">
        <v>0.96504436676525995</v>
      </c>
      <c r="P871" s="26">
        <v>0.96218097447795803</v>
      </c>
      <c r="Q871" s="26">
        <v>0.95661450924608804</v>
      </c>
      <c r="R871" s="26">
        <v>0.96044889954238399</v>
      </c>
      <c r="S871" s="28">
        <v>0.9</v>
      </c>
      <c r="T871" s="26">
        <v>0.92497983328851796</v>
      </c>
      <c r="U871" s="26">
        <v>0.92018561484918804</v>
      </c>
      <c r="V871" s="26">
        <v>0.93812233285917501</v>
      </c>
      <c r="W871" s="26">
        <v>0.92187840488123796</v>
      </c>
      <c r="X871" s="28">
        <v>0.92</v>
      </c>
      <c r="Y871" s="28">
        <v>0.92941176470588205</v>
      </c>
      <c r="Z871" s="28">
        <v>0.934782608695652</v>
      </c>
      <c r="AA871" s="28">
        <v>0.91737545565006096</v>
      </c>
      <c r="AB871" s="28">
        <v>0.93221117061974001</v>
      </c>
      <c r="AC871" s="28">
        <v>0.92</v>
      </c>
      <c r="AD871" s="26">
        <v>0.97099347353154497</v>
      </c>
      <c r="AE871" s="26">
        <v>0.99297629499561002</v>
      </c>
      <c r="AF871" s="26">
        <v>0.98611914401388101</v>
      </c>
      <c r="AG871" s="26">
        <v>0.98484629816712399</v>
      </c>
      <c r="AH871" s="28">
        <v>0.92</v>
      </c>
      <c r="AI871" s="26">
        <v>0.959162520729685</v>
      </c>
      <c r="AJ871" s="26">
        <v>0.96611927398444297</v>
      </c>
      <c r="AK871" s="26">
        <v>0.96059113300492605</v>
      </c>
      <c r="AL871" s="26">
        <v>0.96403050983540794</v>
      </c>
      <c r="AM871" s="25">
        <v>0.99</v>
      </c>
      <c r="AN871" s="30">
        <v>1</v>
      </c>
      <c r="AO871" s="30">
        <v>1</v>
      </c>
      <c r="AP871" s="30">
        <v>1</v>
      </c>
      <c r="AQ871" s="30">
        <v>1</v>
      </c>
      <c r="AR871" s="50">
        <v>8.1059522893420499E-2</v>
      </c>
      <c r="AS871" s="34">
        <v>0</v>
      </c>
      <c r="AT871" s="34">
        <v>0.115384615384615</v>
      </c>
      <c r="AU871" s="34">
        <v>0</v>
      </c>
      <c r="AV871" s="34">
        <v>4.08163265306122E-2</v>
      </c>
      <c r="AW871" s="10"/>
      <c r="AX871" s="8"/>
    </row>
    <row r="872" spans="1:50">
      <c r="A872" s="7"/>
      <c r="B872" s="10"/>
      <c r="C872" s="45" t="s">
        <v>688</v>
      </c>
      <c r="D872" s="23" t="s">
        <v>21</v>
      </c>
      <c r="E872" s="68" t="s">
        <v>917</v>
      </c>
      <c r="F872" s="68" t="s">
        <v>917</v>
      </c>
      <c r="G872" s="68" t="s">
        <v>917</v>
      </c>
      <c r="H872" s="68" t="s">
        <v>917</v>
      </c>
      <c r="I872" s="25">
        <v>0.9</v>
      </c>
      <c r="J872" s="26">
        <v>0.93333333333333302</v>
      </c>
      <c r="K872" s="26">
        <v>0.82978723404255295</v>
      </c>
      <c r="L872" s="27">
        <v>0.94285714285714295</v>
      </c>
      <c r="M872" s="26">
        <v>0.90573770491803296</v>
      </c>
      <c r="N872" s="28">
        <v>0.9</v>
      </c>
      <c r="O872" s="26">
        <v>0.96833636127692702</v>
      </c>
      <c r="P872" s="26">
        <v>0.96818493934538796</v>
      </c>
      <c r="Q872" s="26">
        <v>0.97498474679682701</v>
      </c>
      <c r="R872" s="26">
        <v>0.971216813036195</v>
      </c>
      <c r="S872" s="28">
        <v>0.9</v>
      </c>
      <c r="T872" s="26">
        <v>0.93303919024137005</v>
      </c>
      <c r="U872" s="26">
        <v>0.95422293430991101</v>
      </c>
      <c r="V872" s="26">
        <v>0.95668090298962805</v>
      </c>
      <c r="W872" s="26">
        <v>0.95167267373978404</v>
      </c>
      <c r="X872" s="28">
        <v>0.92</v>
      </c>
      <c r="Y872" s="28">
        <v>0.92706502636203902</v>
      </c>
      <c r="Z872" s="28">
        <v>0.934954007884363</v>
      </c>
      <c r="AA872" s="28">
        <v>0.91926803013993497</v>
      </c>
      <c r="AB872" s="28">
        <v>0.928439585403947</v>
      </c>
      <c r="AC872" s="28">
        <v>0.92</v>
      </c>
      <c r="AD872" s="26">
        <v>0.99344656947973797</v>
      </c>
      <c r="AE872" s="26">
        <v>0.98887004451982197</v>
      </c>
      <c r="AF872" s="26">
        <v>0.99101332506972395</v>
      </c>
      <c r="AG872" s="26">
        <v>0.99023570996152899</v>
      </c>
      <c r="AH872" s="28">
        <v>0.92</v>
      </c>
      <c r="AI872" s="26">
        <v>0.96814265678220801</v>
      </c>
      <c r="AJ872" s="26">
        <v>0.97336726039016097</v>
      </c>
      <c r="AK872" s="26">
        <v>0.96302063059556198</v>
      </c>
      <c r="AL872" s="26">
        <v>0.97114234449760795</v>
      </c>
      <c r="AM872" s="25">
        <v>0.99</v>
      </c>
      <c r="AN872" s="30">
        <v>1</v>
      </c>
      <c r="AO872" s="30">
        <v>1</v>
      </c>
      <c r="AP872" s="30">
        <v>1</v>
      </c>
      <c r="AQ872" s="30">
        <v>1</v>
      </c>
      <c r="AR872" s="50">
        <v>8.1059522893420499E-2</v>
      </c>
      <c r="AS872" s="34">
        <v>0</v>
      </c>
      <c r="AT872" s="34">
        <v>0.16666666666666699</v>
      </c>
      <c r="AU872" s="34">
        <v>0</v>
      </c>
      <c r="AV872" s="34">
        <v>3.3333333333333298E-2</v>
      </c>
      <c r="AW872" s="10"/>
      <c r="AX872" s="8"/>
    </row>
    <row r="873" spans="1:50">
      <c r="A873" s="7"/>
      <c r="B873" s="10"/>
      <c r="C873" s="45" t="s">
        <v>688</v>
      </c>
      <c r="D873" s="23" t="s">
        <v>21</v>
      </c>
      <c r="E873" s="68" t="s">
        <v>918</v>
      </c>
      <c r="F873" s="68" t="s">
        <v>918</v>
      </c>
      <c r="G873" s="68" t="s">
        <v>918</v>
      </c>
      <c r="H873" s="68" t="s">
        <v>918</v>
      </c>
      <c r="I873" s="25">
        <v>0.9</v>
      </c>
      <c r="J873" s="26">
        <v>0.89285714285714302</v>
      </c>
      <c r="K873" s="26">
        <v>0.96551724137931005</v>
      </c>
      <c r="L873" s="27">
        <v>0.9</v>
      </c>
      <c r="M873" s="26">
        <v>0.927152317880795</v>
      </c>
      <c r="N873" s="28">
        <v>0.9</v>
      </c>
      <c r="O873" s="26">
        <v>0.97488226059654604</v>
      </c>
      <c r="P873" s="26">
        <v>0.967511238250919</v>
      </c>
      <c r="Q873" s="26">
        <v>0.973319103521878</v>
      </c>
      <c r="R873" s="26">
        <v>0.969457371345954</v>
      </c>
      <c r="S873" s="28">
        <v>0.9</v>
      </c>
      <c r="T873" s="26">
        <v>0.92307692307692302</v>
      </c>
      <c r="U873" s="26">
        <v>0.92357989374744598</v>
      </c>
      <c r="V873" s="26">
        <v>0.94717182497331898</v>
      </c>
      <c r="W873" s="26">
        <v>0.92536032169159199</v>
      </c>
      <c r="X873" s="28">
        <v>0.92</v>
      </c>
      <c r="Y873" s="28">
        <v>0.95535026943802903</v>
      </c>
      <c r="Z873" s="28">
        <v>0.95811518324607303</v>
      </c>
      <c r="AA873" s="28">
        <v>0.93554006968641101</v>
      </c>
      <c r="AB873" s="28">
        <v>0.95110893272883201</v>
      </c>
      <c r="AC873" s="28">
        <v>0.92</v>
      </c>
      <c r="AD873" s="26">
        <v>0.99692393736017904</v>
      </c>
      <c r="AE873" s="26">
        <v>0.99602239245727797</v>
      </c>
      <c r="AF873" s="26">
        <v>0.99671466517545104</v>
      </c>
      <c r="AG873" s="26">
        <v>0.99673489890744704</v>
      </c>
      <c r="AH873" s="28">
        <v>0.92</v>
      </c>
      <c r="AI873" s="26">
        <v>0.98089946171210296</v>
      </c>
      <c r="AJ873" s="26">
        <v>0.97708914671757996</v>
      </c>
      <c r="AK873" s="26">
        <v>0.96791266953357602</v>
      </c>
      <c r="AL873" s="26">
        <v>0.97747138569119596</v>
      </c>
      <c r="AM873" s="25">
        <v>0.99</v>
      </c>
      <c r="AN873" s="30">
        <v>1</v>
      </c>
      <c r="AO873" s="30">
        <v>1</v>
      </c>
      <c r="AP873" s="30">
        <v>1</v>
      </c>
      <c r="AQ873" s="30">
        <v>1</v>
      </c>
      <c r="AR873" s="50">
        <v>8.1059522893420499E-2</v>
      </c>
      <c r="AS873" s="34">
        <v>0</v>
      </c>
      <c r="AT873" s="34">
        <v>7.69230769230769E-2</v>
      </c>
      <c r="AU873" s="34">
        <v>0</v>
      </c>
      <c r="AV873" s="34">
        <v>7.69230769230769E-2</v>
      </c>
      <c r="AW873" s="10"/>
      <c r="AX873" s="8"/>
    </row>
    <row r="874" spans="1:50">
      <c r="A874" s="7"/>
      <c r="B874" s="10"/>
      <c r="C874" s="45" t="s">
        <v>688</v>
      </c>
      <c r="D874" s="23" t="s">
        <v>21</v>
      </c>
      <c r="E874" s="68" t="s">
        <v>919</v>
      </c>
      <c r="F874" s="68" t="s">
        <v>919</v>
      </c>
      <c r="G874" s="68" t="s">
        <v>919</v>
      </c>
      <c r="H874" s="68" t="s">
        <v>919</v>
      </c>
      <c r="I874" s="25">
        <v>0.9</v>
      </c>
      <c r="J874" s="26">
        <v>0.95652173913043503</v>
      </c>
      <c r="K874" s="26">
        <v>0.98039215686274495</v>
      </c>
      <c r="L874" s="27">
        <v>1</v>
      </c>
      <c r="M874" s="26">
        <v>0.97378277153558102</v>
      </c>
      <c r="N874" s="28">
        <v>0.9</v>
      </c>
      <c r="O874" s="26">
        <v>0.98141847683852401</v>
      </c>
      <c r="P874" s="26">
        <v>0.97828054298642497</v>
      </c>
      <c r="Q874" s="26">
        <v>0.980926430517711</v>
      </c>
      <c r="R874" s="26">
        <v>0.97709089102022595</v>
      </c>
      <c r="S874" s="28">
        <v>0.9</v>
      </c>
      <c r="T874" s="26">
        <v>0.96833289714734405</v>
      </c>
      <c r="U874" s="26">
        <v>0.95882352941176496</v>
      </c>
      <c r="V874" s="26">
        <v>0.96076294277929197</v>
      </c>
      <c r="W874" s="26">
        <v>0.96441882423097902</v>
      </c>
      <c r="X874" s="28">
        <v>0.92</v>
      </c>
      <c r="Y874" s="28">
        <v>0.96293706293706305</v>
      </c>
      <c r="Z874" s="28">
        <v>0.97320471596998903</v>
      </c>
      <c r="AA874" s="28">
        <v>0.95673876871880204</v>
      </c>
      <c r="AB874" s="28">
        <v>0.96727315689981097</v>
      </c>
      <c r="AC874" s="28">
        <v>0.92</v>
      </c>
      <c r="AD874" s="26">
        <v>0.99707751542422396</v>
      </c>
      <c r="AE874" s="26">
        <v>0.996258185219832</v>
      </c>
      <c r="AF874" s="26">
        <v>0.99645878418256895</v>
      </c>
      <c r="AG874" s="26">
        <v>0.99536882449441799</v>
      </c>
      <c r="AH874" s="28">
        <v>0.92</v>
      </c>
      <c r="AI874" s="26">
        <v>0.98495524661969103</v>
      </c>
      <c r="AJ874" s="26">
        <v>0.98329621380846299</v>
      </c>
      <c r="AK874" s="26">
        <v>0.97531270572745199</v>
      </c>
      <c r="AL874" s="26">
        <v>0.98279359306148095</v>
      </c>
      <c r="AM874" s="25">
        <v>0.99</v>
      </c>
      <c r="AN874" s="30">
        <v>1</v>
      </c>
      <c r="AO874" s="30">
        <v>1</v>
      </c>
      <c r="AP874" s="30">
        <v>1</v>
      </c>
      <c r="AQ874" s="30">
        <v>1</v>
      </c>
      <c r="AR874" s="50">
        <v>8.1059522893420499E-2</v>
      </c>
      <c r="AS874" s="34">
        <v>0</v>
      </c>
      <c r="AT874" s="34">
        <v>0</v>
      </c>
      <c r="AU874" s="34">
        <v>7.69230769230769E-2</v>
      </c>
      <c r="AV874" s="34">
        <v>5.5555555555555601E-2</v>
      </c>
      <c r="AW874" s="10"/>
      <c r="AX874" s="8"/>
    </row>
    <row r="875" spans="1:50">
      <c r="A875" s="7"/>
      <c r="B875" s="10"/>
      <c r="C875" s="45" t="s">
        <v>688</v>
      </c>
      <c r="D875" s="23" t="s">
        <v>21</v>
      </c>
      <c r="E875" s="68" t="s">
        <v>920</v>
      </c>
      <c r="F875" s="68" t="s">
        <v>920</v>
      </c>
      <c r="G875" s="68" t="s">
        <v>920</v>
      </c>
      <c r="H875" s="68" t="s">
        <v>920</v>
      </c>
      <c r="I875" s="25">
        <v>0.9</v>
      </c>
      <c r="J875" s="26">
        <v>0.96969696969696995</v>
      </c>
      <c r="K875" s="26">
        <v>0.891891891891892</v>
      </c>
      <c r="L875" s="27">
        <v>0.92307692307692302</v>
      </c>
      <c r="M875" s="26">
        <v>0.92631578947368398</v>
      </c>
      <c r="N875" s="28">
        <v>0.9</v>
      </c>
      <c r="O875" s="26">
        <v>0.97753510140405597</v>
      </c>
      <c r="P875" s="26">
        <v>0.98057994147379601</v>
      </c>
      <c r="Q875" s="26">
        <v>0.98086522462562398</v>
      </c>
      <c r="R875" s="26">
        <v>0.98109549200193902</v>
      </c>
      <c r="S875" s="28">
        <v>0.9</v>
      </c>
      <c r="T875" s="26">
        <v>0.96131045241809698</v>
      </c>
      <c r="U875" s="26">
        <v>0.962223995743549</v>
      </c>
      <c r="V875" s="26">
        <v>0.96505823627287901</v>
      </c>
      <c r="W875" s="26">
        <v>0.96170625302956902</v>
      </c>
      <c r="X875" s="28">
        <v>0.92</v>
      </c>
      <c r="Y875" s="28">
        <v>0.92949354518371397</v>
      </c>
      <c r="Z875" s="28">
        <v>0.95348837209302295</v>
      </c>
      <c r="AA875" s="28">
        <v>0.91232876712328803</v>
      </c>
      <c r="AB875" s="28">
        <v>0.93865881129786899</v>
      </c>
      <c r="AC875" s="28">
        <v>0.92</v>
      </c>
      <c r="AD875" s="26">
        <v>0.96744186046511604</v>
      </c>
      <c r="AE875" s="26">
        <v>0.993670886075949</v>
      </c>
      <c r="AF875" s="26">
        <v>0.97854077253218896</v>
      </c>
      <c r="AG875" s="26">
        <v>0.98242530755711799</v>
      </c>
      <c r="AH875" s="28">
        <v>0.92</v>
      </c>
      <c r="AI875" s="26">
        <v>0.97412155745489104</v>
      </c>
      <c r="AJ875" s="26">
        <v>0.98036520714706499</v>
      </c>
      <c r="AK875" s="26">
        <v>0.95809622348680801</v>
      </c>
      <c r="AL875" s="26">
        <v>0.97679637359185001</v>
      </c>
      <c r="AM875" s="25">
        <v>0.99</v>
      </c>
      <c r="AN875" s="30">
        <v>1</v>
      </c>
      <c r="AO875" s="30">
        <v>1</v>
      </c>
      <c r="AP875" s="30">
        <v>1</v>
      </c>
      <c r="AQ875" s="30">
        <v>1</v>
      </c>
      <c r="AR875" s="50">
        <v>8.1059522893420499E-2</v>
      </c>
      <c r="AS875" s="34">
        <v>6.25E-2</v>
      </c>
      <c r="AT875" s="34">
        <v>0</v>
      </c>
      <c r="AU875" s="34">
        <v>0</v>
      </c>
      <c r="AV875" s="34">
        <v>6.5789473684210495E-2</v>
      </c>
      <c r="AW875" s="10"/>
      <c r="AX875" s="8"/>
    </row>
    <row r="876" spans="1:50">
      <c r="A876" s="7"/>
      <c r="B876" s="10"/>
      <c r="C876" s="45" t="s">
        <v>688</v>
      </c>
      <c r="D876" s="23" t="s">
        <v>21</v>
      </c>
      <c r="E876" s="68" t="s">
        <v>921</v>
      </c>
      <c r="F876" s="68" t="s">
        <v>921</v>
      </c>
      <c r="G876" s="68" t="s">
        <v>921</v>
      </c>
      <c r="H876" s="68" t="s">
        <v>921</v>
      </c>
      <c r="I876" s="25">
        <v>0.9</v>
      </c>
      <c r="J876" s="26">
        <v>0.88135593220339004</v>
      </c>
      <c r="K876" s="26">
        <v>0.81967213114754101</v>
      </c>
      <c r="L876" s="27">
        <v>0.95121951219512202</v>
      </c>
      <c r="M876" s="26">
        <v>0.866261398176292</v>
      </c>
      <c r="N876" s="28">
        <v>0.9</v>
      </c>
      <c r="O876" s="26">
        <v>0.95034811286185406</v>
      </c>
      <c r="P876" s="26">
        <v>0.94509421702404195</v>
      </c>
      <c r="Q876" s="26">
        <v>0.95186640471512796</v>
      </c>
      <c r="R876" s="26">
        <v>0.94736842105263197</v>
      </c>
      <c r="S876" s="28">
        <v>0.9</v>
      </c>
      <c r="T876" s="26">
        <v>0.92286551850494702</v>
      </c>
      <c r="U876" s="26">
        <v>0.91585445094217</v>
      </c>
      <c r="V876" s="26">
        <v>0.91257367387033395</v>
      </c>
      <c r="W876" s="26">
        <v>0.91751822144086703</v>
      </c>
      <c r="X876" s="28">
        <v>0.92</v>
      </c>
      <c r="Y876" s="28">
        <v>0.92770352369380304</v>
      </c>
      <c r="Z876" s="28">
        <v>0.92437764208548601</v>
      </c>
      <c r="AA876" s="28">
        <v>0.89863234111021695</v>
      </c>
      <c r="AB876" s="28">
        <v>0.92607911761586603</v>
      </c>
      <c r="AC876" s="28">
        <v>0.92</v>
      </c>
      <c r="AD876" s="26">
        <v>0.94308943089430897</v>
      </c>
      <c r="AE876" s="26">
        <v>0.99033816425120802</v>
      </c>
      <c r="AF876" s="26">
        <v>0.99201277955271605</v>
      </c>
      <c r="AG876" s="26">
        <v>0.98435619735258695</v>
      </c>
      <c r="AH876" s="28">
        <v>0.92</v>
      </c>
      <c r="AI876" s="26">
        <v>0.96805516464959196</v>
      </c>
      <c r="AJ876" s="26">
        <v>0.96720125406969704</v>
      </c>
      <c r="AK876" s="26">
        <v>0.94518879415347101</v>
      </c>
      <c r="AL876" s="26">
        <v>0.96624047878128405</v>
      </c>
      <c r="AM876" s="25">
        <v>0.99</v>
      </c>
      <c r="AN876" s="30">
        <v>1</v>
      </c>
      <c r="AO876" s="30">
        <v>1</v>
      </c>
      <c r="AP876" s="30">
        <v>1</v>
      </c>
      <c r="AQ876" s="30">
        <v>1</v>
      </c>
      <c r="AR876" s="50">
        <v>8.1059522893420499E-2</v>
      </c>
      <c r="AS876" s="34">
        <v>7.4074074074074098E-2</v>
      </c>
      <c r="AT876" s="34">
        <v>9.375E-2</v>
      </c>
      <c r="AU876" s="34">
        <v>0.125</v>
      </c>
      <c r="AV876" s="34">
        <v>0.106870229007634</v>
      </c>
      <c r="AW876" s="10"/>
      <c r="AX876" s="8"/>
    </row>
    <row r="877" spans="1:50">
      <c r="A877" s="7"/>
      <c r="B877" s="10"/>
      <c r="C877" s="45" t="s">
        <v>688</v>
      </c>
      <c r="D877" s="23" t="s">
        <v>21</v>
      </c>
      <c r="E877" s="68" t="s">
        <v>922</v>
      </c>
      <c r="F877" s="68" t="s">
        <v>922</v>
      </c>
      <c r="G877" s="68" t="s">
        <v>922</v>
      </c>
      <c r="H877" s="68" t="s">
        <v>922</v>
      </c>
      <c r="I877" s="25">
        <v>0.9</v>
      </c>
      <c r="J877" s="26">
        <v>0.86363636363636398</v>
      </c>
      <c r="K877" s="26">
        <v>0.81818181818181801</v>
      </c>
      <c r="L877" s="27">
        <v>0.85294117647058798</v>
      </c>
      <c r="M877" s="26">
        <v>0.86610878661087898</v>
      </c>
      <c r="N877" s="28">
        <v>0.9</v>
      </c>
      <c r="O877" s="26">
        <v>0.96836346336822099</v>
      </c>
      <c r="P877" s="26">
        <v>0.94823529411764695</v>
      </c>
      <c r="Q877" s="26">
        <v>0.95482431678750701</v>
      </c>
      <c r="R877" s="26">
        <v>0.94904516245814097</v>
      </c>
      <c r="S877" s="28">
        <v>0.9</v>
      </c>
      <c r="T877" s="26">
        <v>0.940532825880114</v>
      </c>
      <c r="U877" s="26">
        <v>0.94176470588235295</v>
      </c>
      <c r="V877" s="26">
        <v>0.90407138873396498</v>
      </c>
      <c r="W877" s="26">
        <v>0.92945062901620101</v>
      </c>
      <c r="X877" s="28">
        <v>0.92</v>
      </c>
      <c r="Y877" s="28">
        <v>0.947449768160742</v>
      </c>
      <c r="Z877" s="28">
        <v>0.936254980079681</v>
      </c>
      <c r="AA877" s="28">
        <v>0.90010298661174004</v>
      </c>
      <c r="AB877" s="28">
        <v>0.93286033372749999</v>
      </c>
      <c r="AC877" s="28">
        <v>0.92</v>
      </c>
      <c r="AD877" s="26">
        <v>0.996452103395844</v>
      </c>
      <c r="AE877" s="26">
        <v>0.99737670514165799</v>
      </c>
      <c r="AF877" s="26">
        <v>0.99768058316766095</v>
      </c>
      <c r="AG877" s="26">
        <v>0.99715261958997703</v>
      </c>
      <c r="AH877" s="28">
        <v>0.92</v>
      </c>
      <c r="AI877" s="26">
        <v>0.97599126955256499</v>
      </c>
      <c r="AJ877" s="26">
        <v>0.97259874653840594</v>
      </c>
      <c r="AK877" s="26">
        <v>0.95339595375722497</v>
      </c>
      <c r="AL877" s="26">
        <v>0.97120366009553905</v>
      </c>
      <c r="AM877" s="25">
        <v>0.99</v>
      </c>
      <c r="AN877" s="30">
        <v>1</v>
      </c>
      <c r="AO877" s="30">
        <v>1</v>
      </c>
      <c r="AP877" s="30">
        <v>1</v>
      </c>
      <c r="AQ877" s="30">
        <v>1</v>
      </c>
      <c r="AR877" s="50">
        <v>8.1059522893420499E-2</v>
      </c>
      <c r="AS877" s="34">
        <v>0</v>
      </c>
      <c r="AT877" s="34">
        <v>3.3333333333333298E-2</v>
      </c>
      <c r="AU877" s="34">
        <v>3.7037037037037E-2</v>
      </c>
      <c r="AV877" s="34">
        <v>2.2988505747126398E-2</v>
      </c>
      <c r="AW877" s="10"/>
      <c r="AX877" s="8"/>
    </row>
    <row r="878" spans="1:50">
      <c r="A878" s="7"/>
      <c r="B878" s="10"/>
      <c r="C878" s="45" t="s">
        <v>688</v>
      </c>
      <c r="D878" s="23" t="s">
        <v>21</v>
      </c>
      <c r="E878" s="68" t="s">
        <v>923</v>
      </c>
      <c r="F878" s="68" t="s">
        <v>923</v>
      </c>
      <c r="G878" s="68" t="s">
        <v>923</v>
      </c>
      <c r="H878" s="68" t="s">
        <v>923</v>
      </c>
      <c r="I878" s="25">
        <v>0.9</v>
      </c>
      <c r="J878" s="26">
        <v>1</v>
      </c>
      <c r="K878" s="26">
        <v>1</v>
      </c>
      <c r="L878" s="27">
        <v>1</v>
      </c>
      <c r="M878" s="26">
        <v>0.98989898989898994</v>
      </c>
      <c r="N878" s="28">
        <v>0.9</v>
      </c>
      <c r="O878" s="26">
        <v>0.97637248088950701</v>
      </c>
      <c r="P878" s="26">
        <v>0.97583429228998897</v>
      </c>
      <c r="Q878" s="26">
        <v>0.98322147651006697</v>
      </c>
      <c r="R878" s="26">
        <v>0.97522674969541101</v>
      </c>
      <c r="S878" s="28">
        <v>0.9</v>
      </c>
      <c r="T878" s="26">
        <v>0.95274496177901302</v>
      </c>
      <c r="U878" s="26">
        <v>0.94879171461449896</v>
      </c>
      <c r="V878" s="26">
        <v>0.971476510067114</v>
      </c>
      <c r="W878" s="26">
        <v>0.939352917287126</v>
      </c>
      <c r="X878" s="28">
        <v>0.92</v>
      </c>
      <c r="Y878" s="28">
        <v>0.935926773455378</v>
      </c>
      <c r="Z878" s="28">
        <v>0.93311036789297697</v>
      </c>
      <c r="AA878" s="28">
        <v>0.90936555891238702</v>
      </c>
      <c r="AB878" s="28">
        <v>0.93918398768283295</v>
      </c>
      <c r="AC878" s="28">
        <v>0.92</v>
      </c>
      <c r="AD878" s="26">
        <v>0.99591836734693895</v>
      </c>
      <c r="AE878" s="26">
        <v>0.99502487562189101</v>
      </c>
      <c r="AF878" s="26">
        <v>0.99803149606299202</v>
      </c>
      <c r="AG878" s="26">
        <v>0.99688473520249199</v>
      </c>
      <c r="AH878" s="28">
        <v>0.92</v>
      </c>
      <c r="AI878" s="26">
        <v>0.97069792221630302</v>
      </c>
      <c r="AJ878" s="26">
        <v>0.97091531223267702</v>
      </c>
      <c r="AK878" s="26">
        <v>0.96224379719525399</v>
      </c>
      <c r="AL878" s="26">
        <v>0.97236960656722404</v>
      </c>
      <c r="AM878" s="25">
        <v>0.99</v>
      </c>
      <c r="AN878" s="30">
        <v>1</v>
      </c>
      <c r="AO878" s="30">
        <v>1</v>
      </c>
      <c r="AP878" s="30">
        <v>1</v>
      </c>
      <c r="AQ878" s="30">
        <v>1</v>
      </c>
      <c r="AR878" s="50">
        <v>8.1059522893420499E-2</v>
      </c>
      <c r="AS878" s="34">
        <v>0</v>
      </c>
      <c r="AT878" s="34">
        <v>0</v>
      </c>
      <c r="AU878" s="34">
        <v>0</v>
      </c>
      <c r="AV878" s="34">
        <v>2.27272727272727E-2</v>
      </c>
      <c r="AW878" s="10"/>
      <c r="AX878" s="8"/>
    </row>
    <row r="879" spans="1:50">
      <c r="A879" s="7"/>
      <c r="B879" s="10"/>
      <c r="C879" s="45" t="s">
        <v>688</v>
      </c>
      <c r="D879" s="23" t="s">
        <v>21</v>
      </c>
      <c r="E879" s="68" t="s">
        <v>924</v>
      </c>
      <c r="F879" s="68" t="s">
        <v>924</v>
      </c>
      <c r="G879" s="68" t="s">
        <v>924</v>
      </c>
      <c r="H879" s="68" t="s">
        <v>924</v>
      </c>
      <c r="I879" s="25">
        <v>0.9</v>
      </c>
      <c r="J879" s="26">
        <v>0.80555555555555602</v>
      </c>
      <c r="K879" s="26">
        <v>0.81081081081081097</v>
      </c>
      <c r="L879" s="27">
        <v>0.8</v>
      </c>
      <c r="M879" s="26">
        <v>0.81151832460732998</v>
      </c>
      <c r="N879" s="28">
        <v>0.9</v>
      </c>
      <c r="O879" s="26">
        <v>0.97817014446227901</v>
      </c>
      <c r="P879" s="26">
        <v>0.981111710739342</v>
      </c>
      <c r="Q879" s="26">
        <v>0.985086342229199</v>
      </c>
      <c r="R879" s="26">
        <v>0.97948464437990501</v>
      </c>
      <c r="S879" s="28">
        <v>0.9</v>
      </c>
      <c r="T879" s="26">
        <v>0.97014446227929396</v>
      </c>
      <c r="U879" s="26">
        <v>0.96195358877495996</v>
      </c>
      <c r="V879" s="26">
        <v>0.97017268445839899</v>
      </c>
      <c r="W879" s="26">
        <v>0.96737316937526996</v>
      </c>
      <c r="X879" s="28">
        <v>0.92</v>
      </c>
      <c r="Y879" s="28">
        <v>0.97249724972497298</v>
      </c>
      <c r="Z879" s="28">
        <v>0.97119999999999995</v>
      </c>
      <c r="AA879" s="28">
        <v>0.95491803278688503</v>
      </c>
      <c r="AB879" s="28">
        <v>0.97197587797091201</v>
      </c>
      <c r="AC879" s="28">
        <v>0.92</v>
      </c>
      <c r="AD879" s="26">
        <v>1</v>
      </c>
      <c r="AE879" s="26">
        <v>1</v>
      </c>
      <c r="AF879" s="26">
        <v>0.99733333333333296</v>
      </c>
      <c r="AG879" s="26">
        <v>0.99953596287702995</v>
      </c>
      <c r="AH879" s="28">
        <v>0.92</v>
      </c>
      <c r="AI879" s="26">
        <v>0.98981366459627296</v>
      </c>
      <c r="AJ879" s="26">
        <v>0.98971359419120597</v>
      </c>
      <c r="AK879" s="26">
        <v>0.98161947342275202</v>
      </c>
      <c r="AL879" s="26">
        <v>0.98941920117259097</v>
      </c>
      <c r="AM879" s="25">
        <v>0.99</v>
      </c>
      <c r="AN879" s="30">
        <v>1</v>
      </c>
      <c r="AO879" s="30">
        <v>1</v>
      </c>
      <c r="AP879" s="30">
        <v>1</v>
      </c>
      <c r="AQ879" s="30">
        <v>1</v>
      </c>
      <c r="AR879" s="50">
        <v>8.1059522893420499E-2</v>
      </c>
      <c r="AS879" s="34">
        <v>0</v>
      </c>
      <c r="AT879" s="34">
        <v>5.5555555555555601E-2</v>
      </c>
      <c r="AU879" s="34">
        <v>0</v>
      </c>
      <c r="AV879" s="34">
        <v>2.1739130434782601E-2</v>
      </c>
      <c r="AW879" s="10"/>
      <c r="AX879" s="8"/>
    </row>
    <row r="880" spans="1:50">
      <c r="A880" s="7"/>
      <c r="B880" s="10"/>
      <c r="C880" s="45" t="s">
        <v>688</v>
      </c>
      <c r="D880" s="23" t="s">
        <v>21</v>
      </c>
      <c r="E880" s="68" t="s">
        <v>925</v>
      </c>
      <c r="F880" s="68" t="s">
        <v>925</v>
      </c>
      <c r="G880" s="68" t="s">
        <v>925</v>
      </c>
      <c r="H880" s="68" t="s">
        <v>925</v>
      </c>
      <c r="I880" s="25">
        <v>0.9</v>
      </c>
      <c r="J880" s="26">
        <v>1</v>
      </c>
      <c r="K880" s="26">
        <v>1</v>
      </c>
      <c r="L880" s="27">
        <v>0.952380952380952</v>
      </c>
      <c r="M880" s="26">
        <v>0.98601398601398604</v>
      </c>
      <c r="N880" s="28">
        <v>0.9</v>
      </c>
      <c r="O880" s="26">
        <v>0.96182822702159698</v>
      </c>
      <c r="P880" s="26">
        <v>0.96798245614035106</v>
      </c>
      <c r="Q880" s="26">
        <v>0.95989304812834197</v>
      </c>
      <c r="R880" s="26">
        <v>0.963407196584672</v>
      </c>
      <c r="S880" s="28">
        <v>0.9</v>
      </c>
      <c r="T880" s="26">
        <v>0.950276243093923</v>
      </c>
      <c r="U880" s="26">
        <v>0.95657894736842097</v>
      </c>
      <c r="V880" s="26">
        <v>0.94786096256684504</v>
      </c>
      <c r="W880" s="26">
        <v>0.952022768855458</v>
      </c>
      <c r="X880" s="28">
        <v>0.92</v>
      </c>
      <c r="Y880" s="28">
        <v>0.93474426807760103</v>
      </c>
      <c r="Z880" s="28">
        <v>0.93880208333333304</v>
      </c>
      <c r="AA880" s="28">
        <v>0.90309278350515498</v>
      </c>
      <c r="AB880" s="28">
        <v>0.93841807909604502</v>
      </c>
      <c r="AC880" s="28">
        <v>0.92</v>
      </c>
      <c r="AD880" s="26">
        <v>0.99908340971585696</v>
      </c>
      <c r="AE880" s="26">
        <v>0.99832355406538098</v>
      </c>
      <c r="AF880" s="26">
        <v>1</v>
      </c>
      <c r="AG880" s="26">
        <v>0.99852832965415705</v>
      </c>
      <c r="AH880" s="28">
        <v>0.92</v>
      </c>
      <c r="AI880" s="26">
        <v>0.97185301016419101</v>
      </c>
      <c r="AJ880" s="26">
        <v>0.97572178477690297</v>
      </c>
      <c r="AK880" s="26">
        <v>0.95222672064777303</v>
      </c>
      <c r="AL880" s="26">
        <v>0.97541106128550104</v>
      </c>
      <c r="AM880" s="25">
        <v>0.99</v>
      </c>
      <c r="AN880" s="30">
        <v>0</v>
      </c>
      <c r="AO880" s="30">
        <v>0</v>
      </c>
      <c r="AP880" s="30">
        <v>1</v>
      </c>
      <c r="AQ880" s="30">
        <v>1</v>
      </c>
      <c r="AR880" s="50">
        <v>8.1059522893420499E-2</v>
      </c>
      <c r="AS880" s="34">
        <v>-0.1</v>
      </c>
      <c r="AT880" s="34">
        <v>0</v>
      </c>
      <c r="AU880" s="34">
        <v>0</v>
      </c>
      <c r="AV880" s="34">
        <v>2.8571428571428598E-2</v>
      </c>
      <c r="AW880" s="10"/>
      <c r="AX880" s="8"/>
    </row>
    <row r="881" spans="1:50">
      <c r="A881" s="7"/>
      <c r="B881" s="10"/>
      <c r="C881" s="45" t="s">
        <v>688</v>
      </c>
      <c r="D881" s="23" t="s">
        <v>21</v>
      </c>
      <c r="E881" s="68" t="s">
        <v>926</v>
      </c>
      <c r="F881" s="68" t="s">
        <v>926</v>
      </c>
      <c r="G881" s="68" t="s">
        <v>926</v>
      </c>
      <c r="H881" s="68" t="s">
        <v>926</v>
      </c>
      <c r="I881" s="25">
        <v>0.9</v>
      </c>
      <c r="J881" s="26">
        <v>0.84615384615384603</v>
      </c>
      <c r="K881" s="26">
        <v>0.88888888888888895</v>
      </c>
      <c r="L881" s="27">
        <v>0.9</v>
      </c>
      <c r="M881" s="26">
        <v>0.86428571428571399</v>
      </c>
      <c r="N881" s="28">
        <v>0.9</v>
      </c>
      <c r="O881" s="26">
        <v>0.98992805755395696</v>
      </c>
      <c r="P881" s="26">
        <v>0.99545266639107099</v>
      </c>
      <c r="Q881" s="26">
        <v>0.98622273249138903</v>
      </c>
      <c r="R881" s="26">
        <v>0.983307897748951</v>
      </c>
      <c r="S881" s="28">
        <v>0.9</v>
      </c>
      <c r="T881" s="26">
        <v>0.96211031175059902</v>
      </c>
      <c r="U881" s="26">
        <v>0.96114096734187704</v>
      </c>
      <c r="V881" s="26">
        <v>0.95981630309988497</v>
      </c>
      <c r="W881" s="26">
        <v>0.95078214421976304</v>
      </c>
      <c r="X881" s="28">
        <v>0.92</v>
      </c>
      <c r="Y881" s="28">
        <v>0.96666666666666701</v>
      </c>
      <c r="Z881" s="28">
        <v>0.96076099881093902</v>
      </c>
      <c r="AA881" s="28">
        <v>0.93171806167400895</v>
      </c>
      <c r="AB881" s="28">
        <v>0.95141242937853099</v>
      </c>
      <c r="AC881" s="28">
        <v>0.92</v>
      </c>
      <c r="AD881" s="26">
        <v>1</v>
      </c>
      <c r="AE881" s="26">
        <v>1</v>
      </c>
      <c r="AF881" s="26">
        <v>1</v>
      </c>
      <c r="AG881" s="26">
        <v>1</v>
      </c>
      <c r="AH881" s="28">
        <v>0.92</v>
      </c>
      <c r="AI881" s="26">
        <v>0.98398510242085702</v>
      </c>
      <c r="AJ881" s="26">
        <v>0.98528510116492996</v>
      </c>
      <c r="AK881" s="26">
        <v>0.96377358490566001</v>
      </c>
      <c r="AL881" s="26">
        <v>0.97882805816937601</v>
      </c>
      <c r="AM881" s="25">
        <v>0.99</v>
      </c>
      <c r="AN881" s="30">
        <v>1</v>
      </c>
      <c r="AO881" s="30">
        <v>1</v>
      </c>
      <c r="AP881" s="30">
        <v>1</v>
      </c>
      <c r="AQ881" s="30">
        <v>1</v>
      </c>
      <c r="AR881" s="50">
        <v>8.1059522893420499E-2</v>
      </c>
      <c r="AS881" s="34">
        <v>0</v>
      </c>
      <c r="AT881" s="34">
        <v>0</v>
      </c>
      <c r="AU881" s="34">
        <v>0</v>
      </c>
      <c r="AV881" s="34">
        <v>2.3809523809523801E-2</v>
      </c>
      <c r="AW881" s="10"/>
      <c r="AX881" s="8"/>
    </row>
    <row r="882" spans="1:50">
      <c r="A882" s="7"/>
      <c r="B882" s="10"/>
      <c r="C882" s="45" t="s">
        <v>688</v>
      </c>
      <c r="D882" s="23" t="s">
        <v>21</v>
      </c>
      <c r="E882" s="68" t="s">
        <v>927</v>
      </c>
      <c r="F882" s="68" t="s">
        <v>927</v>
      </c>
      <c r="G882" s="68" t="s">
        <v>927</v>
      </c>
      <c r="H882" s="68" t="s">
        <v>927</v>
      </c>
      <c r="I882" s="25">
        <v>0.9</v>
      </c>
      <c r="J882" s="26">
        <v>0.85714285714285698</v>
      </c>
      <c r="K882" s="26">
        <v>0.89655172413793105</v>
      </c>
      <c r="L882" s="27">
        <v>0.85</v>
      </c>
      <c r="M882" s="26">
        <v>0.88235294117647101</v>
      </c>
      <c r="N882" s="28">
        <v>0.9</v>
      </c>
      <c r="O882" s="26">
        <v>0.93054024255788303</v>
      </c>
      <c r="P882" s="26">
        <v>0.93704379562043805</v>
      </c>
      <c r="Q882" s="26">
        <v>0.93917710196780002</v>
      </c>
      <c r="R882" s="26">
        <v>0.93627590122055104</v>
      </c>
      <c r="S882" s="28">
        <v>0.9</v>
      </c>
      <c r="T882" s="26">
        <v>0.87835354649026098</v>
      </c>
      <c r="U882" s="26">
        <v>0.91909975669099797</v>
      </c>
      <c r="V882" s="26">
        <v>0.94096601073345298</v>
      </c>
      <c r="W882" s="26">
        <v>0.91172296338348002</v>
      </c>
      <c r="X882" s="28">
        <v>0.92</v>
      </c>
      <c r="Y882" s="28">
        <v>0.92270531400966205</v>
      </c>
      <c r="Z882" s="28">
        <v>0.92235734331150598</v>
      </c>
      <c r="AA882" s="28">
        <v>0.89012738853503204</v>
      </c>
      <c r="AB882" s="28">
        <v>0.91774624717252695</v>
      </c>
      <c r="AC882" s="28">
        <v>0.92</v>
      </c>
      <c r="AD882" s="26">
        <v>0.99814471243042702</v>
      </c>
      <c r="AE882" s="26">
        <v>0.99459459459459498</v>
      </c>
      <c r="AF882" s="26">
        <v>0.99405646359583999</v>
      </c>
      <c r="AG882" s="26">
        <v>0.99010554089709801</v>
      </c>
      <c r="AH882" s="28">
        <v>0.92</v>
      </c>
      <c r="AI882" s="26">
        <v>0.95632572555649498</v>
      </c>
      <c r="AJ882" s="26">
        <v>0.96581784813030502</v>
      </c>
      <c r="AK882" s="26">
        <v>0.95142857142857096</v>
      </c>
      <c r="AL882" s="26">
        <v>0.96114508646140895</v>
      </c>
      <c r="AM882" s="25">
        <v>0.99</v>
      </c>
      <c r="AN882" s="30">
        <v>1</v>
      </c>
      <c r="AO882" s="30">
        <v>1</v>
      </c>
      <c r="AP882" s="30">
        <v>1</v>
      </c>
      <c r="AQ882" s="30">
        <v>1</v>
      </c>
      <c r="AR882" s="50">
        <v>8.1059522893420499E-2</v>
      </c>
      <c r="AS882" s="34">
        <v>0</v>
      </c>
      <c r="AT882" s="34">
        <v>8.3333333333333301E-2</v>
      </c>
      <c r="AU882" s="34">
        <v>0</v>
      </c>
      <c r="AV882" s="34">
        <v>1.58730158730159E-2</v>
      </c>
      <c r="AW882" s="10"/>
      <c r="AX882" s="8"/>
    </row>
    <row r="883" spans="1:50">
      <c r="A883" s="7"/>
      <c r="B883" s="10"/>
      <c r="C883" s="45" t="s">
        <v>688</v>
      </c>
      <c r="D883" s="23" t="s">
        <v>21</v>
      </c>
      <c r="E883" s="68" t="s">
        <v>928</v>
      </c>
      <c r="F883" s="68" t="s">
        <v>928</v>
      </c>
      <c r="G883" s="68" t="s">
        <v>928</v>
      </c>
      <c r="H883" s="68" t="s">
        <v>928</v>
      </c>
      <c r="I883" s="25">
        <v>0.9</v>
      </c>
      <c r="J883" s="26">
        <v>0.98305084745762705</v>
      </c>
      <c r="K883" s="26">
        <v>1</v>
      </c>
      <c r="L883" s="27">
        <v>1</v>
      </c>
      <c r="M883" s="26">
        <v>0.99415204678362601</v>
      </c>
      <c r="N883" s="28">
        <v>0.9</v>
      </c>
      <c r="O883" s="26">
        <v>0.97048192771084296</v>
      </c>
      <c r="P883" s="26">
        <v>0.94750795334040305</v>
      </c>
      <c r="Q883" s="26">
        <v>0.97890507282772499</v>
      </c>
      <c r="R883" s="26">
        <v>0.96461661341853</v>
      </c>
      <c r="S883" s="28">
        <v>0.9</v>
      </c>
      <c r="T883" s="26">
        <v>0.93112449799196795</v>
      </c>
      <c r="U883" s="26">
        <v>0.92930364086249595</v>
      </c>
      <c r="V883" s="26">
        <v>0.95128076343545998</v>
      </c>
      <c r="W883" s="26">
        <v>0.93342651757188499</v>
      </c>
      <c r="X883" s="28">
        <v>0.92</v>
      </c>
      <c r="Y883" s="28">
        <v>0.94446932377966897</v>
      </c>
      <c r="Z883" s="28">
        <v>0.96050269299820501</v>
      </c>
      <c r="AA883" s="28">
        <v>0.95886889460154201</v>
      </c>
      <c r="AB883" s="28">
        <v>0.949009303316526</v>
      </c>
      <c r="AC883" s="28">
        <v>0.92</v>
      </c>
      <c r="AD883" s="26">
        <v>0.96408045977011503</v>
      </c>
      <c r="AE883" s="26">
        <v>0.98520345252774399</v>
      </c>
      <c r="AF883" s="26">
        <v>0.98383084577114399</v>
      </c>
      <c r="AG883" s="26">
        <v>0.982696629213483</v>
      </c>
      <c r="AH883" s="28">
        <v>0.92</v>
      </c>
      <c r="AI883" s="26">
        <v>0.967558574795508</v>
      </c>
      <c r="AJ883" s="26">
        <v>0.97820679853132797</v>
      </c>
      <c r="AK883" s="26">
        <v>0.96903782088967305</v>
      </c>
      <c r="AL883" s="26">
        <v>0.96878993916466405</v>
      </c>
      <c r="AM883" s="25">
        <v>0.99</v>
      </c>
      <c r="AN883" s="30">
        <v>1</v>
      </c>
      <c r="AO883" s="30">
        <v>1</v>
      </c>
      <c r="AP883" s="30">
        <v>1</v>
      </c>
      <c r="AQ883" s="30">
        <v>1</v>
      </c>
      <c r="AR883" s="50">
        <v>8.1059522893420499E-2</v>
      </c>
      <c r="AS883" s="34">
        <v>3.3333333333333298E-2</v>
      </c>
      <c r="AT883" s="34">
        <v>-4.1666666666666699E-2</v>
      </c>
      <c r="AU883" s="34">
        <v>0</v>
      </c>
      <c r="AV883" s="34">
        <v>4.4052863436123404E-3</v>
      </c>
      <c r="AW883" s="10"/>
      <c r="AX883" s="8"/>
    </row>
    <row r="884" spans="1:50">
      <c r="A884" s="7"/>
      <c r="B884" s="10"/>
      <c r="C884" s="45" t="s">
        <v>688</v>
      </c>
      <c r="D884" s="23" t="s">
        <v>21</v>
      </c>
      <c r="E884" s="68" t="s">
        <v>929</v>
      </c>
      <c r="F884" s="68" t="s">
        <v>929</v>
      </c>
      <c r="G884" s="68" t="s">
        <v>929</v>
      </c>
      <c r="H884" s="68" t="s">
        <v>929</v>
      </c>
      <c r="I884" s="25">
        <v>0.9</v>
      </c>
      <c r="J884" s="26">
        <v>0</v>
      </c>
      <c r="K884" s="26">
        <v>0</v>
      </c>
      <c r="L884" s="27">
        <v>0</v>
      </c>
      <c r="M884" s="26">
        <v>0</v>
      </c>
      <c r="N884" s="28">
        <v>0.9</v>
      </c>
      <c r="O884" s="26">
        <v>0</v>
      </c>
      <c r="P884" s="26">
        <v>0</v>
      </c>
      <c r="Q884" s="26">
        <v>0</v>
      </c>
      <c r="R884" s="26">
        <v>0</v>
      </c>
      <c r="S884" s="28">
        <v>0.9</v>
      </c>
      <c r="T884" s="26">
        <v>0</v>
      </c>
      <c r="U884" s="26">
        <v>1</v>
      </c>
      <c r="V884" s="26">
        <v>1</v>
      </c>
      <c r="W884" s="26">
        <v>1</v>
      </c>
      <c r="X884" s="28">
        <v>0.92</v>
      </c>
      <c r="Y884" s="28">
        <v>1</v>
      </c>
      <c r="Z884" s="28">
        <v>0</v>
      </c>
      <c r="AA884" s="28">
        <v>0</v>
      </c>
      <c r="AB884" s="28">
        <v>1</v>
      </c>
      <c r="AC884" s="28">
        <v>0.92</v>
      </c>
      <c r="AD884" s="26">
        <v>0</v>
      </c>
      <c r="AE884" s="26">
        <v>0</v>
      </c>
      <c r="AF884" s="26">
        <v>0</v>
      </c>
      <c r="AG884" s="26">
        <v>1</v>
      </c>
      <c r="AH884" s="28">
        <v>0.92</v>
      </c>
      <c r="AI884" s="26">
        <v>1</v>
      </c>
      <c r="AJ884" s="26">
        <v>1</v>
      </c>
      <c r="AK884" s="26">
        <v>1</v>
      </c>
      <c r="AL884" s="26">
        <v>1</v>
      </c>
      <c r="AM884" s="25">
        <v>0.99</v>
      </c>
      <c r="AN884" s="30">
        <v>0</v>
      </c>
      <c r="AO884" s="30">
        <v>0</v>
      </c>
      <c r="AP884" s="30">
        <v>0</v>
      </c>
      <c r="AQ884" s="30">
        <v>0</v>
      </c>
      <c r="AR884" s="50">
        <v>8.1059522893420499E-2</v>
      </c>
      <c r="AS884" s="34">
        <v>0</v>
      </c>
      <c r="AT884" s="34">
        <v>0</v>
      </c>
      <c r="AU884" s="34">
        <v>0</v>
      </c>
      <c r="AV884" s="34">
        <v>0</v>
      </c>
      <c r="AW884" s="10"/>
      <c r="AX884" s="8"/>
    </row>
    <row r="885" spans="1:50">
      <c r="A885" s="7"/>
      <c r="B885" s="10"/>
      <c r="C885" s="45" t="s">
        <v>688</v>
      </c>
      <c r="D885" s="23" t="s">
        <v>21</v>
      </c>
      <c r="E885" s="68" t="s">
        <v>930</v>
      </c>
      <c r="F885" s="68" t="s">
        <v>930</v>
      </c>
      <c r="G885" s="68" t="s">
        <v>930</v>
      </c>
      <c r="H885" s="68" t="s">
        <v>930</v>
      </c>
      <c r="I885" s="25">
        <v>0.9</v>
      </c>
      <c r="J885" s="26">
        <v>1</v>
      </c>
      <c r="K885" s="26">
        <v>1</v>
      </c>
      <c r="L885" s="27">
        <v>1</v>
      </c>
      <c r="M885" s="26">
        <v>1</v>
      </c>
      <c r="N885" s="28">
        <v>0.9</v>
      </c>
      <c r="O885" s="26">
        <v>0.98533903481979201</v>
      </c>
      <c r="P885" s="26">
        <v>0.97961630695443602</v>
      </c>
      <c r="Q885" s="26">
        <v>0.98831385642737901</v>
      </c>
      <c r="R885" s="26">
        <v>0.98105618269105999</v>
      </c>
      <c r="S885" s="28">
        <v>0.9</v>
      </c>
      <c r="T885" s="26">
        <v>0.93891264508246797</v>
      </c>
      <c r="U885" s="26">
        <v>0.93525179856115104</v>
      </c>
      <c r="V885" s="26">
        <v>0.93322203672787996</v>
      </c>
      <c r="W885" s="26">
        <v>0.93745945244582896</v>
      </c>
      <c r="X885" s="28">
        <v>0.92</v>
      </c>
      <c r="Y885" s="28">
        <v>0.92998477929984802</v>
      </c>
      <c r="Z885" s="28">
        <v>0.94295692665890596</v>
      </c>
      <c r="AA885" s="28">
        <v>0.946930280957336</v>
      </c>
      <c r="AB885" s="28">
        <v>0.94454887218045103</v>
      </c>
      <c r="AC885" s="28">
        <v>0.92</v>
      </c>
      <c r="AD885" s="26">
        <v>0.99881656804733698</v>
      </c>
      <c r="AE885" s="26">
        <v>0.99476439790575899</v>
      </c>
      <c r="AF885" s="26">
        <v>0.99910554561717402</v>
      </c>
      <c r="AG885" s="26">
        <v>0.997645871868169</v>
      </c>
      <c r="AH885" s="28">
        <v>0.92</v>
      </c>
      <c r="AI885" s="26">
        <v>0.96643417611159499</v>
      </c>
      <c r="AJ885" s="26">
        <v>0.967563291139241</v>
      </c>
      <c r="AK885" s="26">
        <v>0.96217948717948698</v>
      </c>
      <c r="AL885" s="26">
        <v>0.96773654296222</v>
      </c>
      <c r="AM885" s="25">
        <v>0.99</v>
      </c>
      <c r="AN885" s="30">
        <v>1</v>
      </c>
      <c r="AO885" s="30">
        <v>1</v>
      </c>
      <c r="AP885" s="30">
        <v>1</v>
      </c>
      <c r="AQ885" s="30">
        <v>1</v>
      </c>
      <c r="AR885" s="50">
        <v>8.1059522893420499E-2</v>
      </c>
      <c r="AS885" s="34">
        <v>0</v>
      </c>
      <c r="AT885" s="34">
        <v>0</v>
      </c>
      <c r="AU885" s="34">
        <v>0</v>
      </c>
      <c r="AV885" s="34">
        <v>2.3809523809523801E-2</v>
      </c>
      <c r="AW885" s="10"/>
      <c r="AX885" s="8"/>
    </row>
    <row r="886" spans="1:50">
      <c r="A886" s="7"/>
      <c r="B886" s="10"/>
      <c r="C886" s="45" t="s">
        <v>688</v>
      </c>
      <c r="D886" s="23" t="s">
        <v>21</v>
      </c>
      <c r="E886" s="68" t="s">
        <v>931</v>
      </c>
      <c r="F886" s="68" t="s">
        <v>931</v>
      </c>
      <c r="G886" s="68" t="s">
        <v>931</v>
      </c>
      <c r="H886" s="68" t="s">
        <v>931</v>
      </c>
      <c r="I886" s="25">
        <v>0.9</v>
      </c>
      <c r="J886" s="26">
        <v>0.96</v>
      </c>
      <c r="K886" s="26">
        <v>0.96078431372549</v>
      </c>
      <c r="L886" s="27">
        <v>0.94594594594594605</v>
      </c>
      <c r="M886" s="26">
        <v>0.96641791044776104</v>
      </c>
      <c r="N886" s="28">
        <v>0.9</v>
      </c>
      <c r="O886" s="26">
        <v>0.92042786329245996</v>
      </c>
      <c r="P886" s="26">
        <v>0.92200494493144503</v>
      </c>
      <c r="Q886" s="26">
        <v>0.93643031784841102</v>
      </c>
      <c r="R886" s="26">
        <v>0.92157366932373397</v>
      </c>
      <c r="S886" s="28">
        <v>0.9</v>
      </c>
      <c r="T886" s="26">
        <v>0.90633968171145296</v>
      </c>
      <c r="U886" s="26">
        <v>0.90222521915037102</v>
      </c>
      <c r="V886" s="26">
        <v>0.91931540342298301</v>
      </c>
      <c r="W886" s="26">
        <v>0.90480843404474198</v>
      </c>
      <c r="X886" s="28">
        <v>0.92</v>
      </c>
      <c r="Y886" s="28">
        <v>0.94302176696542905</v>
      </c>
      <c r="Z886" s="28">
        <v>0.94347826086956499</v>
      </c>
      <c r="AA886" s="28">
        <v>0.91373390557939904</v>
      </c>
      <c r="AB886" s="28">
        <v>0.93148291925465798</v>
      </c>
      <c r="AC886" s="28">
        <v>0.92</v>
      </c>
      <c r="AD886" s="26">
        <v>0.99727148703956303</v>
      </c>
      <c r="AE886" s="26">
        <v>0.99464094319399798</v>
      </c>
      <c r="AF886" s="26">
        <v>0.99763593380614701</v>
      </c>
      <c r="AG886" s="26">
        <v>0.99361532322426205</v>
      </c>
      <c r="AH886" s="28">
        <v>0.92</v>
      </c>
      <c r="AI886" s="26">
        <v>0.95959221501390202</v>
      </c>
      <c r="AJ886" s="26">
        <v>0.96165644171779097</v>
      </c>
      <c r="AK886" s="26">
        <v>0.94125063035804302</v>
      </c>
      <c r="AL886" s="26">
        <v>0.95532923263083602</v>
      </c>
      <c r="AM886" s="25">
        <v>0.99</v>
      </c>
      <c r="AN886" s="30">
        <v>1</v>
      </c>
      <c r="AO886" s="30">
        <v>1</v>
      </c>
      <c r="AP886" s="30">
        <v>1</v>
      </c>
      <c r="AQ886" s="30">
        <v>1</v>
      </c>
      <c r="AR886" s="50">
        <v>8.1059522893420499E-2</v>
      </c>
      <c r="AS886" s="34">
        <v>0</v>
      </c>
      <c r="AT886" s="34">
        <v>0.08</v>
      </c>
      <c r="AU886" s="34">
        <v>5.5555555555555601E-2</v>
      </c>
      <c r="AV886" s="34">
        <v>4.6875E-2</v>
      </c>
      <c r="AW886" s="10"/>
      <c r="AX886" s="8"/>
    </row>
    <row r="887" spans="1:50">
      <c r="A887" s="7"/>
      <c r="B887" s="10"/>
      <c r="C887" s="45" t="s">
        <v>688</v>
      </c>
      <c r="D887" s="23" t="s">
        <v>21</v>
      </c>
      <c r="E887" s="68" t="s">
        <v>932</v>
      </c>
      <c r="F887" s="68" t="s">
        <v>932</v>
      </c>
      <c r="G887" s="68" t="s">
        <v>932</v>
      </c>
      <c r="H887" s="68" t="s">
        <v>932</v>
      </c>
      <c r="I887" s="25">
        <v>0.9</v>
      </c>
      <c r="J887" s="26">
        <v>0</v>
      </c>
      <c r="K887" s="26">
        <v>0</v>
      </c>
      <c r="L887" s="27">
        <v>0</v>
      </c>
      <c r="M887" s="26">
        <v>0</v>
      </c>
      <c r="N887" s="28">
        <v>0.9</v>
      </c>
      <c r="O887" s="26">
        <v>0</v>
      </c>
      <c r="P887" s="26">
        <v>0</v>
      </c>
      <c r="Q887" s="26">
        <v>0</v>
      </c>
      <c r="R887" s="26">
        <v>0</v>
      </c>
      <c r="S887" s="28">
        <v>0.9</v>
      </c>
      <c r="T887" s="26">
        <v>0</v>
      </c>
      <c r="U887" s="26">
        <v>0</v>
      </c>
      <c r="V887" s="26">
        <v>0</v>
      </c>
      <c r="W887" s="26">
        <v>0</v>
      </c>
      <c r="X887" s="28">
        <v>0.92</v>
      </c>
      <c r="Y887" s="28">
        <v>0</v>
      </c>
      <c r="Z887" s="28">
        <v>1</v>
      </c>
      <c r="AA887" s="28">
        <v>0</v>
      </c>
      <c r="AB887" s="28">
        <v>1</v>
      </c>
      <c r="AC887" s="28">
        <v>0.92</v>
      </c>
      <c r="AD887" s="26">
        <v>1</v>
      </c>
      <c r="AE887" s="26">
        <v>0.99777282850779503</v>
      </c>
      <c r="AF887" s="26">
        <v>1</v>
      </c>
      <c r="AG887" s="26">
        <v>0.99912510936133003</v>
      </c>
      <c r="AH887" s="28">
        <v>0.92</v>
      </c>
      <c r="AI887" s="26">
        <v>0</v>
      </c>
      <c r="AJ887" s="26">
        <v>1</v>
      </c>
      <c r="AK887" s="26">
        <v>0</v>
      </c>
      <c r="AL887" s="26">
        <v>1</v>
      </c>
      <c r="AM887" s="25">
        <v>0.99</v>
      </c>
      <c r="AN887" s="30">
        <v>1</v>
      </c>
      <c r="AO887" s="30">
        <v>0</v>
      </c>
      <c r="AP887" s="30">
        <v>1</v>
      </c>
      <c r="AQ887" s="30">
        <v>1</v>
      </c>
      <c r="AR887" s="50">
        <v>8.1059522893420499E-2</v>
      </c>
      <c r="AS887" s="34">
        <v>0</v>
      </c>
      <c r="AT887" s="34">
        <v>0</v>
      </c>
      <c r="AU887" s="34">
        <v>0</v>
      </c>
      <c r="AV887" s="34">
        <v>0</v>
      </c>
      <c r="AW887" s="10"/>
      <c r="AX887" s="8"/>
    </row>
    <row r="888" spans="1:50">
      <c r="A888" s="7"/>
      <c r="B888" s="10"/>
      <c r="C888" s="45" t="s">
        <v>688</v>
      </c>
      <c r="D888" s="23" t="s">
        <v>21</v>
      </c>
      <c r="E888" s="68" t="s">
        <v>933</v>
      </c>
      <c r="F888" s="68" t="s">
        <v>933</v>
      </c>
      <c r="G888" s="68" t="s">
        <v>933</v>
      </c>
      <c r="H888" s="68" t="s">
        <v>933</v>
      </c>
      <c r="I888" s="25">
        <v>0.9</v>
      </c>
      <c r="J888" s="26">
        <v>0</v>
      </c>
      <c r="K888" s="26">
        <v>0</v>
      </c>
      <c r="L888" s="27">
        <v>0</v>
      </c>
      <c r="M888" s="26">
        <v>0</v>
      </c>
      <c r="N888" s="28">
        <v>0.9</v>
      </c>
      <c r="O888" s="26">
        <v>1</v>
      </c>
      <c r="P888" s="26">
        <v>1</v>
      </c>
      <c r="Q888" s="26">
        <v>1</v>
      </c>
      <c r="R888" s="26">
        <v>1</v>
      </c>
      <c r="S888" s="28">
        <v>0.9</v>
      </c>
      <c r="T888" s="26">
        <v>1</v>
      </c>
      <c r="U888" s="26">
        <v>1</v>
      </c>
      <c r="V888" s="26">
        <v>1</v>
      </c>
      <c r="W888" s="26">
        <v>1</v>
      </c>
      <c r="X888" s="28">
        <v>0.92</v>
      </c>
      <c r="Y888" s="28">
        <v>0</v>
      </c>
      <c r="Z888" s="28">
        <v>0</v>
      </c>
      <c r="AA888" s="28">
        <v>0</v>
      </c>
      <c r="AB888" s="28">
        <v>0</v>
      </c>
      <c r="AC888" s="28">
        <v>0.92</v>
      </c>
      <c r="AD888" s="26">
        <v>1</v>
      </c>
      <c r="AE888" s="26">
        <v>0.996557659208262</v>
      </c>
      <c r="AF888" s="26">
        <v>0.998493975903614</v>
      </c>
      <c r="AG888" s="26">
        <v>0.99868938401048502</v>
      </c>
      <c r="AH888" s="28">
        <v>0.92</v>
      </c>
      <c r="AI888" s="26">
        <v>1</v>
      </c>
      <c r="AJ888" s="26">
        <v>1</v>
      </c>
      <c r="AK888" s="26">
        <v>1</v>
      </c>
      <c r="AL888" s="26">
        <v>1</v>
      </c>
      <c r="AM888" s="25">
        <v>0.99</v>
      </c>
      <c r="AN888" s="30">
        <v>1</v>
      </c>
      <c r="AO888" s="30">
        <v>0</v>
      </c>
      <c r="AP888" s="30">
        <v>0</v>
      </c>
      <c r="AQ888" s="30">
        <v>1</v>
      </c>
      <c r="AR888" s="50">
        <v>8.1059522893420499E-2</v>
      </c>
      <c r="AS888" s="34">
        <v>0</v>
      </c>
      <c r="AT888" s="34">
        <v>0</v>
      </c>
      <c r="AU888" s="34">
        <v>0</v>
      </c>
      <c r="AV888" s="34">
        <v>0</v>
      </c>
      <c r="AW888" s="10"/>
      <c r="AX888" s="8"/>
    </row>
    <row r="889" spans="1:50">
      <c r="A889" s="7"/>
      <c r="B889" s="10"/>
      <c r="C889" s="45" t="s">
        <v>688</v>
      </c>
      <c r="D889" s="23" t="s">
        <v>21</v>
      </c>
      <c r="E889" s="68" t="s">
        <v>934</v>
      </c>
      <c r="F889" s="68" t="s">
        <v>934</v>
      </c>
      <c r="G889" s="68" t="s">
        <v>934</v>
      </c>
      <c r="H889" s="68" t="s">
        <v>934</v>
      </c>
      <c r="I889" s="25">
        <v>0.9</v>
      </c>
      <c r="J889" s="26">
        <v>0</v>
      </c>
      <c r="K889" s="26">
        <v>0</v>
      </c>
      <c r="L889" s="27">
        <v>0</v>
      </c>
      <c r="M889" s="26">
        <v>0</v>
      </c>
      <c r="N889" s="28">
        <v>0.9</v>
      </c>
      <c r="O889" s="26">
        <v>0</v>
      </c>
      <c r="P889" s="26">
        <v>0</v>
      </c>
      <c r="Q889" s="26">
        <v>0</v>
      </c>
      <c r="R889" s="26">
        <v>0</v>
      </c>
      <c r="S889" s="28">
        <v>0.9</v>
      </c>
      <c r="T889" s="26">
        <v>0.939393939393939</v>
      </c>
      <c r="U889" s="26">
        <v>0.96875</v>
      </c>
      <c r="V889" s="26">
        <v>0.94642857142857095</v>
      </c>
      <c r="W889" s="26">
        <v>0.96174863387978105</v>
      </c>
      <c r="X889" s="28">
        <v>0.92</v>
      </c>
      <c r="Y889" s="28">
        <v>0</v>
      </c>
      <c r="Z889" s="28">
        <v>0</v>
      </c>
      <c r="AA889" s="28">
        <v>0</v>
      </c>
      <c r="AB889" s="28">
        <v>0.75</v>
      </c>
      <c r="AC889" s="28">
        <v>0.92</v>
      </c>
      <c r="AD889" s="26">
        <v>0.99915161798569896</v>
      </c>
      <c r="AE889" s="26">
        <v>0.99975291864846505</v>
      </c>
      <c r="AF889" s="26">
        <v>0.99870984389111095</v>
      </c>
      <c r="AG889" s="26">
        <v>0.99837232735043702</v>
      </c>
      <c r="AH889" s="28">
        <v>0.92</v>
      </c>
      <c r="AI889" s="26">
        <v>0.96226415094339601</v>
      </c>
      <c r="AJ889" s="26">
        <v>1</v>
      </c>
      <c r="AK889" s="26">
        <v>0.96825396825396803</v>
      </c>
      <c r="AL889" s="26">
        <v>0.98154981549815501</v>
      </c>
      <c r="AM889" s="25">
        <v>0.99</v>
      </c>
      <c r="AN889" s="30">
        <v>1</v>
      </c>
      <c r="AO889" s="30">
        <v>1</v>
      </c>
      <c r="AP889" s="30">
        <v>1</v>
      </c>
      <c r="AQ889" s="30">
        <v>1</v>
      </c>
      <c r="AR889" s="50">
        <v>8.1059522893420499E-2</v>
      </c>
      <c r="AS889" s="34">
        <v>0</v>
      </c>
      <c r="AT889" s="34">
        <v>0</v>
      </c>
      <c r="AU889" s="34">
        <v>0</v>
      </c>
      <c r="AV889" s="34">
        <v>0</v>
      </c>
      <c r="AW889" s="10"/>
      <c r="AX889" s="8"/>
    </row>
    <row r="890" spans="1:50">
      <c r="A890" s="7"/>
      <c r="B890" s="10"/>
      <c r="C890" s="45" t="s">
        <v>688</v>
      </c>
      <c r="D890" s="23" t="s">
        <v>21</v>
      </c>
      <c r="E890" s="68" t="s">
        <v>935</v>
      </c>
      <c r="F890" s="68" t="s">
        <v>935</v>
      </c>
      <c r="G890" s="68" t="s">
        <v>935</v>
      </c>
      <c r="H890" s="68" t="s">
        <v>935</v>
      </c>
      <c r="I890" s="25">
        <v>0.9</v>
      </c>
      <c r="J890" s="26">
        <v>0</v>
      </c>
      <c r="K890" s="26">
        <v>0</v>
      </c>
      <c r="L890" s="27">
        <v>0</v>
      </c>
      <c r="M890" s="26">
        <v>0</v>
      </c>
      <c r="N890" s="28">
        <v>0.9</v>
      </c>
      <c r="O890" s="26">
        <v>0</v>
      </c>
      <c r="P890" s="26">
        <v>0</v>
      </c>
      <c r="Q890" s="26">
        <v>0</v>
      </c>
      <c r="R890" s="26">
        <v>0</v>
      </c>
      <c r="S890" s="28">
        <v>0.9</v>
      </c>
      <c r="T890" s="26">
        <v>0</v>
      </c>
      <c r="U890" s="26">
        <v>0</v>
      </c>
      <c r="V890" s="26">
        <v>0</v>
      </c>
      <c r="W890" s="26">
        <v>0</v>
      </c>
      <c r="X890" s="28">
        <v>0.92</v>
      </c>
      <c r="Y890" s="28">
        <v>0</v>
      </c>
      <c r="Z890" s="28">
        <v>0</v>
      </c>
      <c r="AA890" s="28">
        <v>0</v>
      </c>
      <c r="AB890" s="28">
        <v>0</v>
      </c>
      <c r="AC890" s="28">
        <v>0.92</v>
      </c>
      <c r="AD890" s="26">
        <v>0</v>
      </c>
      <c r="AE890" s="26">
        <v>0</v>
      </c>
      <c r="AF890" s="26">
        <v>0</v>
      </c>
      <c r="AG890" s="26">
        <v>0</v>
      </c>
      <c r="AH890" s="28">
        <v>0.92</v>
      </c>
      <c r="AI890" s="26">
        <v>0</v>
      </c>
      <c r="AJ890" s="26">
        <v>0</v>
      </c>
      <c r="AK890" s="26">
        <v>0</v>
      </c>
      <c r="AL890" s="26">
        <v>0</v>
      </c>
      <c r="AM890" s="25">
        <v>0.99</v>
      </c>
      <c r="AN890" s="30">
        <v>0</v>
      </c>
      <c r="AO890" s="30">
        <v>0</v>
      </c>
      <c r="AP890" s="30">
        <v>0</v>
      </c>
      <c r="AQ890" s="30">
        <v>0</v>
      </c>
      <c r="AR890" s="50">
        <v>8.1059522893420499E-2</v>
      </c>
      <c r="AS890" s="34">
        <v>0</v>
      </c>
      <c r="AT890" s="34">
        <v>0</v>
      </c>
      <c r="AU890" s="34">
        <v>0</v>
      </c>
      <c r="AV890" s="34">
        <v>0</v>
      </c>
      <c r="AW890" s="10"/>
      <c r="AX890" s="8"/>
    </row>
    <row r="891" spans="1:50">
      <c r="A891" s="7"/>
      <c r="B891" s="10"/>
      <c r="C891" s="45" t="s">
        <v>688</v>
      </c>
      <c r="D891" s="23" t="s">
        <v>21</v>
      </c>
      <c r="E891" s="68" t="s">
        <v>936</v>
      </c>
      <c r="F891" s="68" t="s">
        <v>936</v>
      </c>
      <c r="G891" s="68" t="s">
        <v>936</v>
      </c>
      <c r="H891" s="68" t="s">
        <v>936</v>
      </c>
      <c r="I891" s="25">
        <v>0.9</v>
      </c>
      <c r="J891" s="26">
        <v>0</v>
      </c>
      <c r="K891" s="26">
        <v>0</v>
      </c>
      <c r="L891" s="27">
        <v>0</v>
      </c>
      <c r="M891" s="26">
        <v>0</v>
      </c>
      <c r="N891" s="28">
        <v>0.9</v>
      </c>
      <c r="O891" s="26">
        <v>0</v>
      </c>
      <c r="P891" s="26">
        <v>0</v>
      </c>
      <c r="Q891" s="26">
        <v>0</v>
      </c>
      <c r="R891" s="26">
        <v>0</v>
      </c>
      <c r="S891" s="28">
        <v>0.9</v>
      </c>
      <c r="T891" s="26">
        <v>1</v>
      </c>
      <c r="U891" s="26">
        <v>1</v>
      </c>
      <c r="V891" s="26">
        <v>1</v>
      </c>
      <c r="W891" s="26">
        <v>1</v>
      </c>
      <c r="X891" s="28">
        <v>0.92</v>
      </c>
      <c r="Y891" s="28">
        <v>1</v>
      </c>
      <c r="Z891" s="28">
        <v>1</v>
      </c>
      <c r="AA891" s="28">
        <v>1</v>
      </c>
      <c r="AB891" s="28">
        <v>1</v>
      </c>
      <c r="AC891" s="28">
        <v>0.92</v>
      </c>
      <c r="AD891" s="26">
        <v>1</v>
      </c>
      <c r="AE891" s="26">
        <v>1</v>
      </c>
      <c r="AF891" s="26">
        <v>1</v>
      </c>
      <c r="AG891" s="26">
        <v>0.99934554973821998</v>
      </c>
      <c r="AH891" s="28">
        <v>0.92</v>
      </c>
      <c r="AI891" s="26">
        <v>1</v>
      </c>
      <c r="AJ891" s="26">
        <v>1</v>
      </c>
      <c r="AK891" s="26">
        <v>1</v>
      </c>
      <c r="AL891" s="26">
        <v>1</v>
      </c>
      <c r="AM891" s="25">
        <v>0.99</v>
      </c>
      <c r="AN891" s="30">
        <v>1</v>
      </c>
      <c r="AO891" s="30">
        <v>1</v>
      </c>
      <c r="AP891" s="30">
        <v>0</v>
      </c>
      <c r="AQ891" s="30">
        <v>1</v>
      </c>
      <c r="AR891" s="50">
        <v>8.1059522893420499E-2</v>
      </c>
      <c r="AS891" s="34">
        <v>0</v>
      </c>
      <c r="AT891" s="34">
        <v>0</v>
      </c>
      <c r="AU891" s="34">
        <v>0</v>
      </c>
      <c r="AV891" s="34">
        <v>0</v>
      </c>
      <c r="AW891" s="10"/>
      <c r="AX891" s="8"/>
    </row>
    <row r="892" spans="1:50">
      <c r="A892" s="7"/>
      <c r="B892" s="10"/>
      <c r="C892" s="45" t="s">
        <v>688</v>
      </c>
      <c r="D892" s="23" t="s">
        <v>21</v>
      </c>
      <c r="E892" s="68" t="s">
        <v>937</v>
      </c>
      <c r="F892" s="68" t="s">
        <v>937</v>
      </c>
      <c r="G892" s="68" t="s">
        <v>937</v>
      </c>
      <c r="H892" s="68" t="s">
        <v>937</v>
      </c>
      <c r="I892" s="25">
        <v>0.9</v>
      </c>
      <c r="J892" s="26">
        <v>0</v>
      </c>
      <c r="K892" s="26">
        <v>0</v>
      </c>
      <c r="L892" s="27">
        <v>0</v>
      </c>
      <c r="M892" s="26">
        <v>0</v>
      </c>
      <c r="N892" s="28">
        <v>0.9</v>
      </c>
      <c r="O892" s="26">
        <v>0</v>
      </c>
      <c r="P892" s="26">
        <v>0</v>
      </c>
      <c r="Q892" s="26">
        <v>0</v>
      </c>
      <c r="R892" s="26">
        <v>0</v>
      </c>
      <c r="S892" s="28">
        <v>0.9</v>
      </c>
      <c r="T892" s="26">
        <v>0</v>
      </c>
      <c r="U892" s="26">
        <v>0</v>
      </c>
      <c r="V892" s="26">
        <v>1</v>
      </c>
      <c r="W892" s="26">
        <v>1</v>
      </c>
      <c r="X892" s="28">
        <v>0.92</v>
      </c>
      <c r="Y892" s="28">
        <v>0</v>
      </c>
      <c r="Z892" s="28">
        <v>0</v>
      </c>
      <c r="AA892" s="28">
        <v>0</v>
      </c>
      <c r="AB892" s="28">
        <v>0</v>
      </c>
      <c r="AC892" s="28">
        <v>0.92</v>
      </c>
      <c r="AD892" s="26">
        <v>1</v>
      </c>
      <c r="AE892" s="26">
        <v>0.99682539682539695</v>
      </c>
      <c r="AF892" s="26">
        <v>1</v>
      </c>
      <c r="AG892" s="26">
        <v>0.999357739242132</v>
      </c>
      <c r="AH892" s="28">
        <v>0.92</v>
      </c>
      <c r="AI892" s="26">
        <v>0</v>
      </c>
      <c r="AJ892" s="26">
        <v>0</v>
      </c>
      <c r="AK892" s="26">
        <v>1</v>
      </c>
      <c r="AL892" s="26">
        <v>1</v>
      </c>
      <c r="AM892" s="25">
        <v>0.99</v>
      </c>
      <c r="AN892" s="30">
        <v>1</v>
      </c>
      <c r="AO892" s="30">
        <v>1</v>
      </c>
      <c r="AP892" s="30">
        <v>1</v>
      </c>
      <c r="AQ892" s="30">
        <v>1</v>
      </c>
      <c r="AR892" s="50">
        <v>8.1059522893420499E-2</v>
      </c>
      <c r="AS892" s="34">
        <v>0</v>
      </c>
      <c r="AT892" s="34">
        <v>0</v>
      </c>
      <c r="AU892" s="34">
        <v>0</v>
      </c>
      <c r="AV892" s="34">
        <v>0</v>
      </c>
      <c r="AW892" s="10"/>
      <c r="AX892" s="8"/>
    </row>
    <row r="893" spans="1:50">
      <c r="A893" s="7"/>
      <c r="B893" s="10"/>
      <c r="C893" s="45" t="s">
        <v>688</v>
      </c>
      <c r="D893" s="23" t="s">
        <v>21</v>
      </c>
      <c r="E893" s="68" t="s">
        <v>938</v>
      </c>
      <c r="F893" s="68" t="s">
        <v>938</v>
      </c>
      <c r="G893" s="68" t="s">
        <v>938</v>
      </c>
      <c r="H893" s="68" t="s">
        <v>938</v>
      </c>
      <c r="I893" s="25">
        <v>0.9</v>
      </c>
      <c r="J893" s="26">
        <v>0</v>
      </c>
      <c r="K893" s="26">
        <v>0</v>
      </c>
      <c r="L893" s="27">
        <v>0</v>
      </c>
      <c r="M893" s="26">
        <v>0</v>
      </c>
      <c r="N893" s="28">
        <v>0.9</v>
      </c>
      <c r="O893" s="26">
        <v>0</v>
      </c>
      <c r="P893" s="26">
        <v>0</v>
      </c>
      <c r="Q893" s="26">
        <v>0</v>
      </c>
      <c r="R893" s="26">
        <v>0</v>
      </c>
      <c r="S893" s="28">
        <v>0.9</v>
      </c>
      <c r="T893" s="26">
        <v>0</v>
      </c>
      <c r="U893" s="26">
        <v>0</v>
      </c>
      <c r="V893" s="26">
        <v>0</v>
      </c>
      <c r="W893" s="26">
        <v>0</v>
      </c>
      <c r="X893" s="28">
        <v>0.92</v>
      </c>
      <c r="Y893" s="28">
        <v>0</v>
      </c>
      <c r="Z893" s="28">
        <v>0</v>
      </c>
      <c r="AA893" s="28">
        <v>0</v>
      </c>
      <c r="AB893" s="28">
        <v>0</v>
      </c>
      <c r="AC893" s="28">
        <v>0.92</v>
      </c>
      <c r="AD893" s="26">
        <v>1</v>
      </c>
      <c r="AE893" s="26">
        <v>1</v>
      </c>
      <c r="AF893" s="26">
        <v>1</v>
      </c>
      <c r="AG893" s="26">
        <v>0.99772001823985401</v>
      </c>
      <c r="AH893" s="28">
        <v>0.92</v>
      </c>
      <c r="AI893" s="26">
        <v>0</v>
      </c>
      <c r="AJ893" s="26">
        <v>0</v>
      </c>
      <c r="AK893" s="26">
        <v>0</v>
      </c>
      <c r="AL893" s="26">
        <v>0</v>
      </c>
      <c r="AM893" s="25">
        <v>0.99</v>
      </c>
      <c r="AN893" s="30">
        <v>1</v>
      </c>
      <c r="AO893" s="30">
        <v>1</v>
      </c>
      <c r="AP893" s="30">
        <v>0</v>
      </c>
      <c r="AQ893" s="30">
        <v>1</v>
      </c>
      <c r="AR893" s="50">
        <v>8.1059522893420499E-2</v>
      </c>
      <c r="AS893" s="34">
        <v>0</v>
      </c>
      <c r="AT893" s="34">
        <v>0</v>
      </c>
      <c r="AU893" s="34">
        <v>0</v>
      </c>
      <c r="AV893" s="34">
        <v>0</v>
      </c>
      <c r="AW893" s="10"/>
      <c r="AX893" s="8"/>
    </row>
    <row r="894" spans="1:50">
      <c r="A894" s="7"/>
      <c r="B894" s="10"/>
      <c r="C894" s="45" t="s">
        <v>688</v>
      </c>
      <c r="D894" s="23" t="s">
        <v>21</v>
      </c>
      <c r="E894" s="68" t="s">
        <v>939</v>
      </c>
      <c r="F894" s="68" t="s">
        <v>939</v>
      </c>
      <c r="G894" s="68" t="s">
        <v>939</v>
      </c>
      <c r="H894" s="68" t="s">
        <v>939</v>
      </c>
      <c r="I894" s="25">
        <v>0.9</v>
      </c>
      <c r="J894" s="26">
        <v>0</v>
      </c>
      <c r="K894" s="26">
        <v>0</v>
      </c>
      <c r="L894" s="27">
        <v>0</v>
      </c>
      <c r="M894" s="26">
        <v>0</v>
      </c>
      <c r="N894" s="28">
        <v>0.9</v>
      </c>
      <c r="O894" s="26">
        <v>0</v>
      </c>
      <c r="P894" s="26">
        <v>0</v>
      </c>
      <c r="Q894" s="26">
        <v>0</v>
      </c>
      <c r="R894" s="26">
        <v>0</v>
      </c>
      <c r="S894" s="28">
        <v>0.9</v>
      </c>
      <c r="T894" s="26">
        <v>1</v>
      </c>
      <c r="U894" s="26">
        <v>1</v>
      </c>
      <c r="V894" s="26">
        <v>1</v>
      </c>
      <c r="W894" s="26">
        <v>1</v>
      </c>
      <c r="X894" s="28">
        <v>0.92</v>
      </c>
      <c r="Y894" s="28">
        <v>1</v>
      </c>
      <c r="Z894" s="28">
        <v>1</v>
      </c>
      <c r="AA894" s="28">
        <v>1</v>
      </c>
      <c r="AB894" s="28">
        <v>1</v>
      </c>
      <c r="AC894" s="28">
        <v>0.92</v>
      </c>
      <c r="AD894" s="26">
        <v>1</v>
      </c>
      <c r="AE894" s="26">
        <v>1</v>
      </c>
      <c r="AF894" s="26">
        <v>1</v>
      </c>
      <c r="AG894" s="26">
        <v>1</v>
      </c>
      <c r="AH894" s="28">
        <v>0.92</v>
      </c>
      <c r="AI894" s="26">
        <v>1</v>
      </c>
      <c r="AJ894" s="26">
        <v>1</v>
      </c>
      <c r="AK894" s="26">
        <v>1</v>
      </c>
      <c r="AL894" s="26">
        <v>1</v>
      </c>
      <c r="AM894" s="25">
        <v>0.99</v>
      </c>
      <c r="AN894" s="30">
        <v>1</v>
      </c>
      <c r="AO894" s="30">
        <v>0</v>
      </c>
      <c r="AP894" s="30">
        <v>1</v>
      </c>
      <c r="AQ894" s="30">
        <v>1</v>
      </c>
      <c r="AR894" s="50">
        <v>8.1059522893420499E-2</v>
      </c>
      <c r="AS894" s="34">
        <v>0</v>
      </c>
      <c r="AT894" s="34">
        <v>0</v>
      </c>
      <c r="AU894" s="34">
        <v>0</v>
      </c>
      <c r="AV894" s="34">
        <v>0</v>
      </c>
      <c r="AW894" s="10"/>
      <c r="AX894" s="8"/>
    </row>
    <row r="895" spans="1:50">
      <c r="A895" s="7"/>
      <c r="B895" s="10"/>
      <c r="C895" s="45" t="s">
        <v>688</v>
      </c>
      <c r="D895" s="23" t="s">
        <v>21</v>
      </c>
      <c r="E895" s="68" t="s">
        <v>940</v>
      </c>
      <c r="F895" s="68" t="s">
        <v>940</v>
      </c>
      <c r="G895" s="68" t="s">
        <v>940</v>
      </c>
      <c r="H895" s="68" t="s">
        <v>940</v>
      </c>
      <c r="I895" s="25">
        <v>0.9</v>
      </c>
      <c r="J895" s="26">
        <v>0</v>
      </c>
      <c r="K895" s="26">
        <v>0</v>
      </c>
      <c r="L895" s="27">
        <v>0</v>
      </c>
      <c r="M895" s="26">
        <v>0</v>
      </c>
      <c r="N895" s="28">
        <v>0.9</v>
      </c>
      <c r="O895" s="26">
        <v>0</v>
      </c>
      <c r="P895" s="26">
        <v>0</v>
      </c>
      <c r="Q895" s="26">
        <v>0</v>
      </c>
      <c r="R895" s="26">
        <v>0</v>
      </c>
      <c r="S895" s="28">
        <v>0.9</v>
      </c>
      <c r="T895" s="26">
        <v>0</v>
      </c>
      <c r="U895" s="26">
        <v>0</v>
      </c>
      <c r="V895" s="26">
        <v>0</v>
      </c>
      <c r="W895" s="26">
        <v>0</v>
      </c>
      <c r="X895" s="28">
        <v>0.92</v>
      </c>
      <c r="Y895" s="28">
        <v>0</v>
      </c>
      <c r="Z895" s="28">
        <v>0</v>
      </c>
      <c r="AA895" s="28">
        <v>0</v>
      </c>
      <c r="AB895" s="28">
        <v>0</v>
      </c>
      <c r="AC895" s="28">
        <v>0.92</v>
      </c>
      <c r="AD895" s="26">
        <v>0</v>
      </c>
      <c r="AE895" s="26">
        <v>0</v>
      </c>
      <c r="AF895" s="26">
        <v>0</v>
      </c>
      <c r="AG895" s="26">
        <v>0</v>
      </c>
      <c r="AH895" s="28">
        <v>0.92</v>
      </c>
      <c r="AI895" s="26">
        <v>0</v>
      </c>
      <c r="AJ895" s="26">
        <v>0</v>
      </c>
      <c r="AK895" s="26">
        <v>0</v>
      </c>
      <c r="AL895" s="26">
        <v>0</v>
      </c>
      <c r="AM895" s="25">
        <v>0.99</v>
      </c>
      <c r="AN895" s="30">
        <v>0</v>
      </c>
      <c r="AO895" s="30">
        <v>0</v>
      </c>
      <c r="AP895" s="30">
        <v>0</v>
      </c>
      <c r="AQ895" s="30">
        <v>0</v>
      </c>
      <c r="AR895" s="50">
        <v>8.1059522893420499E-2</v>
      </c>
      <c r="AS895" s="34">
        <v>0</v>
      </c>
      <c r="AT895" s="34">
        <v>0</v>
      </c>
      <c r="AU895" s="34">
        <v>0</v>
      </c>
      <c r="AV895" s="34">
        <v>0</v>
      </c>
      <c r="AW895" s="10"/>
      <c r="AX895" s="8"/>
    </row>
    <row r="896" spans="1:50">
      <c r="A896" s="7"/>
      <c r="B896" s="10"/>
      <c r="C896" s="45" t="s">
        <v>688</v>
      </c>
      <c r="D896" s="23" t="s">
        <v>21</v>
      </c>
      <c r="E896" s="68" t="s">
        <v>941</v>
      </c>
      <c r="F896" s="68" t="s">
        <v>941</v>
      </c>
      <c r="G896" s="68" t="s">
        <v>941</v>
      </c>
      <c r="H896" s="68" t="s">
        <v>941</v>
      </c>
      <c r="I896" s="25">
        <v>0.9</v>
      </c>
      <c r="J896" s="26">
        <v>0</v>
      </c>
      <c r="K896" s="26">
        <v>0</v>
      </c>
      <c r="L896" s="27">
        <v>0</v>
      </c>
      <c r="M896" s="26">
        <v>0</v>
      </c>
      <c r="N896" s="28">
        <v>0.9</v>
      </c>
      <c r="O896" s="26">
        <v>0</v>
      </c>
      <c r="P896" s="26">
        <v>0</v>
      </c>
      <c r="Q896" s="26">
        <v>0</v>
      </c>
      <c r="R896" s="26">
        <v>0</v>
      </c>
      <c r="S896" s="28">
        <v>0.9</v>
      </c>
      <c r="T896" s="26">
        <v>0</v>
      </c>
      <c r="U896" s="26">
        <v>0</v>
      </c>
      <c r="V896" s="26">
        <v>0</v>
      </c>
      <c r="W896" s="26">
        <v>0</v>
      </c>
      <c r="X896" s="28">
        <v>0.92</v>
      </c>
      <c r="Y896" s="28">
        <v>0</v>
      </c>
      <c r="Z896" s="28">
        <v>0</v>
      </c>
      <c r="AA896" s="28">
        <v>0</v>
      </c>
      <c r="AB896" s="28">
        <v>0</v>
      </c>
      <c r="AC896" s="28">
        <v>0.92</v>
      </c>
      <c r="AD896" s="26">
        <v>0</v>
      </c>
      <c r="AE896" s="26">
        <v>0</v>
      </c>
      <c r="AF896" s="26">
        <v>0</v>
      </c>
      <c r="AG896" s="26">
        <v>0</v>
      </c>
      <c r="AH896" s="28">
        <v>0.92</v>
      </c>
      <c r="AI896" s="26">
        <v>0</v>
      </c>
      <c r="AJ896" s="26">
        <v>0</v>
      </c>
      <c r="AK896" s="26">
        <v>0</v>
      </c>
      <c r="AL896" s="26">
        <v>0</v>
      </c>
      <c r="AM896" s="25">
        <v>0.99</v>
      </c>
      <c r="AN896" s="30">
        <v>0</v>
      </c>
      <c r="AO896" s="30">
        <v>0</v>
      </c>
      <c r="AP896" s="30">
        <v>0</v>
      </c>
      <c r="AQ896" s="30">
        <v>0</v>
      </c>
      <c r="AR896" s="50">
        <v>8.1059522893420499E-2</v>
      </c>
      <c r="AS896" s="34">
        <v>0</v>
      </c>
      <c r="AT896" s="34">
        <v>0</v>
      </c>
      <c r="AU896" s="34">
        <v>0</v>
      </c>
      <c r="AV896" s="34">
        <v>0</v>
      </c>
      <c r="AW896" s="10"/>
      <c r="AX896" s="8"/>
    </row>
    <row r="897" spans="1:50">
      <c r="A897" s="7"/>
      <c r="B897" s="10"/>
      <c r="C897" s="45" t="s">
        <v>688</v>
      </c>
      <c r="D897" s="23" t="s">
        <v>21</v>
      </c>
      <c r="E897" s="68" t="s">
        <v>942</v>
      </c>
      <c r="F897" s="68" t="s">
        <v>942</v>
      </c>
      <c r="G897" s="68" t="s">
        <v>942</v>
      </c>
      <c r="H897" s="68" t="s">
        <v>942</v>
      </c>
      <c r="I897" s="25">
        <v>0.9</v>
      </c>
      <c r="J897" s="26">
        <v>0</v>
      </c>
      <c r="K897" s="26">
        <v>0</v>
      </c>
      <c r="L897" s="27">
        <v>0</v>
      </c>
      <c r="M897" s="26">
        <v>0</v>
      </c>
      <c r="N897" s="28">
        <v>0.9</v>
      </c>
      <c r="O897" s="26">
        <v>0</v>
      </c>
      <c r="P897" s="26">
        <v>0</v>
      </c>
      <c r="Q897" s="26">
        <v>0</v>
      </c>
      <c r="R897" s="26">
        <v>0</v>
      </c>
      <c r="S897" s="28">
        <v>0.9</v>
      </c>
      <c r="T897" s="26">
        <v>0</v>
      </c>
      <c r="U897" s="26">
        <v>0</v>
      </c>
      <c r="V897" s="26">
        <v>0</v>
      </c>
      <c r="W897" s="26">
        <v>0</v>
      </c>
      <c r="X897" s="28">
        <v>0.92</v>
      </c>
      <c r="Y897" s="28">
        <v>0</v>
      </c>
      <c r="Z897" s="28">
        <v>0</v>
      </c>
      <c r="AA897" s="28">
        <v>0</v>
      </c>
      <c r="AB897" s="28">
        <v>0</v>
      </c>
      <c r="AC897" s="28">
        <v>0.92</v>
      </c>
      <c r="AD897" s="26">
        <v>0</v>
      </c>
      <c r="AE897" s="26">
        <v>0</v>
      </c>
      <c r="AF897" s="26">
        <v>0</v>
      </c>
      <c r="AG897" s="26">
        <v>0</v>
      </c>
      <c r="AH897" s="28">
        <v>0.92</v>
      </c>
      <c r="AI897" s="26">
        <v>0</v>
      </c>
      <c r="AJ897" s="26">
        <v>0</v>
      </c>
      <c r="AK897" s="26">
        <v>0</v>
      </c>
      <c r="AL897" s="26">
        <v>0</v>
      </c>
      <c r="AM897" s="25">
        <v>0.99</v>
      </c>
      <c r="AN897" s="30">
        <v>0</v>
      </c>
      <c r="AO897" s="30">
        <v>0</v>
      </c>
      <c r="AP897" s="30">
        <v>0</v>
      </c>
      <c r="AQ897" s="30">
        <v>0</v>
      </c>
      <c r="AR897" s="50">
        <v>8.1059522893420499E-2</v>
      </c>
      <c r="AS897" s="34">
        <v>0</v>
      </c>
      <c r="AT897" s="34">
        <v>0</v>
      </c>
      <c r="AU897" s="34">
        <v>0</v>
      </c>
      <c r="AV897" s="34">
        <v>0</v>
      </c>
      <c r="AW897" s="10"/>
      <c r="AX897" s="8"/>
    </row>
    <row r="898" spans="1:50">
      <c r="A898" s="7"/>
      <c r="B898" s="10"/>
      <c r="C898" s="45" t="s">
        <v>688</v>
      </c>
      <c r="D898" s="23" t="s">
        <v>21</v>
      </c>
      <c r="E898" s="68" t="s">
        <v>943</v>
      </c>
      <c r="F898" s="68" t="s">
        <v>943</v>
      </c>
      <c r="G898" s="68" t="s">
        <v>943</v>
      </c>
      <c r="H898" s="68" t="s">
        <v>943</v>
      </c>
      <c r="I898" s="25">
        <v>0.9</v>
      </c>
      <c r="J898" s="26">
        <v>0</v>
      </c>
      <c r="K898" s="26">
        <v>0</v>
      </c>
      <c r="L898" s="27">
        <v>0</v>
      </c>
      <c r="M898" s="26">
        <v>0</v>
      </c>
      <c r="N898" s="28">
        <v>0.9</v>
      </c>
      <c r="O898" s="26">
        <v>0</v>
      </c>
      <c r="P898" s="26">
        <v>0</v>
      </c>
      <c r="Q898" s="26">
        <v>0</v>
      </c>
      <c r="R898" s="26">
        <v>0</v>
      </c>
      <c r="S898" s="28">
        <v>0.9</v>
      </c>
      <c r="T898" s="26">
        <v>0</v>
      </c>
      <c r="U898" s="26">
        <v>0</v>
      </c>
      <c r="V898" s="26">
        <v>0</v>
      </c>
      <c r="W898" s="26">
        <v>0</v>
      </c>
      <c r="X898" s="28">
        <v>0.92</v>
      </c>
      <c r="Y898" s="28">
        <v>0</v>
      </c>
      <c r="Z898" s="28">
        <v>0</v>
      </c>
      <c r="AA898" s="28">
        <v>0</v>
      </c>
      <c r="AB898" s="28">
        <v>0</v>
      </c>
      <c r="AC898" s="28">
        <v>0.92</v>
      </c>
      <c r="AD898" s="26">
        <v>1</v>
      </c>
      <c r="AE898" s="26">
        <v>1</v>
      </c>
      <c r="AF898" s="26">
        <v>1</v>
      </c>
      <c r="AG898" s="26">
        <v>1</v>
      </c>
      <c r="AH898" s="28">
        <v>0.92</v>
      </c>
      <c r="AI898" s="26">
        <v>0</v>
      </c>
      <c r="AJ898" s="26">
        <v>0</v>
      </c>
      <c r="AK898" s="26">
        <v>0</v>
      </c>
      <c r="AL898" s="26">
        <v>0</v>
      </c>
      <c r="AM898" s="25">
        <v>0.99</v>
      </c>
      <c r="AN898" s="30">
        <v>1</v>
      </c>
      <c r="AO898" s="30">
        <v>1</v>
      </c>
      <c r="AP898" s="30">
        <v>0</v>
      </c>
      <c r="AQ898" s="30">
        <v>1</v>
      </c>
      <c r="AR898" s="50">
        <v>8.1059522893420499E-2</v>
      </c>
      <c r="AS898" s="34">
        <v>0</v>
      </c>
      <c r="AT898" s="34">
        <v>0</v>
      </c>
      <c r="AU898" s="34">
        <v>0</v>
      </c>
      <c r="AV898" s="34">
        <v>0</v>
      </c>
      <c r="AW898" s="10"/>
      <c r="AX898" s="8"/>
    </row>
    <row r="899" spans="1:50">
      <c r="A899" s="7"/>
      <c r="B899" s="10"/>
      <c r="C899" s="47"/>
      <c r="D899" s="48"/>
      <c r="E899" s="48"/>
      <c r="F899" s="48"/>
      <c r="G899" s="48"/>
      <c r="H899" s="48"/>
      <c r="I899" s="39"/>
      <c r="J899" s="40"/>
      <c r="K899" s="40"/>
      <c r="L899" s="27"/>
      <c r="M899" s="40"/>
      <c r="N899" s="43"/>
      <c r="O899" s="40"/>
      <c r="P899" s="40"/>
      <c r="Q899" s="26"/>
      <c r="R899" s="40"/>
      <c r="S899" s="43"/>
      <c r="T899" s="40"/>
      <c r="U899" s="40"/>
      <c r="V899" s="26"/>
      <c r="W899" s="40"/>
      <c r="X899" s="43"/>
      <c r="Y899" s="43"/>
      <c r="Z899" s="43"/>
      <c r="AA899" s="28"/>
      <c r="AB899" s="43"/>
      <c r="AC899" s="40"/>
      <c r="AD899" s="40"/>
      <c r="AE899" s="40"/>
      <c r="AF899" s="26"/>
      <c r="AG899" s="40"/>
      <c r="AH899" s="40"/>
      <c r="AI899" s="40"/>
      <c r="AJ899" s="40"/>
      <c r="AK899" s="26"/>
      <c r="AL899" s="40"/>
      <c r="AM899" s="39"/>
      <c r="AN899" s="39"/>
      <c r="AO899" s="39"/>
      <c r="AP899" s="30"/>
      <c r="AQ899" s="39"/>
      <c r="AR899" s="40"/>
      <c r="AS899" s="39"/>
      <c r="AT899" s="39"/>
      <c r="AU899" s="34"/>
      <c r="AV899" s="39"/>
      <c r="AW899" s="10"/>
      <c r="AX899" s="8"/>
    </row>
    <row r="900" spans="1:50">
      <c r="A900" s="7"/>
      <c r="B900" s="10"/>
      <c r="C900" s="69" t="s">
        <v>944</v>
      </c>
      <c r="D900" s="23" t="s">
        <v>23</v>
      </c>
      <c r="E900" s="70" t="s">
        <v>945</v>
      </c>
      <c r="F900" s="71" t="s">
        <v>945</v>
      </c>
      <c r="G900" s="71" t="s">
        <v>945</v>
      </c>
      <c r="H900" s="71" t="s">
        <v>945</v>
      </c>
      <c r="I900" s="25">
        <v>0.9</v>
      </c>
      <c r="J900" s="26">
        <v>0.93333333333333302</v>
      </c>
      <c r="K900" s="26">
        <v>0.86666666666666703</v>
      </c>
      <c r="L900" s="27">
        <v>0.8</v>
      </c>
      <c r="M900" s="26">
        <v>0.88764044943820197</v>
      </c>
      <c r="N900" s="28">
        <v>0.9</v>
      </c>
      <c r="O900" s="26">
        <v>0.87151841868822999</v>
      </c>
      <c r="P900" s="26">
        <v>0.92519685039370103</v>
      </c>
      <c r="Q900" s="26">
        <v>0.89417177914110402</v>
      </c>
      <c r="R900" s="26">
        <v>0.87488400866068705</v>
      </c>
      <c r="S900" s="28">
        <v>0.9</v>
      </c>
      <c r="T900" s="26">
        <v>0.86343216531895794</v>
      </c>
      <c r="U900" s="26">
        <v>0.88818897637795302</v>
      </c>
      <c r="V900" s="26">
        <v>0.92791411042944805</v>
      </c>
      <c r="W900" s="26">
        <v>0.89653572533250803</v>
      </c>
      <c r="X900" s="28">
        <v>0.92</v>
      </c>
      <c r="Y900" s="28">
        <v>0.974474474474474</v>
      </c>
      <c r="Z900" s="28">
        <v>0.95768374164810699</v>
      </c>
      <c r="AA900" s="28">
        <v>0.92213114754098402</v>
      </c>
      <c r="AB900" s="28">
        <v>0.93518060366155398</v>
      </c>
      <c r="AC900" s="28">
        <v>0.92</v>
      </c>
      <c r="AD900" s="26">
        <v>0.99380019726645097</v>
      </c>
      <c r="AE900" s="26">
        <v>0.98105170387779095</v>
      </c>
      <c r="AF900" s="26">
        <v>0.98384030418250901</v>
      </c>
      <c r="AG900" s="26">
        <v>0.98703652427819899</v>
      </c>
      <c r="AH900" s="28">
        <v>0.92</v>
      </c>
      <c r="AI900" s="26">
        <v>0.965148960089938</v>
      </c>
      <c r="AJ900" s="26">
        <v>0.97091332169866196</v>
      </c>
      <c r="AK900" s="26">
        <v>0.95089285714285698</v>
      </c>
      <c r="AL900" s="26">
        <v>0.95641418306043102</v>
      </c>
      <c r="AM900" s="25">
        <v>0.99</v>
      </c>
      <c r="AN900" s="30">
        <v>1</v>
      </c>
      <c r="AO900" s="30">
        <v>1</v>
      </c>
      <c r="AP900" s="30">
        <v>1</v>
      </c>
      <c r="AQ900" s="30">
        <v>1</v>
      </c>
      <c r="AR900" s="50">
        <v>6.5641848892985799E-2</v>
      </c>
      <c r="AS900" s="34">
        <v>6.25E-2</v>
      </c>
      <c r="AT900" s="34">
        <v>0.15</v>
      </c>
      <c r="AU900" s="34">
        <v>0.25</v>
      </c>
      <c r="AV900" s="34">
        <v>7.2916666666666699E-2</v>
      </c>
      <c r="AW900" s="10"/>
      <c r="AX900" s="8"/>
    </row>
    <row r="901" spans="1:50">
      <c r="A901" s="7"/>
      <c r="B901" s="10"/>
      <c r="C901" s="69" t="s">
        <v>944</v>
      </c>
      <c r="D901" s="23" t="s">
        <v>23</v>
      </c>
      <c r="E901" s="72" t="s">
        <v>946</v>
      </c>
      <c r="F901" s="73" t="s">
        <v>946</v>
      </c>
      <c r="G901" s="73" t="s">
        <v>946</v>
      </c>
      <c r="H901" s="73" t="s">
        <v>946</v>
      </c>
      <c r="I901" s="25">
        <v>0.9</v>
      </c>
      <c r="J901" s="26">
        <v>0.92452830188679203</v>
      </c>
      <c r="K901" s="26">
        <v>0.92307692307692302</v>
      </c>
      <c r="L901" s="27">
        <v>0.86111111111111105</v>
      </c>
      <c r="M901" s="26">
        <v>0.78909090909090895</v>
      </c>
      <c r="N901" s="28">
        <v>0.9</v>
      </c>
      <c r="O901" s="26">
        <v>0.87677438840229505</v>
      </c>
      <c r="P901" s="26">
        <v>0.90622813156053195</v>
      </c>
      <c r="Q901" s="26">
        <v>0.83692647871752301</v>
      </c>
      <c r="R901" s="26">
        <v>0.86504322914002196</v>
      </c>
      <c r="S901" s="28">
        <v>0.9</v>
      </c>
      <c r="T901" s="26">
        <v>0.88764723648444599</v>
      </c>
      <c r="U901" s="26">
        <v>0.86843946815955197</v>
      </c>
      <c r="V901" s="26">
        <v>0.88612493090105005</v>
      </c>
      <c r="W901" s="26">
        <v>0.88228372640302899</v>
      </c>
      <c r="X901" s="28">
        <v>0.92</v>
      </c>
      <c r="Y901" s="28">
        <v>0.92738589211618305</v>
      </c>
      <c r="Z901" s="28">
        <v>0.93333333333333302</v>
      </c>
      <c r="AA901" s="28">
        <v>0.88159588159588198</v>
      </c>
      <c r="AB901" s="28">
        <v>0.91323400525854503</v>
      </c>
      <c r="AC901" s="28">
        <v>0.92</v>
      </c>
      <c r="AD901" s="26">
        <v>0.98265726043503798</v>
      </c>
      <c r="AE901" s="26">
        <v>0.96283059328091503</v>
      </c>
      <c r="AF901" s="26">
        <v>0.97563413719855097</v>
      </c>
      <c r="AG901" s="26">
        <v>0.97768836869056297</v>
      </c>
      <c r="AH901" s="28">
        <v>0.92</v>
      </c>
      <c r="AI901" s="26">
        <v>0.93759832197168302</v>
      </c>
      <c r="AJ901" s="26">
        <v>0.94124911785462195</v>
      </c>
      <c r="AK901" s="26">
        <v>0.91608662026295395</v>
      </c>
      <c r="AL901" s="26">
        <v>0.93484108042580605</v>
      </c>
      <c r="AM901" s="25">
        <v>0.99</v>
      </c>
      <c r="AN901" s="30">
        <v>1</v>
      </c>
      <c r="AO901" s="30">
        <v>1</v>
      </c>
      <c r="AP901" s="30">
        <v>1</v>
      </c>
      <c r="AQ901" s="30">
        <v>1</v>
      </c>
      <c r="AR901" s="50">
        <v>6.5641848892985799E-2</v>
      </c>
      <c r="AS901" s="34">
        <v>3.2258064516128997E-2</v>
      </c>
      <c r="AT901" s="34">
        <v>5.5555555555555601E-2</v>
      </c>
      <c r="AU901" s="34">
        <v>0</v>
      </c>
      <c r="AV901" s="34">
        <v>1.3333333333333299E-2</v>
      </c>
      <c r="AW901" s="10"/>
      <c r="AX901" s="8"/>
    </row>
    <row r="902" spans="1:50">
      <c r="A902" s="7"/>
      <c r="B902" s="10"/>
      <c r="C902" s="69" t="s">
        <v>944</v>
      </c>
      <c r="D902" s="23" t="s">
        <v>23</v>
      </c>
      <c r="E902" s="72" t="s">
        <v>947</v>
      </c>
      <c r="F902" s="73" t="s">
        <v>947</v>
      </c>
      <c r="G902" s="73" t="s">
        <v>947</v>
      </c>
      <c r="H902" s="73" t="s">
        <v>947</v>
      </c>
      <c r="I902" s="25">
        <v>0.9</v>
      </c>
      <c r="J902" s="26">
        <v>0.96875</v>
      </c>
      <c r="K902" s="26">
        <v>1</v>
      </c>
      <c r="L902" s="27">
        <v>1</v>
      </c>
      <c r="M902" s="26">
        <v>0.965853658536585</v>
      </c>
      <c r="N902" s="28">
        <v>0.9</v>
      </c>
      <c r="O902" s="26">
        <v>0.86687548942834802</v>
      </c>
      <c r="P902" s="26">
        <v>0.94137931034482802</v>
      </c>
      <c r="Q902" s="26">
        <v>0.93606321839080497</v>
      </c>
      <c r="R902" s="26">
        <v>0.886970817920263</v>
      </c>
      <c r="S902" s="28">
        <v>0.9</v>
      </c>
      <c r="T902" s="26">
        <v>0.78425998433829303</v>
      </c>
      <c r="U902" s="26">
        <v>0.88137931034482797</v>
      </c>
      <c r="V902" s="26">
        <v>0.89152298850574696</v>
      </c>
      <c r="W902" s="26">
        <v>0.82997670913823796</v>
      </c>
      <c r="X902" s="28">
        <v>0.92</v>
      </c>
      <c r="Y902" s="28">
        <v>0.92382588774341401</v>
      </c>
      <c r="Z902" s="28">
        <v>0.93512304250559297</v>
      </c>
      <c r="AA902" s="28">
        <v>0.94851485148514803</v>
      </c>
      <c r="AB902" s="28">
        <v>0.925425207152202</v>
      </c>
      <c r="AC902" s="28">
        <v>0.92</v>
      </c>
      <c r="AD902" s="26">
        <v>0.79574132492113603</v>
      </c>
      <c r="AE902" s="26">
        <v>0.86975717439293598</v>
      </c>
      <c r="AF902" s="26">
        <v>0.95766543362104395</v>
      </c>
      <c r="AG902" s="26">
        <v>0.91101634683724197</v>
      </c>
      <c r="AH902" s="28">
        <v>0.92</v>
      </c>
      <c r="AI902" s="26">
        <v>0.93395348837209302</v>
      </c>
      <c r="AJ902" s="26">
        <v>0.95176594623089095</v>
      </c>
      <c r="AK902" s="26">
        <v>0.95837723919915696</v>
      </c>
      <c r="AL902" s="26">
        <v>0.93761075784426096</v>
      </c>
      <c r="AM902" s="25">
        <v>0.99</v>
      </c>
      <c r="AN902" s="30">
        <v>1</v>
      </c>
      <c r="AO902" s="30">
        <v>1</v>
      </c>
      <c r="AP902" s="30">
        <v>1</v>
      </c>
      <c r="AQ902" s="30">
        <v>1</v>
      </c>
      <c r="AR902" s="50">
        <v>6.5641848892985799E-2</v>
      </c>
      <c r="AS902" s="34">
        <v>0</v>
      </c>
      <c r="AT902" s="34">
        <v>9.5238095238095205E-2</v>
      </c>
      <c r="AU902" s="34">
        <v>0</v>
      </c>
      <c r="AV902" s="34">
        <v>2.6905829596412599E-2</v>
      </c>
      <c r="AW902" s="10"/>
      <c r="AX902" s="8"/>
    </row>
    <row r="903" spans="1:50">
      <c r="A903" s="7"/>
      <c r="B903" s="10"/>
      <c r="C903" s="69" t="s">
        <v>944</v>
      </c>
      <c r="D903" s="23" t="s">
        <v>23</v>
      </c>
      <c r="E903" s="72" t="s">
        <v>948</v>
      </c>
      <c r="F903" s="73" t="s">
        <v>948</v>
      </c>
      <c r="G903" s="73" t="s">
        <v>948</v>
      </c>
      <c r="H903" s="73" t="s">
        <v>948</v>
      </c>
      <c r="I903" s="25">
        <v>0.9</v>
      </c>
      <c r="J903" s="26">
        <v>0.91176470588235303</v>
      </c>
      <c r="K903" s="26">
        <v>0.9375</v>
      </c>
      <c r="L903" s="27">
        <v>0.93548387096774199</v>
      </c>
      <c r="M903" s="26">
        <v>0.94387755102040805</v>
      </c>
      <c r="N903" s="28">
        <v>0.9</v>
      </c>
      <c r="O903" s="26">
        <v>0.93414863593603004</v>
      </c>
      <c r="P903" s="26">
        <v>0.9516</v>
      </c>
      <c r="Q903" s="26">
        <v>0.95304777594728196</v>
      </c>
      <c r="R903" s="26">
        <v>0.94229230030414601</v>
      </c>
      <c r="S903" s="28">
        <v>0.9</v>
      </c>
      <c r="T903" s="26">
        <v>0.92191909689557905</v>
      </c>
      <c r="U903" s="26">
        <v>0.91159999999999997</v>
      </c>
      <c r="V903" s="26">
        <v>0.90774299835255401</v>
      </c>
      <c r="W903" s="26">
        <v>0.920681927325116</v>
      </c>
      <c r="X903" s="28">
        <v>0.92</v>
      </c>
      <c r="Y903" s="28">
        <v>0.95391061452514003</v>
      </c>
      <c r="Z903" s="28">
        <v>0.92641737032569405</v>
      </c>
      <c r="AA903" s="28">
        <v>0.94392523364486003</v>
      </c>
      <c r="AB903" s="28">
        <v>0.93417537041535104</v>
      </c>
      <c r="AC903" s="28">
        <v>0.92</v>
      </c>
      <c r="AD903" s="26">
        <v>0.99549365014338398</v>
      </c>
      <c r="AE903" s="26">
        <v>0.99058025621703105</v>
      </c>
      <c r="AF903" s="26">
        <v>0.97846374730796803</v>
      </c>
      <c r="AG903" s="26">
        <v>0.98273175798493895</v>
      </c>
      <c r="AH903" s="28">
        <v>0.92</v>
      </c>
      <c r="AI903" s="26">
        <v>0.95784148397976399</v>
      </c>
      <c r="AJ903" s="26">
        <v>0.95734454791228596</v>
      </c>
      <c r="AK903" s="26">
        <v>0.96224116930572501</v>
      </c>
      <c r="AL903" s="26">
        <v>0.95816529224101599</v>
      </c>
      <c r="AM903" s="25">
        <v>0.99</v>
      </c>
      <c r="AN903" s="30">
        <v>1</v>
      </c>
      <c r="AO903" s="30">
        <v>1</v>
      </c>
      <c r="AP903" s="30">
        <v>1</v>
      </c>
      <c r="AQ903" s="30">
        <v>1</v>
      </c>
      <c r="AR903" s="50">
        <v>6.5641848892985799E-2</v>
      </c>
      <c r="AS903" s="34">
        <v>2.5641025641025599E-2</v>
      </c>
      <c r="AT903" s="34">
        <v>4.3478260869565202E-2</v>
      </c>
      <c r="AU903" s="34">
        <v>0.11111111111111099</v>
      </c>
      <c r="AV903" s="34">
        <v>7.6502732240437202E-2</v>
      </c>
      <c r="AW903" s="10"/>
      <c r="AX903" s="8"/>
    </row>
    <row r="904" spans="1:50">
      <c r="A904" s="7"/>
      <c r="B904" s="10"/>
      <c r="C904" s="69" t="s">
        <v>944</v>
      </c>
      <c r="D904" s="23" t="s">
        <v>23</v>
      </c>
      <c r="E904" s="72" t="s">
        <v>949</v>
      </c>
      <c r="F904" s="73" t="s">
        <v>949</v>
      </c>
      <c r="G904" s="73" t="s">
        <v>949</v>
      </c>
      <c r="H904" s="73" t="s">
        <v>949</v>
      </c>
      <c r="I904" s="25">
        <v>0.9</v>
      </c>
      <c r="J904" s="26">
        <v>1</v>
      </c>
      <c r="K904" s="26">
        <v>0.97142857142857097</v>
      </c>
      <c r="L904" s="27">
        <v>0.96428571428571397</v>
      </c>
      <c r="M904" s="26">
        <v>0.953125</v>
      </c>
      <c r="N904" s="28">
        <v>0.9</v>
      </c>
      <c r="O904" s="26">
        <v>0.94649122807017505</v>
      </c>
      <c r="P904" s="26">
        <v>0.96768336964415402</v>
      </c>
      <c r="Q904" s="26">
        <v>0.97368421052631604</v>
      </c>
      <c r="R904" s="26">
        <v>0.95622362869198296</v>
      </c>
      <c r="S904" s="28">
        <v>0.9</v>
      </c>
      <c r="T904" s="26">
        <v>0.88815789473684204</v>
      </c>
      <c r="U904" s="26">
        <v>0.92084241103848996</v>
      </c>
      <c r="V904" s="26">
        <v>0.95970394736842102</v>
      </c>
      <c r="W904" s="26">
        <v>0.92299578059071696</v>
      </c>
      <c r="X904" s="28">
        <v>0.92</v>
      </c>
      <c r="Y904" s="28">
        <v>0.952443857331572</v>
      </c>
      <c r="Z904" s="28">
        <v>0.90503432494279201</v>
      </c>
      <c r="AA904" s="28">
        <v>0.96868475991649305</v>
      </c>
      <c r="AB904" s="28">
        <v>0.92533273178434505</v>
      </c>
      <c r="AC904" s="28">
        <v>0.92</v>
      </c>
      <c r="AD904" s="26">
        <v>0.96686390532544397</v>
      </c>
      <c r="AE904" s="26">
        <v>0.926056338028169</v>
      </c>
      <c r="AF904" s="26">
        <v>0.93515704154002</v>
      </c>
      <c r="AG904" s="26">
        <v>0.93014334746618199</v>
      </c>
      <c r="AH904" s="28">
        <v>0.92</v>
      </c>
      <c r="AI904" s="26">
        <v>0.953083816552451</v>
      </c>
      <c r="AJ904" s="26">
        <v>0.96058434399117998</v>
      </c>
      <c r="AK904" s="26">
        <v>0.98348082595870201</v>
      </c>
      <c r="AL904" s="26">
        <v>0.96125825944541698</v>
      </c>
      <c r="AM904" s="25">
        <v>0.99</v>
      </c>
      <c r="AN904" s="30">
        <v>1</v>
      </c>
      <c r="AO904" s="30">
        <v>1</v>
      </c>
      <c r="AP904" s="30">
        <v>1</v>
      </c>
      <c r="AQ904" s="30">
        <v>1</v>
      </c>
      <c r="AR904" s="50">
        <v>6.5641848892985799E-2</v>
      </c>
      <c r="AS904" s="34">
        <v>6.4516129032258104E-2</v>
      </c>
      <c r="AT904" s="34">
        <v>0.1</v>
      </c>
      <c r="AU904" s="34">
        <v>4.3478260869565202E-2</v>
      </c>
      <c r="AV904" s="34">
        <v>5.8139534883720902E-2</v>
      </c>
      <c r="AW904" s="10"/>
      <c r="AX904" s="8"/>
    </row>
    <row r="905" spans="1:50">
      <c r="A905" s="7"/>
      <c r="B905" s="10"/>
      <c r="C905" s="69" t="s">
        <v>944</v>
      </c>
      <c r="D905" s="23" t="s">
        <v>23</v>
      </c>
      <c r="E905" s="72" t="s">
        <v>950</v>
      </c>
      <c r="F905" s="73" t="s">
        <v>950</v>
      </c>
      <c r="G905" s="73" t="s">
        <v>950</v>
      </c>
      <c r="H905" s="73" t="s">
        <v>950</v>
      </c>
      <c r="I905" s="25">
        <v>0.9</v>
      </c>
      <c r="J905" s="26">
        <v>0</v>
      </c>
      <c r="K905" s="26">
        <v>0</v>
      </c>
      <c r="L905" s="27">
        <v>0</v>
      </c>
      <c r="M905" s="26">
        <v>0</v>
      </c>
      <c r="N905" s="28">
        <v>0.9</v>
      </c>
      <c r="O905" s="26">
        <v>0</v>
      </c>
      <c r="P905" s="26">
        <v>0</v>
      </c>
      <c r="Q905" s="26">
        <v>0</v>
      </c>
      <c r="R905" s="26">
        <v>0</v>
      </c>
      <c r="S905" s="28">
        <v>0.9</v>
      </c>
      <c r="T905" s="26">
        <v>0</v>
      </c>
      <c r="U905" s="26">
        <v>0</v>
      </c>
      <c r="V905" s="26">
        <v>1</v>
      </c>
      <c r="W905" s="26">
        <v>1</v>
      </c>
      <c r="X905" s="28">
        <v>0.92</v>
      </c>
      <c r="Y905" s="28">
        <v>0</v>
      </c>
      <c r="Z905" s="28">
        <v>0</v>
      </c>
      <c r="AA905" s="28">
        <v>0</v>
      </c>
      <c r="AB905" s="28">
        <v>0</v>
      </c>
      <c r="AC905" s="28">
        <v>0.92</v>
      </c>
      <c r="AD905" s="26">
        <v>0.88095238095238104</v>
      </c>
      <c r="AE905" s="26">
        <v>0.95918367346938804</v>
      </c>
      <c r="AF905" s="26">
        <v>0.96376811594202905</v>
      </c>
      <c r="AG905" s="26">
        <v>0.93862575050033403</v>
      </c>
      <c r="AH905" s="28">
        <v>0.92</v>
      </c>
      <c r="AI905" s="26">
        <v>0</v>
      </c>
      <c r="AJ905" s="26">
        <v>0</v>
      </c>
      <c r="AK905" s="26">
        <v>1</v>
      </c>
      <c r="AL905" s="26">
        <v>1</v>
      </c>
      <c r="AM905" s="25">
        <v>0.99</v>
      </c>
      <c r="AN905" s="30">
        <v>1</v>
      </c>
      <c r="AO905" s="30">
        <v>1</v>
      </c>
      <c r="AP905" s="30">
        <v>1</v>
      </c>
      <c r="AQ905" s="30">
        <v>1</v>
      </c>
      <c r="AR905" s="50">
        <v>6.5641848892985799E-2</v>
      </c>
      <c r="AS905" s="34">
        <v>0</v>
      </c>
      <c r="AT905" s="34">
        <v>0</v>
      </c>
      <c r="AU905" s="34">
        <v>0</v>
      </c>
      <c r="AV905" s="34">
        <v>0</v>
      </c>
      <c r="AW905" s="10"/>
      <c r="AX905" s="8"/>
    </row>
    <row r="906" spans="1:50">
      <c r="A906" s="7"/>
      <c r="B906" s="10"/>
      <c r="C906" s="69" t="s">
        <v>944</v>
      </c>
      <c r="D906" s="23" t="s">
        <v>23</v>
      </c>
      <c r="E906" s="74" t="s">
        <v>951</v>
      </c>
      <c r="F906" s="75" t="s">
        <v>951</v>
      </c>
      <c r="G906" s="75" t="s">
        <v>951</v>
      </c>
      <c r="H906" s="75" t="s">
        <v>951</v>
      </c>
      <c r="I906" s="25">
        <v>0.9</v>
      </c>
      <c r="J906" s="26">
        <v>0.90476190476190499</v>
      </c>
      <c r="K906" s="26">
        <v>0.952380952380952</v>
      </c>
      <c r="L906" s="27">
        <v>0.92105263157894701</v>
      </c>
      <c r="M906" s="26">
        <v>0.88749999999999996</v>
      </c>
      <c r="N906" s="28">
        <v>0.9</v>
      </c>
      <c r="O906" s="26">
        <v>0.87799043062200999</v>
      </c>
      <c r="P906" s="26">
        <v>0.90422778257118197</v>
      </c>
      <c r="Q906" s="26">
        <v>0.88127853881278495</v>
      </c>
      <c r="R906" s="26">
        <v>0.84694932781799404</v>
      </c>
      <c r="S906" s="28">
        <v>0.9</v>
      </c>
      <c r="T906" s="26">
        <v>0.90478468899521503</v>
      </c>
      <c r="U906" s="26">
        <v>0.92177164222030505</v>
      </c>
      <c r="V906" s="26">
        <v>0.92751141552511396</v>
      </c>
      <c r="W906" s="26">
        <v>0.89887334675883102</v>
      </c>
      <c r="X906" s="28">
        <v>0.92</v>
      </c>
      <c r="Y906" s="28">
        <v>0.93215339233038397</v>
      </c>
      <c r="Z906" s="28">
        <v>0.95171202809482003</v>
      </c>
      <c r="AA906" s="28">
        <v>0.95044247787610603</v>
      </c>
      <c r="AB906" s="28">
        <v>0.93707760428804499</v>
      </c>
      <c r="AC906" s="28">
        <v>0.92</v>
      </c>
      <c r="AD906" s="26">
        <v>0.97818465134398103</v>
      </c>
      <c r="AE906" s="26">
        <v>0.96394686907020899</v>
      </c>
      <c r="AF906" s="26">
        <v>0.958299039780521</v>
      </c>
      <c r="AG906" s="26">
        <v>0.95927260051127095</v>
      </c>
      <c r="AH906" s="28">
        <v>0.92</v>
      </c>
      <c r="AI906" s="26">
        <v>0.92404281597365201</v>
      </c>
      <c r="AJ906" s="26">
        <v>0.94865684575389997</v>
      </c>
      <c r="AK906" s="26">
        <v>0.94389296504100095</v>
      </c>
      <c r="AL906" s="26">
        <v>0.92230653842760102</v>
      </c>
      <c r="AM906" s="25">
        <v>0.99</v>
      </c>
      <c r="AN906" s="30">
        <v>1</v>
      </c>
      <c r="AO906" s="30">
        <v>1</v>
      </c>
      <c r="AP906" s="30">
        <v>1</v>
      </c>
      <c r="AQ906" s="30">
        <v>1</v>
      </c>
      <c r="AR906" s="50">
        <v>6.5641848892985799E-2</v>
      </c>
      <c r="AS906" s="34">
        <v>0.02</v>
      </c>
      <c r="AT906" s="34">
        <v>2.4390243902439001E-2</v>
      </c>
      <c r="AU906" s="34">
        <v>5.5555555555555601E-2</v>
      </c>
      <c r="AV906" s="34">
        <v>7.0866141732283505E-2</v>
      </c>
      <c r="AW906" s="10"/>
      <c r="AX906" s="8"/>
    </row>
    <row r="907" spans="1:50">
      <c r="A907" s="7"/>
      <c r="B907" s="10"/>
      <c r="C907" s="69" t="s">
        <v>944</v>
      </c>
      <c r="D907" s="23" t="s">
        <v>23</v>
      </c>
      <c r="E907" s="74" t="s">
        <v>952</v>
      </c>
      <c r="F907" s="75" t="s">
        <v>952</v>
      </c>
      <c r="G907" s="75" t="s">
        <v>952</v>
      </c>
      <c r="H907" s="75" t="s">
        <v>952</v>
      </c>
      <c r="I907" s="25">
        <v>0.9</v>
      </c>
      <c r="J907" s="26">
        <v>0</v>
      </c>
      <c r="K907" s="26">
        <v>0</v>
      </c>
      <c r="L907" s="27">
        <v>0</v>
      </c>
      <c r="M907" s="26">
        <v>0</v>
      </c>
      <c r="N907" s="28">
        <v>0.9</v>
      </c>
      <c r="O907" s="26">
        <v>0</v>
      </c>
      <c r="P907" s="26">
        <v>0</v>
      </c>
      <c r="Q907" s="26">
        <v>0</v>
      </c>
      <c r="R907" s="26">
        <v>0</v>
      </c>
      <c r="S907" s="28">
        <v>0.9</v>
      </c>
      <c r="T907" s="26">
        <v>0</v>
      </c>
      <c r="U907" s="26">
        <v>0</v>
      </c>
      <c r="V907" s="26">
        <v>0</v>
      </c>
      <c r="W907" s="26">
        <v>0</v>
      </c>
      <c r="X907" s="28">
        <v>0.92</v>
      </c>
      <c r="Y907" s="28">
        <v>0</v>
      </c>
      <c r="Z907" s="28">
        <v>0</v>
      </c>
      <c r="AA907" s="28">
        <v>0</v>
      </c>
      <c r="AB907" s="28">
        <v>0</v>
      </c>
      <c r="AC907" s="28">
        <v>0.92</v>
      </c>
      <c r="AD907" s="26">
        <v>0.99564270152505496</v>
      </c>
      <c r="AE907" s="26">
        <v>0.96543778801843305</v>
      </c>
      <c r="AF907" s="26">
        <v>0.97139303482587103</v>
      </c>
      <c r="AG907" s="26">
        <v>0.96651270207852202</v>
      </c>
      <c r="AH907" s="28">
        <v>0.92</v>
      </c>
      <c r="AI907" s="26">
        <v>0</v>
      </c>
      <c r="AJ907" s="26">
        <v>0</v>
      </c>
      <c r="AK907" s="26">
        <v>0</v>
      </c>
      <c r="AL907" s="26">
        <v>0</v>
      </c>
      <c r="AM907" s="25">
        <v>0.99</v>
      </c>
      <c r="AN907" s="30">
        <v>1</v>
      </c>
      <c r="AO907" s="30">
        <v>1</v>
      </c>
      <c r="AP907" s="30">
        <v>1</v>
      </c>
      <c r="AQ907" s="30">
        <v>1</v>
      </c>
      <c r="AR907" s="50">
        <v>6.5641848892985799E-2</v>
      </c>
      <c r="AS907" s="34">
        <v>0</v>
      </c>
      <c r="AT907" s="34">
        <v>0</v>
      </c>
      <c r="AU907" s="34">
        <v>0</v>
      </c>
      <c r="AV907" s="34">
        <v>0</v>
      </c>
      <c r="AW907" s="10"/>
      <c r="AX907" s="8"/>
    </row>
    <row r="908" spans="1:50">
      <c r="A908" s="7"/>
      <c r="B908" s="10"/>
      <c r="C908" s="69" t="s">
        <v>944</v>
      </c>
      <c r="D908" s="23" t="s">
        <v>23</v>
      </c>
      <c r="E908" s="74" t="s">
        <v>953</v>
      </c>
      <c r="F908" s="75" t="s">
        <v>953</v>
      </c>
      <c r="G908" s="75" t="s">
        <v>953</v>
      </c>
      <c r="H908" s="75" t="s">
        <v>953</v>
      </c>
      <c r="I908" s="25">
        <v>0.9</v>
      </c>
      <c r="J908" s="26">
        <v>0.90476190476190499</v>
      </c>
      <c r="K908" s="26">
        <v>0.85</v>
      </c>
      <c r="L908" s="27">
        <v>0.83333333333333304</v>
      </c>
      <c r="M908" s="26">
        <v>0.84070796460177</v>
      </c>
      <c r="N908" s="28">
        <v>0.9</v>
      </c>
      <c r="O908" s="26">
        <v>0.88736890104879196</v>
      </c>
      <c r="P908" s="26">
        <v>0.89305711086226203</v>
      </c>
      <c r="Q908" s="26">
        <v>0.88407163053722904</v>
      </c>
      <c r="R908" s="26">
        <v>0.80921592775041096</v>
      </c>
      <c r="S908" s="28">
        <v>0.9</v>
      </c>
      <c r="T908" s="26">
        <v>0.90788873689010496</v>
      </c>
      <c r="U908" s="26">
        <v>0.91489361702127703</v>
      </c>
      <c r="V908" s="26">
        <v>0.92836946277097099</v>
      </c>
      <c r="W908" s="26">
        <v>0.909688013136289</v>
      </c>
      <c r="X908" s="28">
        <v>0.92</v>
      </c>
      <c r="Y908" s="28">
        <v>0.92914979757085003</v>
      </c>
      <c r="Z908" s="28">
        <v>0.92551210428305397</v>
      </c>
      <c r="AA908" s="28">
        <v>0.886075949367089</v>
      </c>
      <c r="AB908" s="28">
        <v>0.90669593852908903</v>
      </c>
      <c r="AC908" s="28">
        <v>0.92</v>
      </c>
      <c r="AD908" s="26">
        <v>0.94907702100572899</v>
      </c>
      <c r="AE908" s="26">
        <v>0.90782898389783495</v>
      </c>
      <c r="AF908" s="26">
        <v>0.88065661047027499</v>
      </c>
      <c r="AG908" s="26">
        <v>0.88231141589350504</v>
      </c>
      <c r="AH908" s="28">
        <v>0.92</v>
      </c>
      <c r="AI908" s="26">
        <v>0.951672862453532</v>
      </c>
      <c r="AJ908" s="26">
        <v>0.93758071459319803</v>
      </c>
      <c r="AK908" s="26">
        <v>0.93536673928830805</v>
      </c>
      <c r="AL908" s="26">
        <v>0.93293806586010697</v>
      </c>
      <c r="AM908" s="25">
        <v>0.99</v>
      </c>
      <c r="AN908" s="30">
        <v>1</v>
      </c>
      <c r="AO908" s="30">
        <v>1</v>
      </c>
      <c r="AP908" s="30">
        <v>1</v>
      </c>
      <c r="AQ908" s="30">
        <v>1</v>
      </c>
      <c r="AR908" s="50">
        <v>6.5641848892985799E-2</v>
      </c>
      <c r="AS908" s="34">
        <v>0</v>
      </c>
      <c r="AT908" s="34">
        <v>0</v>
      </c>
      <c r="AU908" s="34">
        <v>0</v>
      </c>
      <c r="AV908" s="34">
        <v>3.2258064516128997E-2</v>
      </c>
      <c r="AW908" s="10"/>
      <c r="AX908" s="8"/>
    </row>
    <row r="909" spans="1:50">
      <c r="A909" s="7"/>
      <c r="B909" s="10"/>
      <c r="C909" s="69" t="s">
        <v>944</v>
      </c>
      <c r="D909" s="23" t="s">
        <v>23</v>
      </c>
      <c r="E909" s="72" t="s">
        <v>954</v>
      </c>
      <c r="F909" s="73" t="s">
        <v>954</v>
      </c>
      <c r="G909" s="73" t="s">
        <v>954</v>
      </c>
      <c r="H909" s="73" t="s">
        <v>954</v>
      </c>
      <c r="I909" s="25">
        <v>0.9</v>
      </c>
      <c r="J909" s="26">
        <v>0</v>
      </c>
      <c r="K909" s="26">
        <v>0</v>
      </c>
      <c r="L909" s="27">
        <v>0</v>
      </c>
      <c r="M909" s="26">
        <v>0</v>
      </c>
      <c r="N909" s="28">
        <v>0.9</v>
      </c>
      <c r="O909" s="26">
        <v>0</v>
      </c>
      <c r="P909" s="26">
        <v>0</v>
      </c>
      <c r="Q909" s="26">
        <v>0</v>
      </c>
      <c r="R909" s="26">
        <v>0</v>
      </c>
      <c r="S909" s="28">
        <v>0.9</v>
      </c>
      <c r="T909" s="26">
        <v>0</v>
      </c>
      <c r="U909" s="26">
        <v>0</v>
      </c>
      <c r="V909" s="26">
        <v>0</v>
      </c>
      <c r="W909" s="26">
        <v>0</v>
      </c>
      <c r="X909" s="28">
        <v>0.92</v>
      </c>
      <c r="Y909" s="28">
        <v>0</v>
      </c>
      <c r="Z909" s="28">
        <v>0</v>
      </c>
      <c r="AA909" s="28">
        <v>0</v>
      </c>
      <c r="AB909" s="28">
        <v>0</v>
      </c>
      <c r="AC909" s="28">
        <v>0.92</v>
      </c>
      <c r="AD909" s="26">
        <v>0.99404761904761896</v>
      </c>
      <c r="AE909" s="26">
        <v>1</v>
      </c>
      <c r="AF909" s="26">
        <v>0.99333333333333296</v>
      </c>
      <c r="AG909" s="26">
        <v>0.85294117647058798</v>
      </c>
      <c r="AH909" s="28">
        <v>0.92</v>
      </c>
      <c r="AI909" s="26">
        <v>0</v>
      </c>
      <c r="AJ909" s="26">
        <v>0</v>
      </c>
      <c r="AK909" s="26">
        <v>0</v>
      </c>
      <c r="AL909" s="26">
        <v>0</v>
      </c>
      <c r="AM909" s="25">
        <v>0.99</v>
      </c>
      <c r="AN909" s="30">
        <v>1</v>
      </c>
      <c r="AO909" s="30">
        <v>1</v>
      </c>
      <c r="AP909" s="30">
        <v>1</v>
      </c>
      <c r="AQ909" s="30">
        <v>1</v>
      </c>
      <c r="AR909" s="50">
        <v>6.5641848892985799E-2</v>
      </c>
      <c r="AS909" s="34">
        <v>0</v>
      </c>
      <c r="AT909" s="34">
        <v>0</v>
      </c>
      <c r="AU909" s="34">
        <v>0</v>
      </c>
      <c r="AV909" s="34">
        <v>0</v>
      </c>
      <c r="AW909" s="10"/>
      <c r="AX909" s="8"/>
    </row>
    <row r="910" spans="1:50">
      <c r="A910" s="7"/>
      <c r="B910" s="10"/>
      <c r="C910" s="69" t="s">
        <v>944</v>
      </c>
      <c r="D910" s="23" t="s">
        <v>23</v>
      </c>
      <c r="E910" s="72" t="s">
        <v>955</v>
      </c>
      <c r="F910" s="73" t="s">
        <v>955</v>
      </c>
      <c r="G910" s="73" t="s">
        <v>955</v>
      </c>
      <c r="H910" s="73" t="s">
        <v>955</v>
      </c>
      <c r="I910" s="25">
        <v>0.9</v>
      </c>
      <c r="J910" s="26">
        <v>0.94736842105263197</v>
      </c>
      <c r="K910" s="26">
        <v>0.89473684210526305</v>
      </c>
      <c r="L910" s="27">
        <v>0.68421052631578905</v>
      </c>
      <c r="M910" s="26">
        <v>0.75675675675675702</v>
      </c>
      <c r="N910" s="28">
        <v>0.9</v>
      </c>
      <c r="O910" s="26">
        <v>0.88553113553113505</v>
      </c>
      <c r="P910" s="26">
        <v>0.81137724550898205</v>
      </c>
      <c r="Q910" s="26">
        <v>0.87634749524413402</v>
      </c>
      <c r="R910" s="26">
        <v>0.77468307000561998</v>
      </c>
      <c r="S910" s="28">
        <v>0.9</v>
      </c>
      <c r="T910" s="26">
        <v>0.79120879120879095</v>
      </c>
      <c r="U910" s="26">
        <v>0.71801850843767001</v>
      </c>
      <c r="V910" s="26">
        <v>0.82371591629676599</v>
      </c>
      <c r="W910" s="26">
        <v>0.711609317429588</v>
      </c>
      <c r="X910" s="28">
        <v>0.92</v>
      </c>
      <c r="Y910" s="28">
        <v>0</v>
      </c>
      <c r="Z910" s="28">
        <v>0</v>
      </c>
      <c r="AA910" s="28">
        <v>0</v>
      </c>
      <c r="AB910" s="28">
        <v>0</v>
      </c>
      <c r="AC910" s="28">
        <v>0.92</v>
      </c>
      <c r="AD910" s="26">
        <v>0.99502341920374704</v>
      </c>
      <c r="AE910" s="26">
        <v>0.93902981753449</v>
      </c>
      <c r="AF910" s="26">
        <v>0.97993348115299295</v>
      </c>
      <c r="AG910" s="26">
        <v>0.94871235701116197</v>
      </c>
      <c r="AH910" s="28">
        <v>0.92</v>
      </c>
      <c r="AI910" s="26">
        <v>0.95634920634920595</v>
      </c>
      <c r="AJ910" s="26">
        <v>0.95674646354733395</v>
      </c>
      <c r="AK910" s="26">
        <v>0.95313489550348296</v>
      </c>
      <c r="AL910" s="26">
        <v>0.93956798601573199</v>
      </c>
      <c r="AM910" s="25">
        <v>0.99</v>
      </c>
      <c r="AN910" s="30">
        <v>1</v>
      </c>
      <c r="AO910" s="30">
        <v>1</v>
      </c>
      <c r="AP910" s="30">
        <v>1</v>
      </c>
      <c r="AQ910" s="30">
        <v>1</v>
      </c>
      <c r="AR910" s="50">
        <v>6.5641848892985799E-2</v>
      </c>
      <c r="AS910" s="34">
        <v>0.105263157894737</v>
      </c>
      <c r="AT910" s="34">
        <v>0</v>
      </c>
      <c r="AU910" s="34">
        <v>0</v>
      </c>
      <c r="AV910" s="34">
        <v>3.4188034188034198E-2</v>
      </c>
      <c r="AW910" s="10"/>
      <c r="AX910" s="8"/>
    </row>
    <row r="911" spans="1:50">
      <c r="A911" s="7"/>
      <c r="B911" s="10"/>
      <c r="C911" s="69" t="s">
        <v>944</v>
      </c>
      <c r="D911" s="23" t="s">
        <v>23</v>
      </c>
      <c r="E911" s="72" t="s">
        <v>956</v>
      </c>
      <c r="F911" s="73" t="s">
        <v>956</v>
      </c>
      <c r="G911" s="73" t="s">
        <v>956</v>
      </c>
      <c r="H911" s="73" t="s">
        <v>956</v>
      </c>
      <c r="I911" s="25">
        <v>0.9</v>
      </c>
      <c r="J911" s="26">
        <v>0.90625</v>
      </c>
      <c r="K911" s="26">
        <v>0.86486486486486502</v>
      </c>
      <c r="L911" s="27">
        <v>0.90909090909090895</v>
      </c>
      <c r="M911" s="26">
        <v>0.86772486772486801</v>
      </c>
      <c r="N911" s="28">
        <v>0.9</v>
      </c>
      <c r="O911" s="26">
        <v>0.97266387726638803</v>
      </c>
      <c r="P911" s="26">
        <v>0.98844511429289095</v>
      </c>
      <c r="Q911" s="26">
        <v>0.96985934360348303</v>
      </c>
      <c r="R911" s="26">
        <v>0.97627331318085897</v>
      </c>
      <c r="S911" s="28">
        <v>0.9</v>
      </c>
      <c r="T911" s="26">
        <v>0.90153417015341697</v>
      </c>
      <c r="U911" s="26">
        <v>0.92288369756342603</v>
      </c>
      <c r="V911" s="26">
        <v>0.94239785666443399</v>
      </c>
      <c r="W911" s="26">
        <v>0.89688016882450206</v>
      </c>
      <c r="X911" s="28">
        <v>0.92</v>
      </c>
      <c r="Y911" s="28">
        <v>1</v>
      </c>
      <c r="Z911" s="28">
        <v>0</v>
      </c>
      <c r="AA911" s="28">
        <v>0</v>
      </c>
      <c r="AB911" s="28">
        <v>1</v>
      </c>
      <c r="AC911" s="28">
        <v>0.92</v>
      </c>
      <c r="AD911" s="26">
        <v>0.99933510638297895</v>
      </c>
      <c r="AE911" s="26">
        <v>0.99762282091917598</v>
      </c>
      <c r="AF911" s="26">
        <v>0.99799759711654001</v>
      </c>
      <c r="AG911" s="26">
        <v>0.99868088380784903</v>
      </c>
      <c r="AH911" s="28">
        <v>0.92</v>
      </c>
      <c r="AI911" s="26">
        <v>0.94311210262130496</v>
      </c>
      <c r="AJ911" s="26">
        <v>0.95553880934438595</v>
      </c>
      <c r="AK911" s="26">
        <v>0.96048225050234404</v>
      </c>
      <c r="AL911" s="26">
        <v>0.93874757613778903</v>
      </c>
      <c r="AM911" s="25">
        <v>0.99</v>
      </c>
      <c r="AN911" s="30">
        <v>1</v>
      </c>
      <c r="AO911" s="30">
        <v>1</v>
      </c>
      <c r="AP911" s="30">
        <v>1</v>
      </c>
      <c r="AQ911" s="30">
        <v>1</v>
      </c>
      <c r="AR911" s="50">
        <v>6.5641848892985799E-2</v>
      </c>
      <c r="AS911" s="34">
        <v>5.5555555555555601E-2</v>
      </c>
      <c r="AT911" s="34">
        <v>0</v>
      </c>
      <c r="AU911" s="34">
        <v>8.3333333333333301E-2</v>
      </c>
      <c r="AV911" s="34">
        <v>5.8139534883720902E-2</v>
      </c>
      <c r="AW911" s="10"/>
      <c r="AX911" s="8"/>
    </row>
    <row r="912" spans="1:50">
      <c r="A912" s="7"/>
      <c r="B912" s="10"/>
      <c r="C912" s="69" t="s">
        <v>944</v>
      </c>
      <c r="D912" s="23" t="s">
        <v>23</v>
      </c>
      <c r="E912" s="76" t="s">
        <v>957</v>
      </c>
      <c r="F912" s="77" t="s">
        <v>957</v>
      </c>
      <c r="G912" s="77" t="s">
        <v>957</v>
      </c>
      <c r="H912" s="77" t="s">
        <v>957</v>
      </c>
      <c r="I912" s="25">
        <v>0.9</v>
      </c>
      <c r="J912" s="26">
        <v>0.94736842105263197</v>
      </c>
      <c r="K912" s="26">
        <v>0.952380952380952</v>
      </c>
      <c r="L912" s="27">
        <v>0.875</v>
      </c>
      <c r="M912" s="26">
        <v>0.92380952380952397</v>
      </c>
      <c r="N912" s="28">
        <v>0.9</v>
      </c>
      <c r="O912" s="26">
        <v>0.74594813614262601</v>
      </c>
      <c r="P912" s="26">
        <v>0.79152348224513203</v>
      </c>
      <c r="Q912" s="26">
        <v>0.882958801498127</v>
      </c>
      <c r="R912" s="26">
        <v>0.80597889800703404</v>
      </c>
      <c r="S912" s="28">
        <v>0.9</v>
      </c>
      <c r="T912" s="26">
        <v>0.82455429497568899</v>
      </c>
      <c r="U912" s="26">
        <v>0.85223367697594499</v>
      </c>
      <c r="V912" s="26">
        <v>0.88389513108614204</v>
      </c>
      <c r="W912" s="26">
        <v>0.82021436945235304</v>
      </c>
      <c r="X912" s="28">
        <v>0.92</v>
      </c>
      <c r="Y912" s="28">
        <v>0</v>
      </c>
      <c r="Z912" s="28">
        <v>0</v>
      </c>
      <c r="AA912" s="28">
        <v>0</v>
      </c>
      <c r="AB912" s="28">
        <v>0</v>
      </c>
      <c r="AC912" s="28">
        <v>0.92</v>
      </c>
      <c r="AD912" s="26">
        <v>1</v>
      </c>
      <c r="AE912" s="26">
        <v>0.99910581222056605</v>
      </c>
      <c r="AF912" s="26">
        <v>0.99884526558891495</v>
      </c>
      <c r="AG912" s="26">
        <v>0.99854164416117497</v>
      </c>
      <c r="AH912" s="28">
        <v>0.92</v>
      </c>
      <c r="AI912" s="26">
        <v>0.90611088628085801</v>
      </c>
      <c r="AJ912" s="26">
        <v>0.94090735798703795</v>
      </c>
      <c r="AK912" s="26">
        <v>0.96448598130841101</v>
      </c>
      <c r="AL912" s="26">
        <v>0.931839090072761</v>
      </c>
      <c r="AM912" s="25">
        <v>0.99</v>
      </c>
      <c r="AN912" s="30">
        <v>1</v>
      </c>
      <c r="AO912" s="30">
        <v>1</v>
      </c>
      <c r="AP912" s="30">
        <v>1</v>
      </c>
      <c r="AQ912" s="30">
        <v>1</v>
      </c>
      <c r="AR912" s="50">
        <v>6.5641848892985799E-2</v>
      </c>
      <c r="AS912" s="34">
        <v>0</v>
      </c>
      <c r="AT912" s="34">
        <v>8.3333333333333301E-2</v>
      </c>
      <c r="AU912" s="34">
        <v>0</v>
      </c>
      <c r="AV912" s="34">
        <v>6.5217391304347797E-2</v>
      </c>
      <c r="AW912" s="10"/>
      <c r="AX912" s="8"/>
    </row>
    <row r="913" spans="1:50">
      <c r="A913" s="7"/>
      <c r="B913" s="10"/>
      <c r="C913" s="69" t="s">
        <v>944</v>
      </c>
      <c r="D913" s="23" t="s">
        <v>23</v>
      </c>
      <c r="E913" s="72" t="s">
        <v>958</v>
      </c>
      <c r="F913" s="73" t="s">
        <v>958</v>
      </c>
      <c r="G913" s="73" t="s">
        <v>958</v>
      </c>
      <c r="H913" s="73" t="s">
        <v>958</v>
      </c>
      <c r="I913" s="25">
        <v>0.9</v>
      </c>
      <c r="J913" s="26">
        <v>0.85365853658536595</v>
      </c>
      <c r="K913" s="26">
        <v>0.97560975609756095</v>
      </c>
      <c r="L913" s="27">
        <v>0.83333333333333304</v>
      </c>
      <c r="M913" s="26">
        <v>0.89873417721519</v>
      </c>
      <c r="N913" s="28">
        <v>0.9</v>
      </c>
      <c r="O913" s="26">
        <v>0.92192257503262298</v>
      </c>
      <c r="P913" s="26">
        <v>0.91956565453448602</v>
      </c>
      <c r="Q913" s="26">
        <v>0.89493087557603701</v>
      </c>
      <c r="R913" s="26">
        <v>0.90815636412822898</v>
      </c>
      <c r="S913" s="28">
        <v>0.9</v>
      </c>
      <c r="T913" s="26">
        <v>0.92735972161809499</v>
      </c>
      <c r="U913" s="26">
        <v>0.89483209330384095</v>
      </c>
      <c r="V913" s="26">
        <v>0.93456221198156697</v>
      </c>
      <c r="W913" s="26">
        <v>0.90738987330357501</v>
      </c>
      <c r="X913" s="28">
        <v>0.92</v>
      </c>
      <c r="Y913" s="28">
        <v>0</v>
      </c>
      <c r="Z913" s="28">
        <v>0</v>
      </c>
      <c r="AA913" s="28">
        <v>0</v>
      </c>
      <c r="AB913" s="28">
        <v>0</v>
      </c>
      <c r="AC913" s="28">
        <v>0.92</v>
      </c>
      <c r="AD913" s="26">
        <v>0.98731947868967995</v>
      </c>
      <c r="AE913" s="26">
        <v>0.99472295514511899</v>
      </c>
      <c r="AF913" s="26">
        <v>0.99814978682326405</v>
      </c>
      <c r="AG913" s="26">
        <v>0.99480636516707399</v>
      </c>
      <c r="AH913" s="28">
        <v>0.92</v>
      </c>
      <c r="AI913" s="26">
        <v>0.96585471944323598</v>
      </c>
      <c r="AJ913" s="26">
        <v>0.96360345867685504</v>
      </c>
      <c r="AK913" s="26">
        <v>0.96036866359447004</v>
      </c>
      <c r="AL913" s="26">
        <v>0.95383228133453601</v>
      </c>
      <c r="AM913" s="25">
        <v>0.99</v>
      </c>
      <c r="AN913" s="30">
        <v>1</v>
      </c>
      <c r="AO913" s="30">
        <v>1</v>
      </c>
      <c r="AP913" s="30">
        <v>1</v>
      </c>
      <c r="AQ913" s="30">
        <v>1</v>
      </c>
      <c r="AR913" s="50">
        <v>6.5641848892985799E-2</v>
      </c>
      <c r="AS913" s="34">
        <v>5.8823529411764698E-2</v>
      </c>
      <c r="AT913" s="34">
        <v>0</v>
      </c>
      <c r="AU913" s="34">
        <v>0.125</v>
      </c>
      <c r="AV913" s="34">
        <v>5.3763440860215103E-2</v>
      </c>
      <c r="AW913" s="10"/>
      <c r="AX913" s="8"/>
    </row>
    <row r="914" spans="1:50">
      <c r="A914" s="7"/>
      <c r="B914" s="10"/>
      <c r="C914" s="69" t="s">
        <v>944</v>
      </c>
      <c r="D914" s="23" t="s">
        <v>23</v>
      </c>
      <c r="E914" s="76" t="s">
        <v>959</v>
      </c>
      <c r="F914" s="77" t="s">
        <v>959</v>
      </c>
      <c r="G914" s="77" t="s">
        <v>959</v>
      </c>
      <c r="H914" s="77" t="s">
        <v>959</v>
      </c>
      <c r="I914" s="25">
        <v>0.9</v>
      </c>
      <c r="J914" s="26">
        <v>0.75</v>
      </c>
      <c r="K914" s="26">
        <v>0.92307692307692302</v>
      </c>
      <c r="L914" s="27">
        <v>0.91666666666666696</v>
      </c>
      <c r="M914" s="26">
        <v>0.90540540540540504</v>
      </c>
      <c r="N914" s="28">
        <v>0.9</v>
      </c>
      <c r="O914" s="26">
        <v>0.94780793319415402</v>
      </c>
      <c r="P914" s="26">
        <v>0.94993045897079298</v>
      </c>
      <c r="Q914" s="26">
        <v>0.96149490373725899</v>
      </c>
      <c r="R914" s="26">
        <v>0.94535803497085802</v>
      </c>
      <c r="S914" s="28">
        <v>0.9</v>
      </c>
      <c r="T914" s="26">
        <v>0.89613778705636704</v>
      </c>
      <c r="U914" s="26">
        <v>0.90078813166434901</v>
      </c>
      <c r="V914" s="26">
        <v>0.94110985277463199</v>
      </c>
      <c r="W914" s="26">
        <v>0.891340549542048</v>
      </c>
      <c r="X914" s="28">
        <v>0.92</v>
      </c>
      <c r="Y914" s="28">
        <v>0</v>
      </c>
      <c r="Z914" s="28">
        <v>0</v>
      </c>
      <c r="AA914" s="28">
        <v>0</v>
      </c>
      <c r="AB914" s="28">
        <v>0</v>
      </c>
      <c r="AC914" s="28">
        <v>0.92</v>
      </c>
      <c r="AD914" s="26">
        <v>0.99621212121212099</v>
      </c>
      <c r="AE914" s="26">
        <v>0.99801587301587302</v>
      </c>
      <c r="AF914" s="26">
        <v>0.99516129032258105</v>
      </c>
      <c r="AG914" s="26">
        <v>0.99715747583854497</v>
      </c>
      <c r="AH914" s="28">
        <v>0.92</v>
      </c>
      <c r="AI914" s="26">
        <v>0.93531559728742797</v>
      </c>
      <c r="AJ914" s="26">
        <v>0.94343996291145105</v>
      </c>
      <c r="AK914" s="26">
        <v>0.97508493771234395</v>
      </c>
      <c r="AL914" s="26">
        <v>0.94724245577523403</v>
      </c>
      <c r="AM914" s="25">
        <v>0.99</v>
      </c>
      <c r="AN914" s="30">
        <v>1</v>
      </c>
      <c r="AO914" s="30">
        <v>1</v>
      </c>
      <c r="AP914" s="30">
        <v>1</v>
      </c>
      <c r="AQ914" s="30">
        <v>1</v>
      </c>
      <c r="AR914" s="50">
        <v>6.5641848892985799E-2</v>
      </c>
      <c r="AS914" s="34">
        <v>0</v>
      </c>
      <c r="AT914" s="34">
        <v>0</v>
      </c>
      <c r="AU914" s="34">
        <v>0</v>
      </c>
      <c r="AV914" s="34">
        <v>2.3809523809523801E-2</v>
      </c>
      <c r="AW914" s="10"/>
      <c r="AX914" s="8"/>
    </row>
    <row r="915" spans="1:50">
      <c r="A915" s="7"/>
      <c r="B915" s="10"/>
      <c r="C915" s="69" t="s">
        <v>944</v>
      </c>
      <c r="D915" s="23" t="s">
        <v>23</v>
      </c>
      <c r="E915" s="72" t="s">
        <v>960</v>
      </c>
      <c r="F915" s="73" t="s">
        <v>960</v>
      </c>
      <c r="G915" s="73" t="s">
        <v>960</v>
      </c>
      <c r="H915" s="73" t="s">
        <v>960</v>
      </c>
      <c r="I915" s="25">
        <v>0.9</v>
      </c>
      <c r="J915" s="26">
        <v>0.80952380952380998</v>
      </c>
      <c r="K915" s="26">
        <v>0.86956521739130399</v>
      </c>
      <c r="L915" s="27">
        <v>0.61111111111111105</v>
      </c>
      <c r="M915" s="26">
        <v>0.81512605042016795</v>
      </c>
      <c r="N915" s="28">
        <v>0.9</v>
      </c>
      <c r="O915" s="26">
        <v>0.89629888268156399</v>
      </c>
      <c r="P915" s="26">
        <v>0.94001340482573703</v>
      </c>
      <c r="Q915" s="26">
        <v>0.94130594277329405</v>
      </c>
      <c r="R915" s="26">
        <v>0.92225376719807795</v>
      </c>
      <c r="S915" s="28">
        <v>0.9</v>
      </c>
      <c r="T915" s="26">
        <v>0.86208100558659195</v>
      </c>
      <c r="U915" s="26">
        <v>0.85757372654155495</v>
      </c>
      <c r="V915" s="26">
        <v>0.87820983125458596</v>
      </c>
      <c r="W915" s="26">
        <v>0.82936594598529501</v>
      </c>
      <c r="X915" s="28">
        <v>0.92</v>
      </c>
      <c r="Y915" s="28">
        <v>0</v>
      </c>
      <c r="Z915" s="28">
        <v>0</v>
      </c>
      <c r="AA915" s="28">
        <v>0</v>
      </c>
      <c r="AB915" s="28">
        <v>0</v>
      </c>
      <c r="AC915" s="28">
        <v>0.92</v>
      </c>
      <c r="AD915" s="26">
        <v>0.99558173784977899</v>
      </c>
      <c r="AE915" s="26">
        <v>0.99139953088350297</v>
      </c>
      <c r="AF915" s="26">
        <v>0.99571522742254404</v>
      </c>
      <c r="AG915" s="26">
        <v>0.99128736668168804</v>
      </c>
      <c r="AH915" s="28">
        <v>0.92</v>
      </c>
      <c r="AI915" s="26">
        <v>0.93994413407821198</v>
      </c>
      <c r="AJ915" s="26">
        <v>0.95242881072026797</v>
      </c>
      <c r="AK915" s="26">
        <v>0.95084372707263398</v>
      </c>
      <c r="AL915" s="26">
        <v>0.94504694664822797</v>
      </c>
      <c r="AM915" s="25">
        <v>0.99</v>
      </c>
      <c r="AN915" s="30">
        <v>1</v>
      </c>
      <c r="AO915" s="30">
        <v>1</v>
      </c>
      <c r="AP915" s="30">
        <v>1</v>
      </c>
      <c r="AQ915" s="30">
        <v>1</v>
      </c>
      <c r="AR915" s="50">
        <v>6.5641848892985799E-2</v>
      </c>
      <c r="AS915" s="34">
        <v>0</v>
      </c>
      <c r="AT915" s="34">
        <v>0</v>
      </c>
      <c r="AU915" s="34">
        <v>-3.7037037037037E-2</v>
      </c>
      <c r="AV915" s="34">
        <v>3.7974683544303799E-2</v>
      </c>
      <c r="AW915" s="10"/>
      <c r="AX915" s="8"/>
    </row>
    <row r="916" spans="1:50">
      <c r="A916" s="7"/>
      <c r="B916" s="10"/>
      <c r="C916" s="69" t="s">
        <v>944</v>
      </c>
      <c r="D916" s="23" t="s">
        <v>23</v>
      </c>
      <c r="E916" s="72" t="s">
        <v>961</v>
      </c>
      <c r="F916" s="73" t="s">
        <v>961</v>
      </c>
      <c r="G916" s="73" t="s">
        <v>961</v>
      </c>
      <c r="H916" s="73" t="s">
        <v>961</v>
      </c>
      <c r="I916" s="25">
        <v>0.9</v>
      </c>
      <c r="J916" s="26">
        <v>0.86206896551724099</v>
      </c>
      <c r="K916" s="26">
        <v>0.94285714285714295</v>
      </c>
      <c r="L916" s="27">
        <v>0.87096774193548399</v>
      </c>
      <c r="M916" s="26">
        <v>0.82258064516129004</v>
      </c>
      <c r="N916" s="28">
        <v>0.9</v>
      </c>
      <c r="O916" s="26">
        <v>0.88084112149532701</v>
      </c>
      <c r="P916" s="26">
        <v>0.96085343228200404</v>
      </c>
      <c r="Q916" s="26">
        <v>0.93564136706613399</v>
      </c>
      <c r="R916" s="26">
        <v>0.88713366999007304</v>
      </c>
      <c r="S916" s="28">
        <v>0.9</v>
      </c>
      <c r="T916" s="26">
        <v>0.89698385726423102</v>
      </c>
      <c r="U916" s="26">
        <v>0.92207792207792205</v>
      </c>
      <c r="V916" s="26">
        <v>0.92720816688859298</v>
      </c>
      <c r="W916" s="26">
        <v>0.89667227761232704</v>
      </c>
      <c r="X916" s="28">
        <v>0.92</v>
      </c>
      <c r="Y916" s="28">
        <v>0</v>
      </c>
      <c r="Z916" s="28">
        <v>0</v>
      </c>
      <c r="AA916" s="28">
        <v>0</v>
      </c>
      <c r="AB916" s="28">
        <v>0.5</v>
      </c>
      <c r="AC916" s="28">
        <v>0.92</v>
      </c>
      <c r="AD916" s="26">
        <v>0.99457586258851904</v>
      </c>
      <c r="AE916" s="26">
        <v>0.99701335207308495</v>
      </c>
      <c r="AF916" s="26">
        <v>0.99245832230748898</v>
      </c>
      <c r="AG916" s="26">
        <v>0.99579856796260102</v>
      </c>
      <c r="AH916" s="28">
        <v>0.92</v>
      </c>
      <c r="AI916" s="26">
        <v>0.94647408666100297</v>
      </c>
      <c r="AJ916" s="26">
        <v>0.96549165120593705</v>
      </c>
      <c r="AK916" s="26">
        <v>0.95829636202307</v>
      </c>
      <c r="AL916" s="26">
        <v>0.94514695093004197</v>
      </c>
      <c r="AM916" s="25">
        <v>0.99</v>
      </c>
      <c r="AN916" s="30">
        <v>1</v>
      </c>
      <c r="AO916" s="30">
        <v>1</v>
      </c>
      <c r="AP916" s="30">
        <v>1</v>
      </c>
      <c r="AQ916" s="30">
        <v>1</v>
      </c>
      <c r="AR916" s="50">
        <v>6.5641848892985799E-2</v>
      </c>
      <c r="AS916" s="34">
        <v>3.8461538461538498E-2</v>
      </c>
      <c r="AT916" s="34">
        <v>0</v>
      </c>
      <c r="AU916" s="34">
        <v>0</v>
      </c>
      <c r="AV916" s="34">
        <v>1.5151515151515201E-2</v>
      </c>
      <c r="AW916" s="10"/>
      <c r="AX916" s="8"/>
    </row>
    <row r="917" spans="1:50">
      <c r="A917" s="7"/>
      <c r="B917" s="10"/>
      <c r="C917" s="69" t="s">
        <v>944</v>
      </c>
      <c r="D917" s="23" t="s">
        <v>23</v>
      </c>
      <c r="E917" s="72" t="s">
        <v>962</v>
      </c>
      <c r="F917" s="73" t="s">
        <v>962</v>
      </c>
      <c r="G917" s="73" t="s">
        <v>962</v>
      </c>
      <c r="H917" s="73" t="s">
        <v>962</v>
      </c>
      <c r="I917" s="25">
        <v>0.9</v>
      </c>
      <c r="J917" s="26">
        <v>0.94444444444444398</v>
      </c>
      <c r="K917" s="26">
        <v>0.97222222222222199</v>
      </c>
      <c r="L917" s="27">
        <v>0.93333333333333302</v>
      </c>
      <c r="M917" s="26">
        <v>0.95098039215686303</v>
      </c>
      <c r="N917" s="28">
        <v>0.9</v>
      </c>
      <c r="O917" s="26">
        <v>0.92554378137200199</v>
      </c>
      <c r="P917" s="26">
        <v>0.93260073260073295</v>
      </c>
      <c r="Q917" s="26">
        <v>0.90892531876138405</v>
      </c>
      <c r="R917" s="26">
        <v>0.93066637912443395</v>
      </c>
      <c r="S917" s="28">
        <v>0.9</v>
      </c>
      <c r="T917" s="26">
        <v>0.88399330730619097</v>
      </c>
      <c r="U917" s="26">
        <v>0.87423687423687402</v>
      </c>
      <c r="V917" s="26">
        <v>0.86399514268366695</v>
      </c>
      <c r="W917" s="26">
        <v>0.88699590252318306</v>
      </c>
      <c r="X917" s="28">
        <v>0.92</v>
      </c>
      <c r="Y917" s="28">
        <v>0.83105022831050201</v>
      </c>
      <c r="Z917" s="28">
        <v>0.85781990521327001</v>
      </c>
      <c r="AA917" s="28">
        <v>0.87976190476190497</v>
      </c>
      <c r="AB917" s="28">
        <v>0.85365219651676605</v>
      </c>
      <c r="AC917" s="28">
        <v>0.92</v>
      </c>
      <c r="AD917" s="26">
        <v>0.99884169884169904</v>
      </c>
      <c r="AE917" s="26">
        <v>0.97829634464752002</v>
      </c>
      <c r="AF917" s="26">
        <v>0.95815817772998302</v>
      </c>
      <c r="AG917" s="26">
        <v>0.97738381004714103</v>
      </c>
      <c r="AH917" s="28">
        <v>0.92</v>
      </c>
      <c r="AI917" s="26">
        <v>0.93638077285579602</v>
      </c>
      <c r="AJ917" s="26">
        <v>0.93601943713302305</v>
      </c>
      <c r="AK917" s="26">
        <v>0.90916398713826396</v>
      </c>
      <c r="AL917" s="26">
        <v>0.93405366790195099</v>
      </c>
      <c r="AM917" s="25">
        <v>0.99</v>
      </c>
      <c r="AN917" s="30">
        <v>1</v>
      </c>
      <c r="AO917" s="30">
        <v>1</v>
      </c>
      <c r="AP917" s="30">
        <v>1</v>
      </c>
      <c r="AQ917" s="30">
        <v>1</v>
      </c>
      <c r="AR917" s="50">
        <v>6.5641848892985799E-2</v>
      </c>
      <c r="AS917" s="34">
        <v>7.1428571428571397E-2</v>
      </c>
      <c r="AT917" s="34">
        <v>0</v>
      </c>
      <c r="AU917" s="34">
        <v>8.3333333333333301E-2</v>
      </c>
      <c r="AV917" s="34">
        <v>0.11111111111111099</v>
      </c>
      <c r="AW917" s="10"/>
      <c r="AX917" s="8"/>
    </row>
    <row r="918" spans="1:50">
      <c r="A918" s="7"/>
      <c r="B918" s="10"/>
      <c r="C918" s="69" t="s">
        <v>944</v>
      </c>
      <c r="D918" s="23" t="s">
        <v>23</v>
      </c>
      <c r="E918" s="72" t="s">
        <v>963</v>
      </c>
      <c r="F918" s="73" t="s">
        <v>963</v>
      </c>
      <c r="G918" s="73" t="s">
        <v>963</v>
      </c>
      <c r="H918" s="73" t="s">
        <v>963</v>
      </c>
      <c r="I918" s="25">
        <v>0.9</v>
      </c>
      <c r="J918" s="26">
        <v>0.8</v>
      </c>
      <c r="K918" s="26">
        <v>1</v>
      </c>
      <c r="L918" s="27">
        <v>1</v>
      </c>
      <c r="M918" s="26">
        <v>0.9375</v>
      </c>
      <c r="N918" s="28">
        <v>0.9</v>
      </c>
      <c r="O918" s="26">
        <v>0.96296296296296302</v>
      </c>
      <c r="P918" s="26">
        <v>0.95276497695852502</v>
      </c>
      <c r="Q918" s="26">
        <v>0.96712328767123301</v>
      </c>
      <c r="R918" s="26">
        <v>0.91660329531051998</v>
      </c>
      <c r="S918" s="28">
        <v>0.9</v>
      </c>
      <c r="T918" s="26">
        <v>0.88633461047254103</v>
      </c>
      <c r="U918" s="26">
        <v>0.85138248847926301</v>
      </c>
      <c r="V918" s="26">
        <v>0.81369863013698596</v>
      </c>
      <c r="W918" s="26">
        <v>0.83776932826362505</v>
      </c>
      <c r="X918" s="28">
        <v>0.92</v>
      </c>
      <c r="Y918" s="28">
        <v>0</v>
      </c>
      <c r="Z918" s="28">
        <v>0</v>
      </c>
      <c r="AA918" s="28">
        <v>0</v>
      </c>
      <c r="AB918" s="28">
        <v>0</v>
      </c>
      <c r="AC918" s="28">
        <v>0.92</v>
      </c>
      <c r="AD918" s="26">
        <v>0.98585418933623503</v>
      </c>
      <c r="AE918" s="26">
        <v>1</v>
      </c>
      <c r="AF918" s="26">
        <v>0.999074074074074</v>
      </c>
      <c r="AG918" s="26">
        <v>0.99685995394599103</v>
      </c>
      <c r="AH918" s="28">
        <v>0.92</v>
      </c>
      <c r="AI918" s="26">
        <v>0.95663265306122403</v>
      </c>
      <c r="AJ918" s="26">
        <v>0.94470046082949299</v>
      </c>
      <c r="AK918" s="26">
        <v>0.93715846994535501</v>
      </c>
      <c r="AL918" s="26">
        <v>0.95060790273556195</v>
      </c>
      <c r="AM918" s="25">
        <v>0.99</v>
      </c>
      <c r="AN918" s="30">
        <v>1</v>
      </c>
      <c r="AO918" s="30">
        <v>1</v>
      </c>
      <c r="AP918" s="30">
        <v>1</v>
      </c>
      <c r="AQ918" s="30">
        <v>1</v>
      </c>
      <c r="AR918" s="50">
        <v>6.5641848892985799E-2</v>
      </c>
      <c r="AS918" s="34">
        <v>0</v>
      </c>
      <c r="AT918" s="34">
        <v>0</v>
      </c>
      <c r="AU918" s="34">
        <v>0</v>
      </c>
      <c r="AV918" s="34">
        <v>0</v>
      </c>
      <c r="AW918" s="10"/>
      <c r="AX918" s="8"/>
    </row>
    <row r="919" spans="1:50">
      <c r="A919" s="7"/>
      <c r="B919" s="10"/>
      <c r="C919" s="69" t="s">
        <v>944</v>
      </c>
      <c r="D919" s="23" t="s">
        <v>23</v>
      </c>
      <c r="E919" s="72" t="s">
        <v>964</v>
      </c>
      <c r="F919" s="73" t="s">
        <v>964</v>
      </c>
      <c r="G919" s="73" t="s">
        <v>964</v>
      </c>
      <c r="H919" s="73" t="s">
        <v>964</v>
      </c>
      <c r="I919" s="25">
        <v>0.9</v>
      </c>
      <c r="J919" s="26">
        <v>0.97297297297297303</v>
      </c>
      <c r="K919" s="26">
        <v>0.97435897435897401</v>
      </c>
      <c r="L919" s="27">
        <v>0.93548387096774199</v>
      </c>
      <c r="M919" s="26">
        <v>0.93488372093023298</v>
      </c>
      <c r="N919" s="28">
        <v>0.9</v>
      </c>
      <c r="O919" s="26">
        <v>0.95038759689922503</v>
      </c>
      <c r="P919" s="26">
        <v>0.96598139990210496</v>
      </c>
      <c r="Q919" s="26">
        <v>0.95257142857142896</v>
      </c>
      <c r="R919" s="26">
        <v>0.95600248164615897</v>
      </c>
      <c r="S919" s="28">
        <v>0.9</v>
      </c>
      <c r="T919" s="26">
        <v>0.90310077519379806</v>
      </c>
      <c r="U919" s="26">
        <v>0.90332843857072898</v>
      </c>
      <c r="V919" s="26">
        <v>0.91428571428571404</v>
      </c>
      <c r="W919" s="26">
        <v>0.90342260366042804</v>
      </c>
      <c r="X919" s="28">
        <v>0.92</v>
      </c>
      <c r="Y919" s="28">
        <v>0</v>
      </c>
      <c r="Z919" s="28">
        <v>0</v>
      </c>
      <c r="AA919" s="28">
        <v>0</v>
      </c>
      <c r="AB919" s="28">
        <v>0</v>
      </c>
      <c r="AC919" s="28">
        <v>0.92</v>
      </c>
      <c r="AD919" s="26">
        <v>0.99800199800199796</v>
      </c>
      <c r="AE919" s="26">
        <v>0.99627371273712695</v>
      </c>
      <c r="AF919" s="26">
        <v>0.99555659494854998</v>
      </c>
      <c r="AG919" s="26">
        <v>0.99543242974878399</v>
      </c>
      <c r="AH919" s="28">
        <v>0.92</v>
      </c>
      <c r="AI919" s="26">
        <v>0.93824289405684802</v>
      </c>
      <c r="AJ919" s="26">
        <v>0.94787077826725397</v>
      </c>
      <c r="AK919" s="26">
        <v>0.93142857142857105</v>
      </c>
      <c r="AL919" s="26">
        <v>0.939564700408416</v>
      </c>
      <c r="AM919" s="25">
        <v>0.99</v>
      </c>
      <c r="AN919" s="30">
        <v>1</v>
      </c>
      <c r="AO919" s="30">
        <v>1</v>
      </c>
      <c r="AP919" s="30">
        <v>1</v>
      </c>
      <c r="AQ919" s="30">
        <v>1</v>
      </c>
      <c r="AR919" s="50">
        <v>6.5641848892985799E-2</v>
      </c>
      <c r="AS919" s="34">
        <v>8.3333333333333301E-2</v>
      </c>
      <c r="AT919" s="34">
        <v>0</v>
      </c>
      <c r="AU919" s="34">
        <v>0</v>
      </c>
      <c r="AV919" s="34">
        <v>4.5454545454545497E-2</v>
      </c>
      <c r="AW919" s="10"/>
      <c r="AX919" s="8"/>
    </row>
    <row r="920" spans="1:50">
      <c r="A920" s="7"/>
      <c r="B920" s="10"/>
      <c r="C920" s="69" t="s">
        <v>944</v>
      </c>
      <c r="D920" s="23" t="s">
        <v>23</v>
      </c>
      <c r="E920" s="76" t="s">
        <v>965</v>
      </c>
      <c r="F920" s="77" t="s">
        <v>965</v>
      </c>
      <c r="G920" s="77" t="s">
        <v>965</v>
      </c>
      <c r="H920" s="77" t="s">
        <v>965</v>
      </c>
      <c r="I920" s="25">
        <v>0.9</v>
      </c>
      <c r="J920" s="26">
        <v>0.9375</v>
      </c>
      <c r="K920" s="26">
        <v>0.89473684210526305</v>
      </c>
      <c r="L920" s="27">
        <v>0.875</v>
      </c>
      <c r="M920" s="26">
        <v>0.87755102040816302</v>
      </c>
      <c r="N920" s="28">
        <v>0.9</v>
      </c>
      <c r="O920" s="26">
        <v>0.93855932203389802</v>
      </c>
      <c r="P920" s="26">
        <v>0.95470519328387304</v>
      </c>
      <c r="Q920" s="26">
        <v>0.95270270270270296</v>
      </c>
      <c r="R920" s="26">
        <v>0.93233527869407096</v>
      </c>
      <c r="S920" s="28">
        <v>0.9</v>
      </c>
      <c r="T920" s="26">
        <v>0.879661016949153</v>
      </c>
      <c r="U920" s="26">
        <v>0.81999219055056605</v>
      </c>
      <c r="V920" s="26">
        <v>0.84845559845559804</v>
      </c>
      <c r="W920" s="26">
        <v>0.76799458682229504</v>
      </c>
      <c r="X920" s="28">
        <v>0.92</v>
      </c>
      <c r="Y920" s="28">
        <v>0</v>
      </c>
      <c r="Z920" s="28">
        <v>0</v>
      </c>
      <c r="AA920" s="28">
        <v>0</v>
      </c>
      <c r="AB920" s="28">
        <v>0</v>
      </c>
      <c r="AC920" s="28">
        <v>0.92</v>
      </c>
      <c r="AD920" s="26">
        <v>0.99437751004016095</v>
      </c>
      <c r="AE920" s="26">
        <v>0.99915754001684898</v>
      </c>
      <c r="AF920" s="26">
        <v>0.99438202247190999</v>
      </c>
      <c r="AG920" s="26">
        <v>0.99541338351170205</v>
      </c>
      <c r="AH920" s="28">
        <v>0.92</v>
      </c>
      <c r="AI920" s="26">
        <v>0.93686440677966099</v>
      </c>
      <c r="AJ920" s="26">
        <v>0.93442622950819698</v>
      </c>
      <c r="AK920" s="26">
        <v>0.93146718146718099</v>
      </c>
      <c r="AL920" s="26">
        <v>0.92651162790697705</v>
      </c>
      <c r="AM920" s="25">
        <v>0.99</v>
      </c>
      <c r="AN920" s="30">
        <v>1</v>
      </c>
      <c r="AO920" s="30">
        <v>1</v>
      </c>
      <c r="AP920" s="30">
        <v>1</v>
      </c>
      <c r="AQ920" s="30">
        <v>1</v>
      </c>
      <c r="AR920" s="50">
        <v>6.5641848892985799E-2</v>
      </c>
      <c r="AS920" s="34">
        <v>5.8823529411764698E-2</v>
      </c>
      <c r="AT920" s="34">
        <v>7.69230769230769E-2</v>
      </c>
      <c r="AU920" s="34">
        <v>0.125</v>
      </c>
      <c r="AV920" s="34">
        <v>5.7971014492753603E-2</v>
      </c>
      <c r="AW920" s="10"/>
      <c r="AX920" s="8"/>
    </row>
    <row r="921" spans="1:50">
      <c r="A921" s="7"/>
      <c r="B921" s="10"/>
      <c r="C921" s="69" t="s">
        <v>944</v>
      </c>
      <c r="D921" s="23" t="s">
        <v>23</v>
      </c>
      <c r="E921" s="72" t="s">
        <v>966</v>
      </c>
      <c r="F921" s="73" t="s">
        <v>966</v>
      </c>
      <c r="G921" s="73" t="s">
        <v>966</v>
      </c>
      <c r="H921" s="73" t="s">
        <v>966</v>
      </c>
      <c r="I921" s="25">
        <v>0.9</v>
      </c>
      <c r="J921" s="26">
        <v>0.88888888888888895</v>
      </c>
      <c r="K921" s="26">
        <v>0.91525423728813604</v>
      </c>
      <c r="L921" s="27">
        <v>0.87272727272727302</v>
      </c>
      <c r="M921" s="26">
        <v>0.87535410764872501</v>
      </c>
      <c r="N921" s="28">
        <v>0.9</v>
      </c>
      <c r="O921" s="26">
        <v>0.93194330561087002</v>
      </c>
      <c r="P921" s="26">
        <v>0.91353764968540696</v>
      </c>
      <c r="Q921" s="26">
        <v>0.92795883361921105</v>
      </c>
      <c r="R921" s="26">
        <v>0.89297943001312996</v>
      </c>
      <c r="S921" s="28">
        <v>0.9</v>
      </c>
      <c r="T921" s="26">
        <v>0.81937448752489195</v>
      </c>
      <c r="U921" s="26">
        <v>0.82626344631621695</v>
      </c>
      <c r="V921" s="26">
        <v>0.86312178387650096</v>
      </c>
      <c r="W921" s="26">
        <v>0.82730479108204802</v>
      </c>
      <c r="X921" s="28">
        <v>0.92</v>
      </c>
      <c r="Y921" s="28">
        <v>0.5</v>
      </c>
      <c r="Z921" s="28">
        <v>0</v>
      </c>
      <c r="AA921" s="28">
        <v>0</v>
      </c>
      <c r="AB921" s="28">
        <v>0.5</v>
      </c>
      <c r="AC921" s="28">
        <v>0.92</v>
      </c>
      <c r="AD921" s="26">
        <v>0.98351648351648302</v>
      </c>
      <c r="AE921" s="26">
        <v>0.97510040160642597</v>
      </c>
      <c r="AF921" s="26">
        <v>0.96969696969696995</v>
      </c>
      <c r="AG921" s="26">
        <v>0.97666277712952199</v>
      </c>
      <c r="AH921" s="28">
        <v>0.92</v>
      </c>
      <c r="AI921" s="26">
        <v>0.93406722098606398</v>
      </c>
      <c r="AJ921" s="26">
        <v>0.92287395981327403</v>
      </c>
      <c r="AK921" s="26">
        <v>0.91389365351629503</v>
      </c>
      <c r="AL921" s="26">
        <v>0.92385120350109395</v>
      </c>
      <c r="AM921" s="25">
        <v>0.99</v>
      </c>
      <c r="AN921" s="30">
        <v>1</v>
      </c>
      <c r="AO921" s="30">
        <v>1</v>
      </c>
      <c r="AP921" s="30">
        <v>1</v>
      </c>
      <c r="AQ921" s="30">
        <v>1</v>
      </c>
      <c r="AR921" s="50">
        <v>6.5641848892985799E-2</v>
      </c>
      <c r="AS921" s="34">
        <v>-4.6511627906976702E-2</v>
      </c>
      <c r="AT921" s="34">
        <v>6.0606060606060601E-2</v>
      </c>
      <c r="AU921" s="34">
        <v>0.08</v>
      </c>
      <c r="AV921" s="34">
        <v>2.8571428571428598E-2</v>
      </c>
      <c r="AW921" s="10"/>
      <c r="AX921" s="8"/>
    </row>
    <row r="922" spans="1:50">
      <c r="A922" s="7"/>
      <c r="B922" s="10"/>
      <c r="C922" s="69" t="s">
        <v>944</v>
      </c>
      <c r="D922" s="23" t="s">
        <v>23</v>
      </c>
      <c r="E922" s="72" t="s">
        <v>967</v>
      </c>
      <c r="F922" s="73" t="s">
        <v>967</v>
      </c>
      <c r="G922" s="73" t="s">
        <v>967</v>
      </c>
      <c r="H922" s="73" t="s">
        <v>967</v>
      </c>
      <c r="I922" s="25">
        <v>0.9</v>
      </c>
      <c r="J922" s="26">
        <v>1</v>
      </c>
      <c r="K922" s="26">
        <v>1</v>
      </c>
      <c r="L922" s="27">
        <v>1</v>
      </c>
      <c r="M922" s="26">
        <v>0.99612403100775204</v>
      </c>
      <c r="N922" s="28">
        <v>0.9</v>
      </c>
      <c r="O922" s="26">
        <v>0.974450772986168</v>
      </c>
      <c r="P922" s="26">
        <v>0.977099236641221</v>
      </c>
      <c r="Q922" s="26">
        <v>0.98506348020911105</v>
      </c>
      <c r="R922" s="26">
        <v>0.97821434835993704</v>
      </c>
      <c r="S922" s="28">
        <v>0.9</v>
      </c>
      <c r="T922" s="26">
        <v>0.94141578519121205</v>
      </c>
      <c r="U922" s="26">
        <v>0.93078880407124698</v>
      </c>
      <c r="V922" s="26">
        <v>0.947971122728404</v>
      </c>
      <c r="W922" s="26">
        <v>0.93751973338010897</v>
      </c>
      <c r="X922" s="28">
        <v>0.92</v>
      </c>
      <c r="Y922" s="28">
        <v>0</v>
      </c>
      <c r="Z922" s="28">
        <v>0</v>
      </c>
      <c r="AA922" s="28">
        <v>0</v>
      </c>
      <c r="AB922" s="28">
        <v>1</v>
      </c>
      <c r="AC922" s="28">
        <v>0.92</v>
      </c>
      <c r="AD922" s="26">
        <v>0.96676441837732197</v>
      </c>
      <c r="AE922" s="26">
        <v>0.987816307403936</v>
      </c>
      <c r="AF922" s="26">
        <v>0.98284023668639098</v>
      </c>
      <c r="AG922" s="26">
        <v>0.98353474320241696</v>
      </c>
      <c r="AH922" s="28">
        <v>0.92</v>
      </c>
      <c r="AI922" s="26">
        <v>0.975101708706265</v>
      </c>
      <c r="AJ922" s="26">
        <v>0.97022900763358799</v>
      </c>
      <c r="AK922" s="26">
        <v>0.97684839432412296</v>
      </c>
      <c r="AL922" s="26">
        <v>0.97249798295155598</v>
      </c>
      <c r="AM922" s="25">
        <v>0.99</v>
      </c>
      <c r="AN922" s="30">
        <v>1</v>
      </c>
      <c r="AO922" s="30">
        <v>1</v>
      </c>
      <c r="AP922" s="30">
        <v>1</v>
      </c>
      <c r="AQ922" s="30">
        <v>1</v>
      </c>
      <c r="AR922" s="50">
        <v>6.5641848892985799E-2</v>
      </c>
      <c r="AS922" s="34">
        <v>7.1428571428571397E-2</v>
      </c>
      <c r="AT922" s="34">
        <v>0</v>
      </c>
      <c r="AU922" s="34">
        <v>0.25</v>
      </c>
      <c r="AV922" s="34">
        <v>5.7971014492753603E-2</v>
      </c>
      <c r="AW922" s="10"/>
      <c r="AX922" s="8"/>
    </row>
    <row r="923" spans="1:50">
      <c r="A923" s="7"/>
      <c r="B923" s="10"/>
      <c r="C923" s="69" t="s">
        <v>944</v>
      </c>
      <c r="D923" s="23" t="s">
        <v>23</v>
      </c>
      <c r="E923" s="72" t="s">
        <v>968</v>
      </c>
      <c r="F923" s="73" t="s">
        <v>968</v>
      </c>
      <c r="G923" s="73" t="s">
        <v>968</v>
      </c>
      <c r="H923" s="73" t="s">
        <v>968</v>
      </c>
      <c r="I923" s="25">
        <v>0.9</v>
      </c>
      <c r="J923" s="26">
        <v>0.94444444444444398</v>
      </c>
      <c r="K923" s="26">
        <v>1</v>
      </c>
      <c r="L923" s="27">
        <v>0.97142857142857097</v>
      </c>
      <c r="M923" s="26">
        <v>0.97129186602870798</v>
      </c>
      <c r="N923" s="28">
        <v>0.9</v>
      </c>
      <c r="O923" s="26">
        <v>0.95070132013201303</v>
      </c>
      <c r="P923" s="26">
        <v>0.93630112196887405</v>
      </c>
      <c r="Q923" s="26">
        <v>0.92557848655409602</v>
      </c>
      <c r="R923" s="26">
        <v>0.94008254881046205</v>
      </c>
      <c r="S923" s="28">
        <v>0.9</v>
      </c>
      <c r="T923" s="26">
        <v>0.88696369636963701</v>
      </c>
      <c r="U923" s="26">
        <v>0.88925081433224795</v>
      </c>
      <c r="V923" s="26">
        <v>0.93621013133208297</v>
      </c>
      <c r="W923" s="26">
        <v>0.89713861707554599</v>
      </c>
      <c r="X923" s="28">
        <v>0.92</v>
      </c>
      <c r="Y923" s="28">
        <v>0</v>
      </c>
      <c r="Z923" s="28">
        <v>0</v>
      </c>
      <c r="AA923" s="28">
        <v>0</v>
      </c>
      <c r="AB923" s="28">
        <v>0</v>
      </c>
      <c r="AC923" s="28">
        <v>0.92</v>
      </c>
      <c r="AD923" s="26">
        <v>0.994055068836045</v>
      </c>
      <c r="AE923" s="26">
        <v>0.97438162544169604</v>
      </c>
      <c r="AF923" s="26">
        <v>0.991694352159468</v>
      </c>
      <c r="AG923" s="26">
        <v>0.98194469710751298</v>
      </c>
      <c r="AH923" s="28">
        <v>0.92</v>
      </c>
      <c r="AI923" s="26">
        <v>0.96226025984739105</v>
      </c>
      <c r="AJ923" s="26">
        <v>0.95150199058993801</v>
      </c>
      <c r="AK923" s="26">
        <v>0.95716072545340802</v>
      </c>
      <c r="AL923" s="26">
        <v>0.95251565035937902</v>
      </c>
      <c r="AM923" s="25">
        <v>0.99</v>
      </c>
      <c r="AN923" s="30">
        <v>1</v>
      </c>
      <c r="AO923" s="30">
        <v>1</v>
      </c>
      <c r="AP923" s="30">
        <v>1</v>
      </c>
      <c r="AQ923" s="30">
        <v>1</v>
      </c>
      <c r="AR923" s="50">
        <v>6.5641848892985799E-2</v>
      </c>
      <c r="AS923" s="34">
        <v>0</v>
      </c>
      <c r="AT923" s="34">
        <v>0</v>
      </c>
      <c r="AU923" s="34">
        <v>0.18181818181818199</v>
      </c>
      <c r="AV923" s="34">
        <v>0</v>
      </c>
      <c r="AW923" s="10"/>
      <c r="AX923" s="8"/>
    </row>
    <row r="924" spans="1:50">
      <c r="A924" s="7"/>
      <c r="B924" s="10"/>
      <c r="C924" s="69" t="s">
        <v>944</v>
      </c>
      <c r="D924" s="23" t="s">
        <v>23</v>
      </c>
      <c r="E924" s="76" t="s">
        <v>969</v>
      </c>
      <c r="F924" s="77" t="s">
        <v>969</v>
      </c>
      <c r="G924" s="77" t="s">
        <v>969</v>
      </c>
      <c r="H924" s="77" t="s">
        <v>969</v>
      </c>
      <c r="I924" s="25">
        <v>0.9</v>
      </c>
      <c r="J924" s="26">
        <v>0.93617021276595702</v>
      </c>
      <c r="K924" s="26">
        <v>0.90909090909090895</v>
      </c>
      <c r="L924" s="27">
        <v>0.92682926829268297</v>
      </c>
      <c r="M924" s="26">
        <v>0.93410852713178305</v>
      </c>
      <c r="N924" s="28">
        <v>0.9</v>
      </c>
      <c r="O924" s="26">
        <v>0.945881888208572</v>
      </c>
      <c r="P924" s="26">
        <v>0.93667383953273897</v>
      </c>
      <c r="Q924" s="26">
        <v>0.95736099106885597</v>
      </c>
      <c r="R924" s="26">
        <v>0.941166617813324</v>
      </c>
      <c r="S924" s="28">
        <v>0.9</v>
      </c>
      <c r="T924" s="26">
        <v>0.90302192376061596</v>
      </c>
      <c r="U924" s="26">
        <v>0.87242545342760502</v>
      </c>
      <c r="V924" s="26">
        <v>0.93114376260443699</v>
      </c>
      <c r="W924" s="26">
        <v>0.89962731878899505</v>
      </c>
      <c r="X924" s="28">
        <v>0.92</v>
      </c>
      <c r="Y924" s="28">
        <v>0</v>
      </c>
      <c r="Z924" s="28">
        <v>0</v>
      </c>
      <c r="AA924" s="28">
        <v>0</v>
      </c>
      <c r="AB924" s="28">
        <v>0</v>
      </c>
      <c r="AC924" s="28">
        <v>0.92</v>
      </c>
      <c r="AD924" s="26">
        <v>0.99836512261580401</v>
      </c>
      <c r="AE924" s="26">
        <v>0.86589653440482195</v>
      </c>
      <c r="AF924" s="26">
        <v>0.92536010475774799</v>
      </c>
      <c r="AG924" s="26">
        <v>0.93196964087375</v>
      </c>
      <c r="AH924" s="28">
        <v>0.92</v>
      </c>
      <c r="AI924" s="26">
        <v>0.96622555796958298</v>
      </c>
      <c r="AJ924" s="26">
        <v>0.96311097448509098</v>
      </c>
      <c r="AK924" s="26">
        <v>0.97407087294727701</v>
      </c>
      <c r="AL924" s="26">
        <v>0.96704493111678702</v>
      </c>
      <c r="AM924" s="25">
        <v>0.99</v>
      </c>
      <c r="AN924" s="30">
        <v>1</v>
      </c>
      <c r="AO924" s="30">
        <v>1</v>
      </c>
      <c r="AP924" s="30">
        <v>1</v>
      </c>
      <c r="AQ924" s="30">
        <v>1</v>
      </c>
      <c r="AR924" s="50">
        <v>6.5641848892985799E-2</v>
      </c>
      <c r="AS924" s="34">
        <v>0</v>
      </c>
      <c r="AT924" s="34">
        <v>-0.05</v>
      </c>
      <c r="AU924" s="34">
        <v>7.1428571428571397E-2</v>
      </c>
      <c r="AV924" s="34">
        <v>8.8495575221238902E-3</v>
      </c>
      <c r="AW924" s="10"/>
      <c r="AX924" s="8"/>
    </row>
    <row r="925" spans="1:50">
      <c r="A925" s="7"/>
      <c r="B925" s="10"/>
      <c r="C925" s="69" t="s">
        <v>944</v>
      </c>
      <c r="D925" s="23" t="s">
        <v>23</v>
      </c>
      <c r="E925" s="72" t="s">
        <v>970</v>
      </c>
      <c r="F925" s="73" t="s">
        <v>970</v>
      </c>
      <c r="G925" s="73" t="s">
        <v>970</v>
      </c>
      <c r="H925" s="73" t="s">
        <v>970</v>
      </c>
      <c r="I925" s="25">
        <v>0.9</v>
      </c>
      <c r="J925" s="26">
        <v>1</v>
      </c>
      <c r="K925" s="26">
        <v>0.96969696969696995</v>
      </c>
      <c r="L925" s="27">
        <v>0.96875</v>
      </c>
      <c r="M925" s="26">
        <v>0.97799511002445005</v>
      </c>
      <c r="N925" s="28">
        <v>0.9</v>
      </c>
      <c r="O925" s="26">
        <v>0.98330474556889602</v>
      </c>
      <c r="P925" s="26">
        <v>0.97229822161422697</v>
      </c>
      <c r="Q925" s="26">
        <v>0.97682445759368797</v>
      </c>
      <c r="R925" s="26">
        <v>0.97913401253918497</v>
      </c>
      <c r="S925" s="28">
        <v>0.9</v>
      </c>
      <c r="T925" s="26">
        <v>0.94785591766723798</v>
      </c>
      <c r="U925" s="26">
        <v>0.95041039671682603</v>
      </c>
      <c r="V925" s="26">
        <v>0.96022353714661401</v>
      </c>
      <c r="W925" s="26">
        <v>0.95190047021943602</v>
      </c>
      <c r="X925" s="28">
        <v>0.92</v>
      </c>
      <c r="Y925" s="28">
        <v>0</v>
      </c>
      <c r="Z925" s="28">
        <v>0</v>
      </c>
      <c r="AA925" s="28">
        <v>0</v>
      </c>
      <c r="AB925" s="28">
        <v>0</v>
      </c>
      <c r="AC925" s="28">
        <v>0.92</v>
      </c>
      <c r="AD925" s="26">
        <v>0.99184043517679099</v>
      </c>
      <c r="AE925" s="26">
        <v>0.96041726207487899</v>
      </c>
      <c r="AF925" s="26">
        <v>0.97625948930296802</v>
      </c>
      <c r="AG925" s="26">
        <v>0.97931151914181103</v>
      </c>
      <c r="AH925" s="28">
        <v>0.92</v>
      </c>
      <c r="AI925" s="26">
        <v>0.98364779874213804</v>
      </c>
      <c r="AJ925" s="26">
        <v>0.98084815321477403</v>
      </c>
      <c r="AK925" s="26">
        <v>0.98454963839579202</v>
      </c>
      <c r="AL925" s="26">
        <v>0.984401018708982</v>
      </c>
      <c r="AM925" s="25">
        <v>0.99</v>
      </c>
      <c r="AN925" s="30">
        <v>1</v>
      </c>
      <c r="AO925" s="30">
        <v>1</v>
      </c>
      <c r="AP925" s="30">
        <v>1</v>
      </c>
      <c r="AQ925" s="30">
        <v>1</v>
      </c>
      <c r="AR925" s="50">
        <v>6.5641848892985799E-2</v>
      </c>
      <c r="AS925" s="34">
        <v>4.7619047619047603E-2</v>
      </c>
      <c r="AT925" s="34">
        <v>0</v>
      </c>
      <c r="AU925" s="34">
        <v>0</v>
      </c>
      <c r="AV925" s="34">
        <v>3.1847133757961797E-2</v>
      </c>
      <c r="AW925" s="10"/>
      <c r="AX925" s="8"/>
    </row>
    <row r="926" spans="1:50">
      <c r="A926" s="7"/>
      <c r="B926" s="10"/>
      <c r="C926" s="69" t="s">
        <v>944</v>
      </c>
      <c r="D926" s="23" t="s">
        <v>23</v>
      </c>
      <c r="E926" s="72" t="s">
        <v>971</v>
      </c>
      <c r="F926" s="73" t="s">
        <v>971</v>
      </c>
      <c r="G926" s="73" t="s">
        <v>971</v>
      </c>
      <c r="H926" s="73" t="s">
        <v>971</v>
      </c>
      <c r="I926" s="25">
        <v>0.9</v>
      </c>
      <c r="J926" s="26">
        <v>0.98</v>
      </c>
      <c r="K926" s="26">
        <v>0.98039215686274495</v>
      </c>
      <c r="L926" s="27">
        <v>1</v>
      </c>
      <c r="M926" s="26">
        <v>0.98245614035087703</v>
      </c>
      <c r="N926" s="28">
        <v>0.9</v>
      </c>
      <c r="O926" s="26">
        <v>0.96540047114252103</v>
      </c>
      <c r="P926" s="26">
        <v>0.97431106959364799</v>
      </c>
      <c r="Q926" s="26">
        <v>0.95977749251176703</v>
      </c>
      <c r="R926" s="26">
        <v>0.94250999200639496</v>
      </c>
      <c r="S926" s="28">
        <v>0.9</v>
      </c>
      <c r="T926" s="26">
        <v>0.92211425206124897</v>
      </c>
      <c r="U926" s="26">
        <v>0.91896310135450698</v>
      </c>
      <c r="V926" s="26">
        <v>0.95870774497218703</v>
      </c>
      <c r="W926" s="26">
        <v>0.89908872901678705</v>
      </c>
      <c r="X926" s="28">
        <v>0.92</v>
      </c>
      <c r="Y926" s="28">
        <v>0</v>
      </c>
      <c r="Z926" s="28">
        <v>0</v>
      </c>
      <c r="AA926" s="28">
        <v>0</v>
      </c>
      <c r="AB926" s="28">
        <v>0</v>
      </c>
      <c r="AC926" s="28">
        <v>0.92</v>
      </c>
      <c r="AD926" s="26">
        <v>0.94655762647394404</v>
      </c>
      <c r="AE926" s="26">
        <v>0.741473574589951</v>
      </c>
      <c r="AF926" s="26">
        <v>0.43387703889585899</v>
      </c>
      <c r="AG926" s="26">
        <v>0.70367497333462603</v>
      </c>
      <c r="AH926" s="28">
        <v>0.92</v>
      </c>
      <c r="AI926" s="26">
        <v>0.97791844545855999</v>
      </c>
      <c r="AJ926" s="26">
        <v>0.97781928554751296</v>
      </c>
      <c r="AK926" s="26">
        <v>0.98224219084296105</v>
      </c>
      <c r="AL926" s="26">
        <v>0.96256513538569699</v>
      </c>
      <c r="AM926" s="25">
        <v>0.99</v>
      </c>
      <c r="AN926" s="30">
        <v>1</v>
      </c>
      <c r="AO926" s="30">
        <v>1</v>
      </c>
      <c r="AP926" s="30">
        <v>1</v>
      </c>
      <c r="AQ926" s="30">
        <v>1</v>
      </c>
      <c r="AR926" s="50">
        <v>6.5641848892985799E-2</v>
      </c>
      <c r="AS926" s="34">
        <v>0</v>
      </c>
      <c r="AT926" s="34">
        <v>9.5238095238095205E-2</v>
      </c>
      <c r="AU926" s="34">
        <v>0</v>
      </c>
      <c r="AV926" s="34">
        <v>3.00751879699248E-2</v>
      </c>
      <c r="AW926" s="10"/>
      <c r="AX926" s="8"/>
    </row>
    <row r="927" spans="1:50">
      <c r="A927" s="7"/>
      <c r="B927" s="10"/>
      <c r="C927" s="69" t="s">
        <v>944</v>
      </c>
      <c r="D927" s="23" t="s">
        <v>23</v>
      </c>
      <c r="E927" s="72" t="s">
        <v>972</v>
      </c>
      <c r="F927" s="73" t="s">
        <v>972</v>
      </c>
      <c r="G927" s="73" t="s">
        <v>972</v>
      </c>
      <c r="H927" s="73" t="s">
        <v>972</v>
      </c>
      <c r="I927" s="25">
        <v>0.9</v>
      </c>
      <c r="J927" s="26">
        <v>1</v>
      </c>
      <c r="K927" s="26">
        <v>1</v>
      </c>
      <c r="L927" s="27">
        <v>0.97872340425531901</v>
      </c>
      <c r="M927" s="26">
        <v>0.99</v>
      </c>
      <c r="N927" s="28">
        <v>0.9</v>
      </c>
      <c r="O927" s="26">
        <v>0.991602284178703</v>
      </c>
      <c r="P927" s="26">
        <v>0.98472727272727301</v>
      </c>
      <c r="Q927" s="26">
        <v>0.98680674322013195</v>
      </c>
      <c r="R927" s="26">
        <v>0.98468287070329397</v>
      </c>
      <c r="S927" s="28">
        <v>0.9</v>
      </c>
      <c r="T927" s="26">
        <v>0.95465233456499798</v>
      </c>
      <c r="U927" s="26">
        <v>0.95054545454545503</v>
      </c>
      <c r="V927" s="26">
        <v>0.96139750794038603</v>
      </c>
      <c r="W927" s="26">
        <v>0.95178340284769203</v>
      </c>
      <c r="X927" s="28">
        <v>0.92</v>
      </c>
      <c r="Y927" s="28">
        <v>0</v>
      </c>
      <c r="Z927" s="28">
        <v>0</v>
      </c>
      <c r="AA927" s="28">
        <v>1</v>
      </c>
      <c r="AB927" s="28">
        <v>0.75</v>
      </c>
      <c r="AC927" s="28">
        <v>0.92</v>
      </c>
      <c r="AD927" s="26">
        <v>0.99095477386934705</v>
      </c>
      <c r="AE927" s="26">
        <v>0.95694022289767</v>
      </c>
      <c r="AF927" s="26">
        <v>0.98913043478260898</v>
      </c>
      <c r="AG927" s="26">
        <v>0.986729277256023</v>
      </c>
      <c r="AH927" s="28">
        <v>0.92</v>
      </c>
      <c r="AI927" s="26">
        <v>0.98706968933669204</v>
      </c>
      <c r="AJ927" s="26">
        <v>0.98642424242424198</v>
      </c>
      <c r="AK927" s="26">
        <v>0.98804586484508405</v>
      </c>
      <c r="AL927" s="26">
        <v>0.98691588785046702</v>
      </c>
      <c r="AM927" s="25">
        <v>0.99</v>
      </c>
      <c r="AN927" s="30">
        <v>1</v>
      </c>
      <c r="AO927" s="30">
        <v>1</v>
      </c>
      <c r="AP927" s="30">
        <v>1</v>
      </c>
      <c r="AQ927" s="30">
        <v>1</v>
      </c>
      <c r="AR927" s="50">
        <v>6.5641848892985799E-2</v>
      </c>
      <c r="AS927" s="34">
        <v>0</v>
      </c>
      <c r="AT927" s="34">
        <v>7.69230769230769E-2</v>
      </c>
      <c r="AU927" s="34">
        <v>0</v>
      </c>
      <c r="AV927" s="34">
        <v>2.40963855421687E-2</v>
      </c>
      <c r="AW927" s="10"/>
      <c r="AX927" s="8"/>
    </row>
    <row r="928" spans="1:50">
      <c r="A928" s="7"/>
      <c r="B928" s="10"/>
      <c r="C928" s="69" t="s">
        <v>944</v>
      </c>
      <c r="D928" s="23" t="s">
        <v>23</v>
      </c>
      <c r="E928" s="72" t="s">
        <v>973</v>
      </c>
      <c r="F928" s="73" t="s">
        <v>973</v>
      </c>
      <c r="G928" s="73" t="s">
        <v>973</v>
      </c>
      <c r="H928" s="73" t="s">
        <v>973</v>
      </c>
      <c r="I928" s="25">
        <v>0.9</v>
      </c>
      <c r="J928" s="26">
        <v>1</v>
      </c>
      <c r="K928" s="26">
        <v>0.97777777777777797</v>
      </c>
      <c r="L928" s="27">
        <v>0.90909090909090895</v>
      </c>
      <c r="M928" s="26">
        <v>0.98168498168498197</v>
      </c>
      <c r="N928" s="28">
        <v>0.9</v>
      </c>
      <c r="O928" s="26">
        <v>0.94224090659842796</v>
      </c>
      <c r="P928" s="26">
        <v>0.96841541755888605</v>
      </c>
      <c r="Q928" s="26">
        <v>0.93956196285001403</v>
      </c>
      <c r="R928" s="26">
        <v>0.95246422893481697</v>
      </c>
      <c r="S928" s="28">
        <v>0.9</v>
      </c>
      <c r="T928" s="26">
        <v>0.93291902760007295</v>
      </c>
      <c r="U928" s="26">
        <v>0.91595289079229103</v>
      </c>
      <c r="V928" s="26">
        <v>0.909065705572498</v>
      </c>
      <c r="W928" s="26">
        <v>0.92579491255961799</v>
      </c>
      <c r="X928" s="28">
        <v>0.92</v>
      </c>
      <c r="Y928" s="28">
        <v>0</v>
      </c>
      <c r="Z928" s="28">
        <v>0</v>
      </c>
      <c r="AA928" s="28">
        <v>0</v>
      </c>
      <c r="AB928" s="28">
        <v>0</v>
      </c>
      <c r="AC928" s="28">
        <v>0.92</v>
      </c>
      <c r="AD928" s="26">
        <v>0.97364771151178897</v>
      </c>
      <c r="AE928" s="26">
        <v>0.95083932853717001</v>
      </c>
      <c r="AF928" s="26">
        <v>0.99232081911262804</v>
      </c>
      <c r="AG928" s="26">
        <v>0.97765688750728597</v>
      </c>
      <c r="AH928" s="28">
        <v>0.92</v>
      </c>
      <c r="AI928" s="26">
        <v>0.96089895852366203</v>
      </c>
      <c r="AJ928" s="26">
        <v>0.95905806796895898</v>
      </c>
      <c r="AK928" s="26">
        <v>0.94039367895758297</v>
      </c>
      <c r="AL928" s="26">
        <v>0.95541072209195999</v>
      </c>
      <c r="AM928" s="25">
        <v>0.99</v>
      </c>
      <c r="AN928" s="30">
        <v>1</v>
      </c>
      <c r="AO928" s="30">
        <v>1</v>
      </c>
      <c r="AP928" s="30">
        <v>1</v>
      </c>
      <c r="AQ928" s="30">
        <v>1</v>
      </c>
      <c r="AR928" s="50">
        <v>6.5641848892985799E-2</v>
      </c>
      <c r="AS928" s="34">
        <v>0.1</v>
      </c>
      <c r="AT928" s="34">
        <v>0.11111111111111099</v>
      </c>
      <c r="AU928" s="34">
        <v>0</v>
      </c>
      <c r="AV928" s="34">
        <v>6.25E-2</v>
      </c>
      <c r="AW928" s="10"/>
      <c r="AX928" s="8"/>
    </row>
    <row r="929" spans="1:50">
      <c r="A929" s="7"/>
      <c r="B929" s="10"/>
      <c r="C929" s="69" t="s">
        <v>944</v>
      </c>
      <c r="D929" s="23" t="s">
        <v>23</v>
      </c>
      <c r="E929" s="72" t="s">
        <v>974</v>
      </c>
      <c r="F929" s="73" t="s">
        <v>974</v>
      </c>
      <c r="G929" s="73" t="s">
        <v>974</v>
      </c>
      <c r="H929" s="73" t="s">
        <v>974</v>
      </c>
      <c r="I929" s="25">
        <v>0.9</v>
      </c>
      <c r="J929" s="26">
        <v>1</v>
      </c>
      <c r="K929" s="26">
        <v>0.90697674418604601</v>
      </c>
      <c r="L929" s="27">
        <v>1</v>
      </c>
      <c r="M929" s="26">
        <v>0.95546558704453399</v>
      </c>
      <c r="N929" s="28">
        <v>0.9</v>
      </c>
      <c r="O929" s="26">
        <v>0.97970794614071699</v>
      </c>
      <c r="P929" s="26">
        <v>0.971543546996263</v>
      </c>
      <c r="Q929" s="26">
        <v>0.98654940506984001</v>
      </c>
      <c r="R929" s="26">
        <v>0.97262351344879905</v>
      </c>
      <c r="S929" s="28">
        <v>0.9</v>
      </c>
      <c r="T929" s="26">
        <v>0.92376256400530998</v>
      </c>
      <c r="U929" s="26">
        <v>0.92124173613107196</v>
      </c>
      <c r="V929" s="26">
        <v>0.95266425245732</v>
      </c>
      <c r="W929" s="26">
        <v>0.92720887540905095</v>
      </c>
      <c r="X929" s="28">
        <v>0.92</v>
      </c>
      <c r="Y929" s="28">
        <v>0</v>
      </c>
      <c r="Z929" s="28">
        <v>0</v>
      </c>
      <c r="AA929" s="28">
        <v>0</v>
      </c>
      <c r="AB929" s="28">
        <v>0.33333333333333298</v>
      </c>
      <c r="AC929" s="28">
        <v>0.92</v>
      </c>
      <c r="AD929" s="26">
        <v>0.99079011148812401</v>
      </c>
      <c r="AE929" s="26">
        <v>0.96498541058774501</v>
      </c>
      <c r="AF929" s="26">
        <v>0.982665466006303</v>
      </c>
      <c r="AG929" s="26">
        <v>0.96615557836871202</v>
      </c>
      <c r="AH929" s="28">
        <v>0.92</v>
      </c>
      <c r="AI929" s="26">
        <v>0.97706161137440795</v>
      </c>
      <c r="AJ929" s="26">
        <v>0.96292037941937303</v>
      </c>
      <c r="AK929" s="26">
        <v>0.97672614429790505</v>
      </c>
      <c r="AL929" s="26">
        <v>0.97286945419725501</v>
      </c>
      <c r="AM929" s="25">
        <v>0.99</v>
      </c>
      <c r="AN929" s="30">
        <v>1</v>
      </c>
      <c r="AO929" s="30">
        <v>1</v>
      </c>
      <c r="AP929" s="30">
        <v>1</v>
      </c>
      <c r="AQ929" s="30">
        <v>1</v>
      </c>
      <c r="AR929" s="50">
        <v>6.5641848892985799E-2</v>
      </c>
      <c r="AS929" s="34">
        <v>-6.6666666666666693E-2</v>
      </c>
      <c r="AT929" s="34">
        <v>0.14285714285714299</v>
      </c>
      <c r="AU929" s="34">
        <v>0</v>
      </c>
      <c r="AV929" s="34">
        <v>5.5045871559633003E-2</v>
      </c>
      <c r="AW929" s="10"/>
      <c r="AX929" s="8"/>
    </row>
    <row r="930" spans="1:50">
      <c r="A930" s="7"/>
      <c r="B930" s="10"/>
      <c r="C930" s="69" t="s">
        <v>944</v>
      </c>
      <c r="D930" s="23" t="s">
        <v>23</v>
      </c>
      <c r="E930" s="72" t="s">
        <v>975</v>
      </c>
      <c r="F930" s="73" t="s">
        <v>975</v>
      </c>
      <c r="G930" s="73" t="s">
        <v>975</v>
      </c>
      <c r="H930" s="73" t="s">
        <v>975</v>
      </c>
      <c r="I930" s="25">
        <v>0.9</v>
      </c>
      <c r="J930" s="26">
        <v>1</v>
      </c>
      <c r="K930" s="26">
        <v>1</v>
      </c>
      <c r="L930" s="27">
        <v>0.952380952380952</v>
      </c>
      <c r="M930" s="26">
        <v>0.99295774647887303</v>
      </c>
      <c r="N930" s="28">
        <v>0.9</v>
      </c>
      <c r="O930" s="26">
        <v>0.97197758206565299</v>
      </c>
      <c r="P930" s="26">
        <v>0.97655398037077401</v>
      </c>
      <c r="Q930" s="26">
        <v>0.97467438494934899</v>
      </c>
      <c r="R930" s="26">
        <v>0.97197679607318199</v>
      </c>
      <c r="S930" s="28">
        <v>0.9</v>
      </c>
      <c r="T930" s="26">
        <v>0.91553242594075301</v>
      </c>
      <c r="U930" s="26">
        <v>0.92202835332606303</v>
      </c>
      <c r="V930" s="26">
        <v>0.91751085383502196</v>
      </c>
      <c r="W930" s="26">
        <v>0.92083891120035699</v>
      </c>
      <c r="X930" s="28">
        <v>0.92</v>
      </c>
      <c r="Y930" s="28">
        <v>0.91904218928164205</v>
      </c>
      <c r="Z930" s="28">
        <v>0.88029661016949201</v>
      </c>
      <c r="AA930" s="28">
        <v>0.89615384615384597</v>
      </c>
      <c r="AB930" s="28">
        <v>0.91263979742561696</v>
      </c>
      <c r="AC930" s="28">
        <v>0.92</v>
      </c>
      <c r="AD930" s="26">
        <v>0.993969849246231</v>
      </c>
      <c r="AE930" s="26">
        <v>0.99197592778334998</v>
      </c>
      <c r="AF930" s="26">
        <v>0.99910634495084905</v>
      </c>
      <c r="AG930" s="26">
        <v>0.99470549305096001</v>
      </c>
      <c r="AH930" s="28">
        <v>0.92</v>
      </c>
      <c r="AI930" s="26">
        <v>0.95527251184834105</v>
      </c>
      <c r="AJ930" s="26">
        <v>0.94024478041756698</v>
      </c>
      <c r="AK930" s="26">
        <v>0.94701583434835601</v>
      </c>
      <c r="AL930" s="26">
        <v>0.95083714805292496</v>
      </c>
      <c r="AM930" s="25">
        <v>0.99</v>
      </c>
      <c r="AN930" s="30">
        <v>1</v>
      </c>
      <c r="AO930" s="30">
        <v>1</v>
      </c>
      <c r="AP930" s="30">
        <v>1</v>
      </c>
      <c r="AQ930" s="30">
        <v>1</v>
      </c>
      <c r="AR930" s="50">
        <v>6.5641848892985799E-2</v>
      </c>
      <c r="AS930" s="34">
        <v>0.33333333333333298</v>
      </c>
      <c r="AT930" s="34">
        <v>0</v>
      </c>
      <c r="AU930" s="34">
        <v>0.16666666666666699</v>
      </c>
      <c r="AV930" s="34">
        <v>0.102040816326531</v>
      </c>
      <c r="AW930" s="10"/>
      <c r="AX930" s="8"/>
    </row>
    <row r="931" spans="1:50">
      <c r="A931" s="7"/>
      <c r="B931" s="10"/>
      <c r="C931" s="69" t="s">
        <v>944</v>
      </c>
      <c r="D931" s="23" t="s">
        <v>23</v>
      </c>
      <c r="E931" s="72" t="s">
        <v>976</v>
      </c>
      <c r="F931" s="73" t="s">
        <v>976</v>
      </c>
      <c r="G931" s="73" t="s">
        <v>976</v>
      </c>
      <c r="H931" s="73" t="s">
        <v>976</v>
      </c>
      <c r="I931" s="25">
        <v>0.9</v>
      </c>
      <c r="J931" s="26">
        <v>0.9</v>
      </c>
      <c r="K931" s="26">
        <v>1</v>
      </c>
      <c r="L931" s="27">
        <v>0.86111111111111105</v>
      </c>
      <c r="M931" s="26">
        <v>0.934782608695652</v>
      </c>
      <c r="N931" s="28">
        <v>0.9</v>
      </c>
      <c r="O931" s="26">
        <v>0.93058295964125604</v>
      </c>
      <c r="P931" s="26">
        <v>0.97485806974858102</v>
      </c>
      <c r="Q931" s="26">
        <v>0.97286330205427296</v>
      </c>
      <c r="R931" s="26">
        <v>0.95999238675294996</v>
      </c>
      <c r="S931" s="28">
        <v>0.9</v>
      </c>
      <c r="T931" s="26">
        <v>0.90206278026905795</v>
      </c>
      <c r="U931" s="26">
        <v>0.91349013246823496</v>
      </c>
      <c r="V931" s="26">
        <v>0.93786457012427105</v>
      </c>
      <c r="W931" s="26">
        <v>0.91781499809668798</v>
      </c>
      <c r="X931" s="28">
        <v>0.92</v>
      </c>
      <c r="Y931" s="28">
        <v>0</v>
      </c>
      <c r="Z931" s="28">
        <v>0</v>
      </c>
      <c r="AA931" s="28">
        <v>0</v>
      </c>
      <c r="AB931" s="28">
        <v>1</v>
      </c>
      <c r="AC931" s="28">
        <v>0.92</v>
      </c>
      <c r="AD931" s="26">
        <v>0.99673507462686595</v>
      </c>
      <c r="AE931" s="26">
        <v>0.99730415477323198</v>
      </c>
      <c r="AF931" s="26">
        <v>0.99626830861087801</v>
      </c>
      <c r="AG931" s="26">
        <v>0.99554213402358405</v>
      </c>
      <c r="AH931" s="28">
        <v>0.92</v>
      </c>
      <c r="AI931" s="26">
        <v>0.95982062780269095</v>
      </c>
      <c r="AJ931" s="26">
        <v>0.96161124628277905</v>
      </c>
      <c r="AK931" s="26">
        <v>0.96096324461343496</v>
      </c>
      <c r="AL931" s="26">
        <v>0.96334640124842996</v>
      </c>
      <c r="AM931" s="25">
        <v>0.99</v>
      </c>
      <c r="AN931" s="30">
        <v>1</v>
      </c>
      <c r="AO931" s="30">
        <v>1</v>
      </c>
      <c r="AP931" s="30">
        <v>1</v>
      </c>
      <c r="AQ931" s="30">
        <v>1</v>
      </c>
      <c r="AR931" s="50">
        <v>6.5641848892985799E-2</v>
      </c>
      <c r="AS931" s="34">
        <v>5.5555555555555601E-2</v>
      </c>
      <c r="AT931" s="34">
        <v>0</v>
      </c>
      <c r="AU931" s="34">
        <v>0.14285714285714299</v>
      </c>
      <c r="AV931" s="34">
        <v>5.8823529411764698E-2</v>
      </c>
      <c r="AW931" s="10"/>
      <c r="AX931" s="8"/>
    </row>
    <row r="932" spans="1:50">
      <c r="A932" s="7"/>
      <c r="B932" s="10"/>
      <c r="C932" s="69" t="s">
        <v>944</v>
      </c>
      <c r="D932" s="23" t="s">
        <v>23</v>
      </c>
      <c r="E932" s="76" t="s">
        <v>977</v>
      </c>
      <c r="F932" s="77" t="s">
        <v>977</v>
      </c>
      <c r="G932" s="77" t="s">
        <v>977</v>
      </c>
      <c r="H932" s="77" t="s">
        <v>977</v>
      </c>
      <c r="I932" s="25">
        <v>0.9</v>
      </c>
      <c r="J932" s="26">
        <v>0.96428571428571397</v>
      </c>
      <c r="K932" s="26">
        <v>1</v>
      </c>
      <c r="L932" s="27">
        <v>1</v>
      </c>
      <c r="M932" s="26">
        <v>0.99328859060402697</v>
      </c>
      <c r="N932" s="28">
        <v>0.9</v>
      </c>
      <c r="O932" s="26">
        <v>0.98642372275812795</v>
      </c>
      <c r="P932" s="26">
        <v>0.98542982030111703</v>
      </c>
      <c r="Q932" s="26">
        <v>0.99061662198391398</v>
      </c>
      <c r="R932" s="26">
        <v>0.98888088952883801</v>
      </c>
      <c r="S932" s="28">
        <v>0.9</v>
      </c>
      <c r="T932" s="26">
        <v>0.93783494105037501</v>
      </c>
      <c r="U932" s="26">
        <v>0.93006313744536195</v>
      </c>
      <c r="V932" s="26">
        <v>0.95375335120643401</v>
      </c>
      <c r="W932" s="26">
        <v>0.93888488920886304</v>
      </c>
      <c r="X932" s="28">
        <v>0.92</v>
      </c>
      <c r="Y932" s="28">
        <v>0.956989247311828</v>
      </c>
      <c r="Z932" s="28">
        <v>0.96057347670250903</v>
      </c>
      <c r="AA932" s="28">
        <v>0.93700787401574803</v>
      </c>
      <c r="AB932" s="28">
        <v>0.94371626831148803</v>
      </c>
      <c r="AC932" s="28">
        <v>0.92</v>
      </c>
      <c r="AD932" s="26">
        <v>0.99276315789473701</v>
      </c>
      <c r="AE932" s="26">
        <v>0.98625066102591197</v>
      </c>
      <c r="AF932" s="26">
        <v>0.98674668667166798</v>
      </c>
      <c r="AG932" s="26">
        <v>0.987083563046389</v>
      </c>
      <c r="AH932" s="28">
        <v>0.92</v>
      </c>
      <c r="AI932" s="26">
        <v>0.98362969235111497</v>
      </c>
      <c r="AJ932" s="26">
        <v>0.98031767955801097</v>
      </c>
      <c r="AK932" s="26">
        <v>0.98224513172966799</v>
      </c>
      <c r="AL932" s="26">
        <v>0.97870912640312302</v>
      </c>
      <c r="AM932" s="25">
        <v>0.99</v>
      </c>
      <c r="AN932" s="30">
        <v>1</v>
      </c>
      <c r="AO932" s="30">
        <v>1</v>
      </c>
      <c r="AP932" s="30">
        <v>1</v>
      </c>
      <c r="AQ932" s="30">
        <v>1</v>
      </c>
      <c r="AR932" s="50">
        <v>6.5641848892985799E-2</v>
      </c>
      <c r="AS932" s="34">
        <v>0</v>
      </c>
      <c r="AT932" s="34">
        <v>0</v>
      </c>
      <c r="AU932" s="34">
        <v>0.42857142857142899</v>
      </c>
      <c r="AV932" s="34">
        <v>6.6666666666666693E-2</v>
      </c>
      <c r="AW932" s="10"/>
      <c r="AX932" s="8"/>
    </row>
    <row r="933" spans="1:50">
      <c r="A933" s="7"/>
      <c r="B933" s="10"/>
      <c r="C933" s="69" t="s">
        <v>944</v>
      </c>
      <c r="D933" s="23" t="s">
        <v>23</v>
      </c>
      <c r="E933" s="72" t="s">
        <v>978</v>
      </c>
      <c r="F933" s="73" t="s">
        <v>978</v>
      </c>
      <c r="G933" s="73" t="s">
        <v>978</v>
      </c>
      <c r="H933" s="73" t="s">
        <v>978</v>
      </c>
      <c r="I933" s="25">
        <v>0.9</v>
      </c>
      <c r="J933" s="26">
        <v>0.95744680851063801</v>
      </c>
      <c r="K933" s="26">
        <v>0.93333333333333302</v>
      </c>
      <c r="L933" s="27">
        <v>0.94736842105263197</v>
      </c>
      <c r="M933" s="26">
        <v>0.94186046511627897</v>
      </c>
      <c r="N933" s="28">
        <v>0.9</v>
      </c>
      <c r="O933" s="26">
        <v>0.95881303713312804</v>
      </c>
      <c r="P933" s="26">
        <v>0.95196293586930003</v>
      </c>
      <c r="Q933" s="26">
        <v>0.97189460476788003</v>
      </c>
      <c r="R933" s="26">
        <v>0.95978514875658305</v>
      </c>
      <c r="S933" s="28">
        <v>0.9</v>
      </c>
      <c r="T933" s="26">
        <v>0.93643586833144199</v>
      </c>
      <c r="U933" s="26">
        <v>0.93708851499634205</v>
      </c>
      <c r="V933" s="26">
        <v>0.93726474278544503</v>
      </c>
      <c r="W933" s="26">
        <v>0.931603362282446</v>
      </c>
      <c r="X933" s="28">
        <v>0.92</v>
      </c>
      <c r="Y933" s="28">
        <v>0</v>
      </c>
      <c r="Z933" s="28">
        <v>0</v>
      </c>
      <c r="AA933" s="28">
        <v>0</v>
      </c>
      <c r="AB933" s="28">
        <v>0</v>
      </c>
      <c r="AC933" s="28">
        <v>0.92</v>
      </c>
      <c r="AD933" s="26">
        <v>0.99286280729579701</v>
      </c>
      <c r="AE933" s="26">
        <v>0.98358733880422</v>
      </c>
      <c r="AF933" s="26">
        <v>0.97401191120736297</v>
      </c>
      <c r="AG933" s="26">
        <v>0.98005939753924498</v>
      </c>
      <c r="AH933" s="28">
        <v>0.92</v>
      </c>
      <c r="AI933" s="26">
        <v>0.96140749148694704</v>
      </c>
      <c r="AJ933" s="26">
        <v>0.95148707947342803</v>
      </c>
      <c r="AK933" s="26">
        <v>0.95734002509410299</v>
      </c>
      <c r="AL933" s="26">
        <v>0.95452008928571397</v>
      </c>
      <c r="AM933" s="25">
        <v>0.99</v>
      </c>
      <c r="AN933" s="30">
        <v>1</v>
      </c>
      <c r="AO933" s="30">
        <v>1</v>
      </c>
      <c r="AP933" s="30">
        <v>1</v>
      </c>
      <c r="AQ933" s="30">
        <v>1</v>
      </c>
      <c r="AR933" s="50">
        <v>6.5641848892985799E-2</v>
      </c>
      <c r="AS933" s="34">
        <v>7.1428571428571397E-2</v>
      </c>
      <c r="AT933" s="34">
        <v>-6.25E-2</v>
      </c>
      <c r="AU933" s="34">
        <v>0.16666666666666699</v>
      </c>
      <c r="AV933" s="34">
        <v>0.08</v>
      </c>
      <c r="AW933" s="10"/>
      <c r="AX933" s="8"/>
    </row>
    <row r="934" spans="1:50">
      <c r="A934" s="7"/>
      <c r="B934" s="10"/>
      <c r="C934" s="69" t="s">
        <v>944</v>
      </c>
      <c r="D934" s="23" t="s">
        <v>23</v>
      </c>
      <c r="E934" s="72" t="s">
        <v>22</v>
      </c>
      <c r="F934" s="73" t="s">
        <v>22</v>
      </c>
      <c r="G934" s="73" t="s">
        <v>22</v>
      </c>
      <c r="H934" s="73" t="s">
        <v>22</v>
      </c>
      <c r="I934" s="25">
        <v>0.9</v>
      </c>
      <c r="J934" s="26">
        <v>0.82499999999999996</v>
      </c>
      <c r="K934" s="26">
        <v>0.84210526315789502</v>
      </c>
      <c r="L934" s="27">
        <v>0.72727272727272696</v>
      </c>
      <c r="M934" s="26">
        <v>0.79262672811059898</v>
      </c>
      <c r="N934" s="28">
        <v>0.9</v>
      </c>
      <c r="O934" s="26">
        <v>0.90598036298720597</v>
      </c>
      <c r="P934" s="26">
        <v>0.91792353560154305</v>
      </c>
      <c r="Q934" s="26">
        <v>0.89005235602094201</v>
      </c>
      <c r="R934" s="26">
        <v>0.89435995362477005</v>
      </c>
      <c r="S934" s="28">
        <v>0.9</v>
      </c>
      <c r="T934" s="26">
        <v>0.86105325795894105</v>
      </c>
      <c r="U934" s="26">
        <v>0.89512451771308299</v>
      </c>
      <c r="V934" s="26">
        <v>0.90127150336574402</v>
      </c>
      <c r="W934" s="26">
        <v>0.86905817363431803</v>
      </c>
      <c r="X934" s="28">
        <v>0.92</v>
      </c>
      <c r="Y934" s="28">
        <v>0.86940298507462699</v>
      </c>
      <c r="Z934" s="28">
        <v>0.86486486486486502</v>
      </c>
      <c r="AA934" s="28">
        <v>0.90458715596330297</v>
      </c>
      <c r="AB934" s="28">
        <v>0.84556087187666096</v>
      </c>
      <c r="AC934" s="28">
        <v>0.92</v>
      </c>
      <c r="AD934" s="26">
        <v>0.99677466647119195</v>
      </c>
      <c r="AE934" s="26">
        <v>0.99428051475367196</v>
      </c>
      <c r="AF934" s="26">
        <v>0.99368723098995704</v>
      </c>
      <c r="AG934" s="26">
        <v>0.95145217994939202</v>
      </c>
      <c r="AH934" s="28">
        <v>0.92</v>
      </c>
      <c r="AI934" s="26">
        <v>0.93639394716594004</v>
      </c>
      <c r="AJ934" s="26">
        <v>0.92983849616097403</v>
      </c>
      <c r="AK934" s="26">
        <v>0.94792773645058404</v>
      </c>
      <c r="AL934" s="26">
        <v>0.92175800325556201</v>
      </c>
      <c r="AM934" s="25">
        <v>0.99</v>
      </c>
      <c r="AN934" s="30">
        <v>1</v>
      </c>
      <c r="AO934" s="30">
        <v>1</v>
      </c>
      <c r="AP934" s="30">
        <v>1</v>
      </c>
      <c r="AQ934" s="30">
        <v>1</v>
      </c>
      <c r="AR934" s="50">
        <v>6.5641848892985799E-2</v>
      </c>
      <c r="AS934" s="34">
        <v>0.17142857142857101</v>
      </c>
      <c r="AT934" s="34">
        <v>5.5555555555555601E-2</v>
      </c>
      <c r="AU934" s="34">
        <v>0</v>
      </c>
      <c r="AV934" s="34">
        <v>6.7010309278350499E-2</v>
      </c>
      <c r="AW934" s="10"/>
      <c r="AX934" s="8"/>
    </row>
    <row r="935" spans="1:50">
      <c r="A935" s="7"/>
      <c r="B935" s="10"/>
      <c r="C935" s="69" t="s">
        <v>944</v>
      </c>
      <c r="D935" s="23" t="s">
        <v>23</v>
      </c>
      <c r="E935" s="72" t="s">
        <v>979</v>
      </c>
      <c r="F935" s="73" t="s">
        <v>979</v>
      </c>
      <c r="G935" s="73" t="s">
        <v>979</v>
      </c>
      <c r="H935" s="73" t="s">
        <v>979</v>
      </c>
      <c r="I935" s="25">
        <v>0.9</v>
      </c>
      <c r="J935" s="26">
        <v>0.92592592592592604</v>
      </c>
      <c r="K935" s="26">
        <v>0.96428571428571397</v>
      </c>
      <c r="L935" s="27">
        <v>1</v>
      </c>
      <c r="M935" s="26">
        <v>0.96644295302013405</v>
      </c>
      <c r="N935" s="28">
        <v>0.9</v>
      </c>
      <c r="O935" s="26">
        <v>0.90160642570281102</v>
      </c>
      <c r="P935" s="26">
        <v>0.92680047225501805</v>
      </c>
      <c r="Q935" s="26">
        <v>0.91069012178619801</v>
      </c>
      <c r="R935" s="26">
        <v>0.91248782862706901</v>
      </c>
      <c r="S935" s="28">
        <v>0.9</v>
      </c>
      <c r="T935" s="26">
        <v>0.86345381526104403</v>
      </c>
      <c r="U935" s="26">
        <v>0.84592680047225499</v>
      </c>
      <c r="V935" s="26">
        <v>0.91474966170500704</v>
      </c>
      <c r="W935" s="26">
        <v>0.84189386562804303</v>
      </c>
      <c r="X935" s="28">
        <v>0.92</v>
      </c>
      <c r="Y935" s="28">
        <v>0.92777777777777803</v>
      </c>
      <c r="Z935" s="28">
        <v>0.93881453154875705</v>
      </c>
      <c r="AA935" s="28">
        <v>0.901685393258427</v>
      </c>
      <c r="AB935" s="28">
        <v>0.90602836879432602</v>
      </c>
      <c r="AC935" s="28">
        <v>0.92</v>
      </c>
      <c r="AD935" s="26">
        <v>0.99758103531688402</v>
      </c>
      <c r="AE935" s="26">
        <v>0.98256320836966005</v>
      </c>
      <c r="AF935" s="26">
        <v>0.98325847284606005</v>
      </c>
      <c r="AG935" s="26">
        <v>0.968368730230456</v>
      </c>
      <c r="AH935" s="28">
        <v>0.92</v>
      </c>
      <c r="AI935" s="26">
        <v>0.94345238095238104</v>
      </c>
      <c r="AJ935" s="26">
        <v>0.94812810103743805</v>
      </c>
      <c r="AK935" s="26">
        <v>0.93881278538812796</v>
      </c>
      <c r="AL935" s="26">
        <v>0.93181818181818199</v>
      </c>
      <c r="AM935" s="25">
        <v>0.99</v>
      </c>
      <c r="AN935" s="30">
        <v>1</v>
      </c>
      <c r="AO935" s="30">
        <v>1</v>
      </c>
      <c r="AP935" s="30">
        <v>1</v>
      </c>
      <c r="AQ935" s="30">
        <v>1</v>
      </c>
      <c r="AR935" s="50">
        <v>6.5641848892985799E-2</v>
      </c>
      <c r="AS935" s="34">
        <v>0.14285714285714299</v>
      </c>
      <c r="AT935" s="34">
        <v>0.125</v>
      </c>
      <c r="AU935" s="34">
        <v>0.238095238095238</v>
      </c>
      <c r="AV935" s="34">
        <v>0.10606060606060599</v>
      </c>
      <c r="AW935" s="10"/>
      <c r="AX935" s="8"/>
    </row>
    <row r="936" spans="1:50">
      <c r="A936" s="7"/>
      <c r="B936" s="10"/>
      <c r="C936" s="69" t="s">
        <v>944</v>
      </c>
      <c r="D936" s="23" t="s">
        <v>23</v>
      </c>
      <c r="E936" s="72" t="s">
        <v>980</v>
      </c>
      <c r="F936" s="73" t="s">
        <v>980</v>
      </c>
      <c r="G936" s="73" t="s">
        <v>980</v>
      </c>
      <c r="H936" s="73" t="s">
        <v>980</v>
      </c>
      <c r="I936" s="25">
        <v>0.9</v>
      </c>
      <c r="J936" s="26">
        <v>0</v>
      </c>
      <c r="K936" s="26">
        <v>0</v>
      </c>
      <c r="L936" s="27">
        <v>0</v>
      </c>
      <c r="M936" s="26">
        <v>0</v>
      </c>
      <c r="N936" s="28">
        <v>0.9</v>
      </c>
      <c r="O936" s="26">
        <v>0</v>
      </c>
      <c r="P936" s="26">
        <v>0</v>
      </c>
      <c r="Q936" s="26">
        <v>0</v>
      </c>
      <c r="R936" s="26">
        <v>0</v>
      </c>
      <c r="S936" s="28">
        <v>0.9</v>
      </c>
      <c r="T936" s="26">
        <v>0</v>
      </c>
      <c r="U936" s="26">
        <v>0</v>
      </c>
      <c r="V936" s="26">
        <v>0</v>
      </c>
      <c r="W936" s="26">
        <v>0</v>
      </c>
      <c r="X936" s="28">
        <v>0.92</v>
      </c>
      <c r="Y936" s="28">
        <v>0</v>
      </c>
      <c r="Z936" s="28">
        <v>0</v>
      </c>
      <c r="AA936" s="28">
        <v>0</v>
      </c>
      <c r="AB936" s="28">
        <v>0</v>
      </c>
      <c r="AC936" s="28">
        <v>0.92</v>
      </c>
      <c r="AD936" s="26">
        <v>1</v>
      </c>
      <c r="AE936" s="26">
        <v>1</v>
      </c>
      <c r="AF936" s="26">
        <v>1</v>
      </c>
      <c r="AG936" s="26">
        <v>0.99931129476584002</v>
      </c>
      <c r="AH936" s="28">
        <v>0.92</v>
      </c>
      <c r="AI936" s="26">
        <v>0</v>
      </c>
      <c r="AJ936" s="26">
        <v>0</v>
      </c>
      <c r="AK936" s="26">
        <v>0</v>
      </c>
      <c r="AL936" s="26">
        <v>0</v>
      </c>
      <c r="AM936" s="25">
        <v>0.99</v>
      </c>
      <c r="AN936" s="30">
        <v>1</v>
      </c>
      <c r="AO936" s="30">
        <v>1</v>
      </c>
      <c r="AP936" s="30">
        <v>0</v>
      </c>
      <c r="AQ936" s="30">
        <v>1</v>
      </c>
      <c r="AR936" s="50">
        <v>6.5641848892985799E-2</v>
      </c>
      <c r="AS936" s="34">
        <v>0</v>
      </c>
      <c r="AT936" s="34">
        <v>0</v>
      </c>
      <c r="AU936" s="34">
        <v>0</v>
      </c>
      <c r="AV936" s="34">
        <v>0</v>
      </c>
      <c r="AW936" s="10"/>
      <c r="AX936" s="8"/>
    </row>
    <row r="937" spans="1:50">
      <c r="A937" s="7"/>
      <c r="B937" s="10"/>
      <c r="C937" s="69" t="s">
        <v>944</v>
      </c>
      <c r="D937" s="23" t="s">
        <v>23</v>
      </c>
      <c r="E937" s="76" t="s">
        <v>981</v>
      </c>
      <c r="F937" s="77" t="s">
        <v>981</v>
      </c>
      <c r="G937" s="77" t="s">
        <v>981</v>
      </c>
      <c r="H937" s="77" t="s">
        <v>981</v>
      </c>
      <c r="I937" s="25">
        <v>0.9</v>
      </c>
      <c r="J937" s="26">
        <v>0.80645161290322598</v>
      </c>
      <c r="K937" s="26">
        <v>0.80645161290322598</v>
      </c>
      <c r="L937" s="27">
        <v>0.76666666666666705</v>
      </c>
      <c r="M937" s="26">
        <v>0.79661016949152497</v>
      </c>
      <c r="N937" s="28">
        <v>0.9</v>
      </c>
      <c r="O937" s="26">
        <v>0.88978990047917395</v>
      </c>
      <c r="P937" s="26">
        <v>0.90815006468305304</v>
      </c>
      <c r="Q937" s="26">
        <v>0.95183887915936904</v>
      </c>
      <c r="R937" s="26">
        <v>0.89808133814365398</v>
      </c>
      <c r="S937" s="28">
        <v>0.9</v>
      </c>
      <c r="T937" s="26">
        <v>0.87320309620346503</v>
      </c>
      <c r="U937" s="26">
        <v>0.83484260457093595</v>
      </c>
      <c r="V937" s="26">
        <v>0.93870402802101605</v>
      </c>
      <c r="W937" s="26">
        <v>0.84617907510659196</v>
      </c>
      <c r="X937" s="28">
        <v>0.92</v>
      </c>
      <c r="Y937" s="28">
        <v>0.90625</v>
      </c>
      <c r="Z937" s="28">
        <v>0.90773067331670798</v>
      </c>
      <c r="AA937" s="28">
        <v>0.92785571142284595</v>
      </c>
      <c r="AB937" s="28">
        <v>0.88538853885388502</v>
      </c>
      <c r="AC937" s="28">
        <v>0.92</v>
      </c>
      <c r="AD937" s="26">
        <v>0.99536917931566804</v>
      </c>
      <c r="AE937" s="26">
        <v>0.99569561875480395</v>
      </c>
      <c r="AF937" s="26">
        <v>0.99643731908261002</v>
      </c>
      <c r="AG937" s="26">
        <v>0.98915711034759701</v>
      </c>
      <c r="AH937" s="28">
        <v>0.92</v>
      </c>
      <c r="AI937" s="26">
        <v>0.94668319900805997</v>
      </c>
      <c r="AJ937" s="26">
        <v>0.94106342088404904</v>
      </c>
      <c r="AK937" s="26">
        <v>0.95368677635588095</v>
      </c>
      <c r="AL937" s="26">
        <v>0.92686538337732605</v>
      </c>
      <c r="AM937" s="25">
        <v>0.99</v>
      </c>
      <c r="AN937" s="30">
        <v>1</v>
      </c>
      <c r="AO937" s="30">
        <v>1</v>
      </c>
      <c r="AP937" s="30">
        <v>1</v>
      </c>
      <c r="AQ937" s="30">
        <v>0.99971870604781998</v>
      </c>
      <c r="AR937" s="50">
        <v>6.5641848892985799E-2</v>
      </c>
      <c r="AS937" s="34">
        <v>0.1</v>
      </c>
      <c r="AT937" s="34">
        <v>6.25E-2</v>
      </c>
      <c r="AU937" s="34">
        <v>0.2</v>
      </c>
      <c r="AV937" s="34">
        <v>6.6037735849056603E-2</v>
      </c>
      <c r="AW937" s="10"/>
      <c r="AX937" s="8"/>
    </row>
    <row r="938" spans="1:50">
      <c r="A938" s="7"/>
      <c r="B938" s="10"/>
      <c r="C938" s="69" t="s">
        <v>944</v>
      </c>
      <c r="D938" s="23" t="s">
        <v>23</v>
      </c>
      <c r="E938" s="76" t="s">
        <v>982</v>
      </c>
      <c r="F938" s="77" t="s">
        <v>982</v>
      </c>
      <c r="G938" s="77" t="s">
        <v>982</v>
      </c>
      <c r="H938" s="77" t="s">
        <v>982</v>
      </c>
      <c r="I938" s="25">
        <v>0.9</v>
      </c>
      <c r="J938" s="26">
        <v>0.95652173913043503</v>
      </c>
      <c r="K938" s="26">
        <v>0.95652173913043503</v>
      </c>
      <c r="L938" s="27">
        <v>0.94444444444444398</v>
      </c>
      <c r="M938" s="26">
        <v>0.953125</v>
      </c>
      <c r="N938" s="28">
        <v>0.9</v>
      </c>
      <c r="O938" s="26">
        <v>0.94802694898941298</v>
      </c>
      <c r="P938" s="26">
        <v>0.96013667425968097</v>
      </c>
      <c r="Q938" s="26">
        <v>0.96538936959208899</v>
      </c>
      <c r="R938" s="26">
        <v>0.93470128103389605</v>
      </c>
      <c r="S938" s="28">
        <v>0.9</v>
      </c>
      <c r="T938" s="26">
        <v>0.88787295476419603</v>
      </c>
      <c r="U938" s="26">
        <v>0.92141230068337099</v>
      </c>
      <c r="V938" s="26">
        <v>0.91841779975278104</v>
      </c>
      <c r="W938" s="26">
        <v>0.900124702414692</v>
      </c>
      <c r="X938" s="28">
        <v>0.92</v>
      </c>
      <c r="Y938" s="28">
        <v>0.92354740061162099</v>
      </c>
      <c r="Z938" s="28">
        <v>0.92868988391376495</v>
      </c>
      <c r="AA938" s="28">
        <v>0.88349514563106801</v>
      </c>
      <c r="AB938" s="28">
        <v>0.89273356401384096</v>
      </c>
      <c r="AC938" s="28">
        <v>0.92</v>
      </c>
      <c r="AD938" s="26">
        <v>0.99645180366647002</v>
      </c>
      <c r="AE938" s="26">
        <v>0.98961578400830696</v>
      </c>
      <c r="AF938" s="26">
        <v>0.99784172661870496</v>
      </c>
      <c r="AG938" s="26">
        <v>0.98163102316088402</v>
      </c>
      <c r="AH938" s="28">
        <v>0.92</v>
      </c>
      <c r="AI938" s="26">
        <v>0.95484672742336396</v>
      </c>
      <c r="AJ938" s="26">
        <v>0.96109936575052901</v>
      </c>
      <c r="AK938" s="26">
        <v>0.934704830053667</v>
      </c>
      <c r="AL938" s="26">
        <v>0.94485721958642899</v>
      </c>
      <c r="AM938" s="25">
        <v>0.99</v>
      </c>
      <c r="AN938" s="30">
        <v>1</v>
      </c>
      <c r="AO938" s="30">
        <v>1</v>
      </c>
      <c r="AP938" s="30">
        <v>1</v>
      </c>
      <c r="AQ938" s="30">
        <v>1</v>
      </c>
      <c r="AR938" s="50">
        <v>6.5641848892985799E-2</v>
      </c>
      <c r="AS938" s="34">
        <v>0</v>
      </c>
      <c r="AT938" s="34">
        <v>-0.157894736842105</v>
      </c>
      <c r="AU938" s="34">
        <v>0</v>
      </c>
      <c r="AV938" s="34">
        <v>-2.23463687150838E-2</v>
      </c>
      <c r="AW938" s="10"/>
      <c r="AX938" s="8"/>
    </row>
    <row r="939" spans="1:50">
      <c r="A939" s="7"/>
      <c r="B939" s="10"/>
      <c r="C939" s="69" t="s">
        <v>944</v>
      </c>
      <c r="D939" s="23" t="s">
        <v>23</v>
      </c>
      <c r="E939" s="72" t="s">
        <v>983</v>
      </c>
      <c r="F939" s="73" t="s">
        <v>983</v>
      </c>
      <c r="G939" s="73" t="s">
        <v>983</v>
      </c>
      <c r="H939" s="73" t="s">
        <v>983</v>
      </c>
      <c r="I939" s="25">
        <v>0.9</v>
      </c>
      <c r="J939" s="26">
        <v>0</v>
      </c>
      <c r="K939" s="26">
        <v>0</v>
      </c>
      <c r="L939" s="27">
        <v>0</v>
      </c>
      <c r="M939" s="26">
        <v>0</v>
      </c>
      <c r="N939" s="28">
        <v>0.9</v>
      </c>
      <c r="O939" s="26">
        <v>0</v>
      </c>
      <c r="P939" s="26">
        <v>0</v>
      </c>
      <c r="Q939" s="26">
        <v>0</v>
      </c>
      <c r="R939" s="26">
        <v>0</v>
      </c>
      <c r="S939" s="28">
        <v>0.9</v>
      </c>
      <c r="T939" s="26">
        <v>0</v>
      </c>
      <c r="U939" s="26">
        <v>0</v>
      </c>
      <c r="V939" s="26">
        <v>0</v>
      </c>
      <c r="W939" s="26">
        <v>0</v>
      </c>
      <c r="X939" s="28">
        <v>0.92</v>
      </c>
      <c r="Y939" s="28">
        <v>0</v>
      </c>
      <c r="Z939" s="28">
        <v>0</v>
      </c>
      <c r="AA939" s="28">
        <v>0</v>
      </c>
      <c r="AB939" s="28">
        <v>0</v>
      </c>
      <c r="AC939" s="28">
        <v>0.92</v>
      </c>
      <c r="AD939" s="26">
        <v>1</v>
      </c>
      <c r="AE939" s="26">
        <v>1</v>
      </c>
      <c r="AF939" s="26">
        <v>1</v>
      </c>
      <c r="AG939" s="26">
        <v>0.98901098901098905</v>
      </c>
      <c r="AH939" s="28">
        <v>0.92</v>
      </c>
      <c r="AI939" s="26">
        <v>0</v>
      </c>
      <c r="AJ939" s="26">
        <v>0</v>
      </c>
      <c r="AK939" s="26">
        <v>0</v>
      </c>
      <c r="AL939" s="26">
        <v>0</v>
      </c>
      <c r="AM939" s="25">
        <v>0.99</v>
      </c>
      <c r="AN939" s="30">
        <v>1</v>
      </c>
      <c r="AO939" s="30">
        <v>1</v>
      </c>
      <c r="AP939" s="30">
        <v>1</v>
      </c>
      <c r="AQ939" s="30">
        <v>1</v>
      </c>
      <c r="AR939" s="50">
        <v>6.5641848892985799E-2</v>
      </c>
      <c r="AS939" s="34">
        <v>0</v>
      </c>
      <c r="AT939" s="34">
        <v>0</v>
      </c>
      <c r="AU939" s="34">
        <v>0</v>
      </c>
      <c r="AV939" s="34">
        <v>0</v>
      </c>
      <c r="AW939" s="10"/>
      <c r="AX939" s="8"/>
    </row>
    <row r="940" spans="1:50">
      <c r="A940" s="7"/>
      <c r="B940" s="10"/>
      <c r="C940" s="69" t="s">
        <v>944</v>
      </c>
      <c r="D940" s="23" t="s">
        <v>23</v>
      </c>
      <c r="E940" s="72" t="s">
        <v>984</v>
      </c>
      <c r="F940" s="73" t="s">
        <v>984</v>
      </c>
      <c r="G940" s="73" t="s">
        <v>984</v>
      </c>
      <c r="H940" s="73" t="s">
        <v>984</v>
      </c>
      <c r="I940" s="25">
        <v>0.9</v>
      </c>
      <c r="J940" s="26">
        <v>0</v>
      </c>
      <c r="K940" s="26">
        <v>0</v>
      </c>
      <c r="L940" s="27">
        <v>0</v>
      </c>
      <c r="M940" s="26">
        <v>0</v>
      </c>
      <c r="N940" s="28">
        <v>0.9</v>
      </c>
      <c r="O940" s="26">
        <v>0</v>
      </c>
      <c r="P940" s="26">
        <v>0</v>
      </c>
      <c r="Q940" s="26">
        <v>0</v>
      </c>
      <c r="R940" s="26">
        <v>0</v>
      </c>
      <c r="S940" s="28">
        <v>0.9</v>
      </c>
      <c r="T940" s="26">
        <v>0</v>
      </c>
      <c r="U940" s="26">
        <v>0</v>
      </c>
      <c r="V940" s="26">
        <v>0</v>
      </c>
      <c r="W940" s="26">
        <v>0</v>
      </c>
      <c r="X940" s="28">
        <v>0.92</v>
      </c>
      <c r="Y940" s="28">
        <v>0</v>
      </c>
      <c r="Z940" s="28">
        <v>0</v>
      </c>
      <c r="AA940" s="28">
        <v>0</v>
      </c>
      <c r="AB940" s="28">
        <v>0</v>
      </c>
      <c r="AC940" s="28">
        <v>0.92</v>
      </c>
      <c r="AD940" s="26">
        <v>0.99851851851851803</v>
      </c>
      <c r="AE940" s="26">
        <v>0.99811676082862499</v>
      </c>
      <c r="AF940" s="26">
        <v>1</v>
      </c>
      <c r="AG940" s="26">
        <v>0.99892008639308905</v>
      </c>
      <c r="AH940" s="28">
        <v>0.92</v>
      </c>
      <c r="AI940" s="26">
        <v>0</v>
      </c>
      <c r="AJ940" s="26">
        <v>0</v>
      </c>
      <c r="AK940" s="26">
        <v>0</v>
      </c>
      <c r="AL940" s="26">
        <v>0</v>
      </c>
      <c r="AM940" s="25">
        <v>0.99</v>
      </c>
      <c r="AN940" s="30">
        <v>1</v>
      </c>
      <c r="AO940" s="30">
        <v>1</v>
      </c>
      <c r="AP940" s="30">
        <v>1</v>
      </c>
      <c r="AQ940" s="30">
        <v>1</v>
      </c>
      <c r="AR940" s="50">
        <v>6.5641848892985799E-2</v>
      </c>
      <c r="AS940" s="34">
        <v>0</v>
      </c>
      <c r="AT940" s="34">
        <v>0</v>
      </c>
      <c r="AU940" s="34">
        <v>0</v>
      </c>
      <c r="AV940" s="34">
        <v>0</v>
      </c>
      <c r="AW940" s="10"/>
      <c r="AX940" s="8"/>
    </row>
    <row r="941" spans="1:50">
      <c r="A941" s="7"/>
      <c r="B941" s="10"/>
      <c r="C941" s="69" t="s">
        <v>944</v>
      </c>
      <c r="D941" s="23" t="s">
        <v>23</v>
      </c>
      <c r="E941" s="72" t="s">
        <v>985</v>
      </c>
      <c r="F941" s="73" t="s">
        <v>985</v>
      </c>
      <c r="G941" s="73" t="s">
        <v>985</v>
      </c>
      <c r="H941" s="73" t="s">
        <v>985</v>
      </c>
      <c r="I941" s="25">
        <v>0.9</v>
      </c>
      <c r="J941" s="26">
        <v>1</v>
      </c>
      <c r="K941" s="26">
        <v>0.952380952380952</v>
      </c>
      <c r="L941" s="27">
        <v>0.82352941176470595</v>
      </c>
      <c r="M941" s="26">
        <v>0.93693693693693703</v>
      </c>
      <c r="N941" s="28">
        <v>0.9</v>
      </c>
      <c r="O941" s="26">
        <v>0.95640914976262403</v>
      </c>
      <c r="P941" s="26">
        <v>0.96714340935446497</v>
      </c>
      <c r="Q941" s="26">
        <v>0.96700507614213205</v>
      </c>
      <c r="R941" s="26">
        <v>0.95686671731240003</v>
      </c>
      <c r="S941" s="28">
        <v>0.9</v>
      </c>
      <c r="T941" s="26">
        <v>0.92490289167026296</v>
      </c>
      <c r="U941" s="26">
        <v>0.93892539621182802</v>
      </c>
      <c r="V941" s="26">
        <v>0.93231810490693701</v>
      </c>
      <c r="W941" s="26">
        <v>0.91559044483835605</v>
      </c>
      <c r="X941" s="28">
        <v>0.92</v>
      </c>
      <c r="Y941" s="28">
        <v>0.96852300242130795</v>
      </c>
      <c r="Z941" s="28">
        <v>0.95674740484429099</v>
      </c>
      <c r="AA941" s="28">
        <v>0.98260869565217401</v>
      </c>
      <c r="AB941" s="28">
        <v>0.95554632322392996</v>
      </c>
      <c r="AC941" s="28">
        <v>0.92</v>
      </c>
      <c r="AD941" s="26">
        <v>0.99661370148476203</v>
      </c>
      <c r="AE941" s="26">
        <v>0.99212795201799298</v>
      </c>
      <c r="AF941" s="26">
        <v>0.98083226450049898</v>
      </c>
      <c r="AG941" s="26">
        <v>0.99181261869592696</v>
      </c>
      <c r="AH941" s="28">
        <v>0.92</v>
      </c>
      <c r="AI941" s="26">
        <v>0.97584187408491996</v>
      </c>
      <c r="AJ941" s="26">
        <v>0.97725118483412299</v>
      </c>
      <c r="AK941" s="26">
        <v>0.97320341047503001</v>
      </c>
      <c r="AL941" s="26">
        <v>0.97117407771075903</v>
      </c>
      <c r="AM941" s="25">
        <v>0.99</v>
      </c>
      <c r="AN941" s="30">
        <v>1</v>
      </c>
      <c r="AO941" s="30">
        <v>1</v>
      </c>
      <c r="AP941" s="30">
        <v>1</v>
      </c>
      <c r="AQ941" s="30">
        <v>1</v>
      </c>
      <c r="AR941" s="50">
        <v>6.5641848892985799E-2</v>
      </c>
      <c r="AS941" s="34">
        <v>0</v>
      </c>
      <c r="AT941" s="34">
        <v>0.125</v>
      </c>
      <c r="AU941" s="34">
        <v>0</v>
      </c>
      <c r="AV941" s="34">
        <v>2.5000000000000001E-2</v>
      </c>
      <c r="AW941" s="10"/>
      <c r="AX941" s="8"/>
    </row>
    <row r="942" spans="1:50">
      <c r="A942" s="7"/>
      <c r="B942" s="10"/>
      <c r="C942" s="69" t="s">
        <v>944</v>
      </c>
      <c r="D942" s="23" t="s">
        <v>23</v>
      </c>
      <c r="E942" s="72" t="s">
        <v>986</v>
      </c>
      <c r="F942" s="73" t="s">
        <v>986</v>
      </c>
      <c r="G942" s="73" t="s">
        <v>986</v>
      </c>
      <c r="H942" s="73" t="s">
        <v>986</v>
      </c>
      <c r="I942" s="25">
        <v>0.9</v>
      </c>
      <c r="J942" s="26">
        <v>1</v>
      </c>
      <c r="K942" s="26">
        <v>0.96969696969696995</v>
      </c>
      <c r="L942" s="27">
        <v>1</v>
      </c>
      <c r="M942" s="26">
        <v>0.98275862068965503</v>
      </c>
      <c r="N942" s="28">
        <v>0.9</v>
      </c>
      <c r="O942" s="26">
        <v>0.93033583125173502</v>
      </c>
      <c r="P942" s="26">
        <v>0.92832512315270899</v>
      </c>
      <c r="Q942" s="26">
        <v>0.97098976109214996</v>
      </c>
      <c r="R942" s="26">
        <v>0.93264743317776799</v>
      </c>
      <c r="S942" s="28">
        <v>0.9</v>
      </c>
      <c r="T942" s="26">
        <v>0.92173189009158996</v>
      </c>
      <c r="U942" s="26">
        <v>0.90960591133004898</v>
      </c>
      <c r="V942" s="26">
        <v>0.92150170648464202</v>
      </c>
      <c r="W942" s="26">
        <v>0.89653160797624099</v>
      </c>
      <c r="X942" s="28">
        <v>0.92</v>
      </c>
      <c r="Y942" s="28">
        <v>0.96302250803858502</v>
      </c>
      <c r="Z942" s="28">
        <v>0.94478527607361995</v>
      </c>
      <c r="AA942" s="28">
        <v>0.95202020202020199</v>
      </c>
      <c r="AB942" s="28">
        <v>0.94606374284936001</v>
      </c>
      <c r="AC942" s="28">
        <v>0.92</v>
      </c>
      <c r="AD942" s="26">
        <v>0.99534050179211497</v>
      </c>
      <c r="AE942" s="26">
        <v>0.99947164494540297</v>
      </c>
      <c r="AF942" s="26">
        <v>0.99936740890688303</v>
      </c>
      <c r="AG942" s="26">
        <v>0.99825210475718795</v>
      </c>
      <c r="AH942" s="28">
        <v>0.92</v>
      </c>
      <c r="AI942" s="26">
        <v>0.97278106508875695</v>
      </c>
      <c r="AJ942" s="26">
        <v>0.97128794093519299</v>
      </c>
      <c r="AK942" s="26">
        <v>0.96862745098039205</v>
      </c>
      <c r="AL942" s="26">
        <v>0.96994850852272696</v>
      </c>
      <c r="AM942" s="25">
        <v>0.99</v>
      </c>
      <c r="AN942" s="30">
        <v>1</v>
      </c>
      <c r="AO942" s="30">
        <v>1</v>
      </c>
      <c r="AP942" s="30">
        <v>1</v>
      </c>
      <c r="AQ942" s="30">
        <v>1</v>
      </c>
      <c r="AR942" s="50">
        <v>6.5641848892985799E-2</v>
      </c>
      <c r="AS942" s="34">
        <v>7.1428571428571397E-2</v>
      </c>
      <c r="AT942" s="34">
        <v>5.8823529411764698E-2</v>
      </c>
      <c r="AU942" s="34">
        <v>0</v>
      </c>
      <c r="AV942" s="34">
        <v>3.2967032967033003E-2</v>
      </c>
      <c r="AW942" s="10"/>
      <c r="AX942" s="8"/>
    </row>
    <row r="943" spans="1:50">
      <c r="A943" s="7"/>
      <c r="B943" s="10"/>
      <c r="C943" s="69" t="s">
        <v>944</v>
      </c>
      <c r="D943" s="23" t="s">
        <v>23</v>
      </c>
      <c r="E943" s="72" t="s">
        <v>987</v>
      </c>
      <c r="F943" s="73" t="s">
        <v>987</v>
      </c>
      <c r="G943" s="73" t="s">
        <v>987</v>
      </c>
      <c r="H943" s="73" t="s">
        <v>987</v>
      </c>
      <c r="I943" s="25">
        <v>0.9</v>
      </c>
      <c r="J943" s="26">
        <v>0.98</v>
      </c>
      <c r="K943" s="26">
        <v>0.95833333333333304</v>
      </c>
      <c r="L943" s="27">
        <v>1</v>
      </c>
      <c r="M943" s="26">
        <v>0.95185185185185195</v>
      </c>
      <c r="N943" s="28">
        <v>0.9</v>
      </c>
      <c r="O943" s="26">
        <v>0.94685562444641302</v>
      </c>
      <c r="P943" s="26">
        <v>0.91695153830685705</v>
      </c>
      <c r="Q943" s="26">
        <v>0.94561650257852803</v>
      </c>
      <c r="R943" s="26">
        <v>0.92552058936251802</v>
      </c>
      <c r="S943" s="28">
        <v>0.9</v>
      </c>
      <c r="T943" s="26">
        <v>0.90256864481842303</v>
      </c>
      <c r="U943" s="26">
        <v>0.87331590589181596</v>
      </c>
      <c r="V943" s="26">
        <v>0.883731833098922</v>
      </c>
      <c r="W943" s="26">
        <v>0.87880594472597195</v>
      </c>
      <c r="X943" s="28">
        <v>0.92</v>
      </c>
      <c r="Y943" s="28">
        <v>0.89086294416243605</v>
      </c>
      <c r="Z943" s="28">
        <v>0.91054613935969897</v>
      </c>
      <c r="AA943" s="28">
        <v>0.85154639175257696</v>
      </c>
      <c r="AB943" s="28">
        <v>0.83745805369127502</v>
      </c>
      <c r="AC943" s="28">
        <v>0.92</v>
      </c>
      <c r="AD943" s="26">
        <v>0.99957573186253701</v>
      </c>
      <c r="AE943" s="26">
        <v>0.99706621961441699</v>
      </c>
      <c r="AF943" s="26">
        <v>0.99688473520249199</v>
      </c>
      <c r="AG943" s="26">
        <v>0.99788449333615403</v>
      </c>
      <c r="AH943" s="28">
        <v>0.92</v>
      </c>
      <c r="AI943" s="26">
        <v>0.957964184731385</v>
      </c>
      <c r="AJ943" s="26">
        <v>0.95625517812758898</v>
      </c>
      <c r="AK943" s="26">
        <v>0.92144236960721204</v>
      </c>
      <c r="AL943" s="26">
        <v>0.942108987968861</v>
      </c>
      <c r="AM943" s="25">
        <v>0.99</v>
      </c>
      <c r="AN943" s="30">
        <v>1</v>
      </c>
      <c r="AO943" s="30">
        <v>1</v>
      </c>
      <c r="AP943" s="30">
        <v>1</v>
      </c>
      <c r="AQ943" s="30">
        <v>1</v>
      </c>
      <c r="AR943" s="50">
        <v>6.5641848892985799E-2</v>
      </c>
      <c r="AS943" s="34">
        <v>0</v>
      </c>
      <c r="AT943" s="34">
        <v>4.7619047619047603E-2</v>
      </c>
      <c r="AU943" s="34">
        <v>6.6666666666666693E-2</v>
      </c>
      <c r="AV943" s="34">
        <v>0.06</v>
      </c>
      <c r="AW943" s="10"/>
      <c r="AX943" s="8"/>
    </row>
    <row r="944" spans="1:50">
      <c r="A944" s="7"/>
      <c r="B944" s="10"/>
      <c r="C944" s="69" t="s">
        <v>944</v>
      </c>
      <c r="D944" s="23" t="s">
        <v>23</v>
      </c>
      <c r="E944" s="72" t="s">
        <v>988</v>
      </c>
      <c r="F944" s="73" t="s">
        <v>988</v>
      </c>
      <c r="G944" s="73" t="s">
        <v>988</v>
      </c>
      <c r="H944" s="73" t="s">
        <v>988</v>
      </c>
      <c r="I944" s="25">
        <v>0.9</v>
      </c>
      <c r="J944" s="26">
        <v>1</v>
      </c>
      <c r="K944" s="26">
        <v>1</v>
      </c>
      <c r="L944" s="27">
        <v>1</v>
      </c>
      <c r="M944" s="26">
        <v>0.99152542372881403</v>
      </c>
      <c r="N944" s="28">
        <v>0.9</v>
      </c>
      <c r="O944" s="26">
        <v>0.96772767462422604</v>
      </c>
      <c r="P944" s="26">
        <v>0.95096322241681297</v>
      </c>
      <c r="Q944" s="26">
        <v>0.95424213536701596</v>
      </c>
      <c r="R944" s="26">
        <v>0.94941669704702902</v>
      </c>
      <c r="S944" s="28">
        <v>0.9</v>
      </c>
      <c r="T944" s="26">
        <v>0.93722369584438503</v>
      </c>
      <c r="U944" s="26">
        <v>0.92994746059544697</v>
      </c>
      <c r="V944" s="26">
        <v>0.92087702573879904</v>
      </c>
      <c r="W944" s="26">
        <v>0.92562887349617196</v>
      </c>
      <c r="X944" s="28">
        <v>0.92</v>
      </c>
      <c r="Y944" s="28">
        <v>0.81515151515151496</v>
      </c>
      <c r="Z944" s="28">
        <v>0.75546719681908503</v>
      </c>
      <c r="AA944" s="28">
        <v>0.70085470085470103</v>
      </c>
      <c r="AB944" s="28">
        <v>0.75408261287223799</v>
      </c>
      <c r="AC944" s="28">
        <v>0.92</v>
      </c>
      <c r="AD944" s="26">
        <v>0.99903567984570896</v>
      </c>
      <c r="AE944" s="26">
        <v>0.99910754127621604</v>
      </c>
      <c r="AF944" s="26">
        <v>0.99958898479243696</v>
      </c>
      <c r="AG944" s="26">
        <v>0.99915426251691497</v>
      </c>
      <c r="AH944" s="28">
        <v>0.92</v>
      </c>
      <c r="AI944" s="26">
        <v>0.95524691358024705</v>
      </c>
      <c r="AJ944" s="26">
        <v>0.93684965913168305</v>
      </c>
      <c r="AK944" s="26">
        <v>0.90364025695931505</v>
      </c>
      <c r="AL944" s="26">
        <v>0.93573835784313697</v>
      </c>
      <c r="AM944" s="25">
        <v>0.99</v>
      </c>
      <c r="AN944" s="30">
        <v>1</v>
      </c>
      <c r="AO944" s="30">
        <v>1</v>
      </c>
      <c r="AP944" s="30">
        <v>1</v>
      </c>
      <c r="AQ944" s="30">
        <v>1</v>
      </c>
      <c r="AR944" s="50">
        <v>6.5641848892985799E-2</v>
      </c>
      <c r="AS944" s="34">
        <v>0</v>
      </c>
      <c r="AT944" s="34">
        <v>0</v>
      </c>
      <c r="AU944" s="34">
        <v>0</v>
      </c>
      <c r="AV944" s="34">
        <v>2.27272727272727E-2</v>
      </c>
      <c r="AW944" s="10"/>
      <c r="AX944" s="8"/>
    </row>
    <row r="945" spans="1:50">
      <c r="A945" s="7"/>
      <c r="B945" s="10"/>
      <c r="C945" s="69" t="s">
        <v>944</v>
      </c>
      <c r="D945" s="23" t="s">
        <v>23</v>
      </c>
      <c r="E945" s="72" t="s">
        <v>989</v>
      </c>
      <c r="F945" s="73" t="s">
        <v>989</v>
      </c>
      <c r="G945" s="73" t="s">
        <v>989</v>
      </c>
      <c r="H945" s="73" t="s">
        <v>989</v>
      </c>
      <c r="I945" s="25">
        <v>0.9</v>
      </c>
      <c r="J945" s="26">
        <v>0.94736842105263197</v>
      </c>
      <c r="K945" s="26">
        <v>0.97435897435897401</v>
      </c>
      <c r="L945" s="27">
        <v>0.75757575757575801</v>
      </c>
      <c r="M945" s="26">
        <v>0.88181818181818195</v>
      </c>
      <c r="N945" s="28">
        <v>0.9</v>
      </c>
      <c r="O945" s="26">
        <v>0.94592138150420402</v>
      </c>
      <c r="P945" s="26">
        <v>0.94394661582459505</v>
      </c>
      <c r="Q945" s="26">
        <v>0.95529290853031901</v>
      </c>
      <c r="R945" s="26">
        <v>0.94636747389469</v>
      </c>
      <c r="S945" s="28">
        <v>0.9</v>
      </c>
      <c r="T945" s="26">
        <v>0.92774369461485995</v>
      </c>
      <c r="U945" s="26">
        <v>0.92469018112488099</v>
      </c>
      <c r="V945" s="26">
        <v>0.940904419321686</v>
      </c>
      <c r="W945" s="26">
        <v>0.92250610975338798</v>
      </c>
      <c r="X945" s="28">
        <v>0.92</v>
      </c>
      <c r="Y945" s="28">
        <v>0.89044585987261105</v>
      </c>
      <c r="Z945" s="28">
        <v>0.890625</v>
      </c>
      <c r="AA945" s="28">
        <v>0.86572438162544196</v>
      </c>
      <c r="AB945" s="28">
        <v>0.85043437426626001</v>
      </c>
      <c r="AC945" s="28">
        <v>0.92</v>
      </c>
      <c r="AD945" s="26">
        <v>0.99954535121618504</v>
      </c>
      <c r="AE945" s="26">
        <v>0.99865874688637701</v>
      </c>
      <c r="AF945" s="26">
        <v>0.998310591293047</v>
      </c>
      <c r="AG945" s="26">
        <v>0.99873007810019698</v>
      </c>
      <c r="AH945" s="28">
        <v>0.92</v>
      </c>
      <c r="AI945" s="26">
        <v>0.96375554270291097</v>
      </c>
      <c r="AJ945" s="26">
        <v>0.96681166425003995</v>
      </c>
      <c r="AK945" s="26">
        <v>0.94456366237482103</v>
      </c>
      <c r="AL945" s="26">
        <v>0.95285591542455805</v>
      </c>
      <c r="AM945" s="25">
        <v>0.99</v>
      </c>
      <c r="AN945" s="30">
        <v>1</v>
      </c>
      <c r="AO945" s="30">
        <v>1</v>
      </c>
      <c r="AP945" s="30">
        <v>1</v>
      </c>
      <c r="AQ945" s="30">
        <v>1</v>
      </c>
      <c r="AR945" s="50">
        <v>6.5641848892985799E-2</v>
      </c>
      <c r="AS945" s="34">
        <v>0</v>
      </c>
      <c r="AT945" s="34">
        <v>5.8823529411764698E-2</v>
      </c>
      <c r="AU945" s="34">
        <v>0.25</v>
      </c>
      <c r="AV945" s="34">
        <v>8.1300813008130093E-2</v>
      </c>
      <c r="AW945" s="10"/>
      <c r="AX945" s="8"/>
    </row>
    <row r="946" spans="1:50">
      <c r="A946" s="7"/>
      <c r="B946" s="10"/>
      <c r="C946" s="69" t="s">
        <v>944</v>
      </c>
      <c r="D946" s="23" t="s">
        <v>23</v>
      </c>
      <c r="E946" s="72" t="s">
        <v>990</v>
      </c>
      <c r="F946" s="73" t="s">
        <v>990</v>
      </c>
      <c r="G946" s="73" t="s">
        <v>990</v>
      </c>
      <c r="H946" s="73" t="s">
        <v>990</v>
      </c>
      <c r="I946" s="25">
        <v>0.9</v>
      </c>
      <c r="J946" s="26">
        <v>1</v>
      </c>
      <c r="K946" s="26">
        <v>0.96296296296296302</v>
      </c>
      <c r="L946" s="27">
        <v>1</v>
      </c>
      <c r="M946" s="26">
        <v>0.99346405228758194</v>
      </c>
      <c r="N946" s="28">
        <v>0.9</v>
      </c>
      <c r="O946" s="26">
        <v>0.96892406918792096</v>
      </c>
      <c r="P946" s="26">
        <v>0.98857142857142899</v>
      </c>
      <c r="Q946" s="26">
        <v>0.98604368932038799</v>
      </c>
      <c r="R946" s="26">
        <v>0.98211040436165398</v>
      </c>
      <c r="S946" s="28">
        <v>0.9</v>
      </c>
      <c r="T946" s="26">
        <v>0.94781588976839604</v>
      </c>
      <c r="U946" s="26">
        <v>0.96163265306122403</v>
      </c>
      <c r="V946" s="26">
        <v>0.966626213592233</v>
      </c>
      <c r="W946" s="26">
        <v>0.95990458882326202</v>
      </c>
      <c r="X946" s="28">
        <v>0.92</v>
      </c>
      <c r="Y946" s="28">
        <v>0.97520661157024802</v>
      </c>
      <c r="Z946" s="28">
        <v>0.98282208588957098</v>
      </c>
      <c r="AA946" s="28">
        <v>0.98472222222222205</v>
      </c>
      <c r="AB946" s="28">
        <v>0.97892338365138098</v>
      </c>
      <c r="AC946" s="28">
        <v>0.92</v>
      </c>
      <c r="AD946" s="26">
        <v>0.99210600507471103</v>
      </c>
      <c r="AE946" s="26">
        <v>0.99377145036227299</v>
      </c>
      <c r="AF946" s="26">
        <v>0.99131622597326596</v>
      </c>
      <c r="AG946" s="26">
        <v>0.98811370592428005</v>
      </c>
      <c r="AH946" s="28">
        <v>0.92</v>
      </c>
      <c r="AI946" s="26">
        <v>0.984067712223052</v>
      </c>
      <c r="AJ946" s="26">
        <v>0.99065004452359795</v>
      </c>
      <c r="AK946" s="26">
        <v>0.98986486486486502</v>
      </c>
      <c r="AL946" s="26">
        <v>0.98802253467783896</v>
      </c>
      <c r="AM946" s="25">
        <v>0.99</v>
      </c>
      <c r="AN946" s="30">
        <v>1</v>
      </c>
      <c r="AO946" s="30">
        <v>1</v>
      </c>
      <c r="AP946" s="30">
        <v>1</v>
      </c>
      <c r="AQ946" s="30">
        <v>1</v>
      </c>
      <c r="AR946" s="50">
        <v>6.5641848892985799E-2</v>
      </c>
      <c r="AS946" s="34">
        <v>0.05</v>
      </c>
      <c r="AT946" s="34">
        <v>0</v>
      </c>
      <c r="AU946" s="34">
        <v>9.0909090909090898E-2</v>
      </c>
      <c r="AV946" s="34">
        <v>2.2988505747126398E-2</v>
      </c>
      <c r="AW946" s="10"/>
      <c r="AX946" s="8"/>
    </row>
    <row r="947" spans="1:50">
      <c r="A947" s="7"/>
      <c r="B947" s="10"/>
      <c r="C947" s="69" t="s">
        <v>944</v>
      </c>
      <c r="D947" s="23" t="s">
        <v>23</v>
      </c>
      <c r="E947" s="72" t="s">
        <v>991</v>
      </c>
      <c r="F947" s="73" t="s">
        <v>991</v>
      </c>
      <c r="G947" s="73" t="s">
        <v>991</v>
      </c>
      <c r="H947" s="73" t="s">
        <v>991</v>
      </c>
      <c r="I947" s="25">
        <v>0.9</v>
      </c>
      <c r="J947" s="26">
        <v>0.94117647058823495</v>
      </c>
      <c r="K947" s="26">
        <v>0.87878787878787901</v>
      </c>
      <c r="L947" s="27">
        <v>0.88</v>
      </c>
      <c r="M947" s="26">
        <v>0.891891891891892</v>
      </c>
      <c r="N947" s="28">
        <v>0.9</v>
      </c>
      <c r="O947" s="26">
        <v>0.95121095121095101</v>
      </c>
      <c r="P947" s="26">
        <v>0.94691011235955103</v>
      </c>
      <c r="Q947" s="26">
        <v>0.93622985283812199</v>
      </c>
      <c r="R947" s="26">
        <v>0.90044785668586003</v>
      </c>
      <c r="S947" s="28">
        <v>0.9</v>
      </c>
      <c r="T947" s="26">
        <v>0.94278694278694297</v>
      </c>
      <c r="U947" s="26">
        <v>0.87247191011236003</v>
      </c>
      <c r="V947" s="26">
        <v>0.93552908199018903</v>
      </c>
      <c r="W947" s="26">
        <v>0.883877159309021</v>
      </c>
      <c r="X947" s="28">
        <v>0.92</v>
      </c>
      <c r="Y947" s="28">
        <v>0.90601503759398505</v>
      </c>
      <c r="Z947" s="28">
        <v>0.91053391053391097</v>
      </c>
      <c r="AA947" s="28">
        <v>0.85599999999999998</v>
      </c>
      <c r="AB947" s="28">
        <v>0.82206294795886603</v>
      </c>
      <c r="AC947" s="28">
        <v>0.92</v>
      </c>
      <c r="AD947" s="26">
        <v>0.99898115129903198</v>
      </c>
      <c r="AE947" s="26">
        <v>0.99075144508670498</v>
      </c>
      <c r="AF947" s="26">
        <v>0.99402460456941999</v>
      </c>
      <c r="AG947" s="26">
        <v>0.99647651006711402</v>
      </c>
      <c r="AH947" s="28">
        <v>0.92</v>
      </c>
      <c r="AI947" s="26">
        <v>0.96066252587991696</v>
      </c>
      <c r="AJ947" s="26">
        <v>0.96473906911142504</v>
      </c>
      <c r="AK947" s="26">
        <v>0.93859649122806998</v>
      </c>
      <c r="AL947" s="26">
        <v>0.936889596602972</v>
      </c>
      <c r="AM947" s="25">
        <v>0.99</v>
      </c>
      <c r="AN947" s="30">
        <v>1</v>
      </c>
      <c r="AO947" s="30">
        <v>1</v>
      </c>
      <c r="AP947" s="30">
        <v>1</v>
      </c>
      <c r="AQ947" s="30">
        <v>1</v>
      </c>
      <c r="AR947" s="50">
        <v>6.5641848892985799E-2</v>
      </c>
      <c r="AS947" s="34">
        <v>0</v>
      </c>
      <c r="AT947" s="34">
        <v>0.266666666666667</v>
      </c>
      <c r="AU947" s="34">
        <v>0</v>
      </c>
      <c r="AV947" s="34">
        <v>4.85436893203883E-2</v>
      </c>
      <c r="AW947" s="10"/>
      <c r="AX947" s="8"/>
    </row>
    <row r="948" spans="1:50">
      <c r="A948" s="7"/>
      <c r="B948" s="10"/>
      <c r="C948" s="69" t="s">
        <v>944</v>
      </c>
      <c r="D948" s="23" t="s">
        <v>23</v>
      </c>
      <c r="E948" s="72" t="s">
        <v>992</v>
      </c>
      <c r="F948" s="73" t="s">
        <v>992</v>
      </c>
      <c r="G948" s="73" t="s">
        <v>992</v>
      </c>
      <c r="H948" s="73" t="s">
        <v>992</v>
      </c>
      <c r="I948" s="25">
        <v>0.9</v>
      </c>
      <c r="J948" s="26">
        <v>1</v>
      </c>
      <c r="K948" s="26">
        <v>0.9</v>
      </c>
      <c r="L948" s="27">
        <v>0.86363636363636398</v>
      </c>
      <c r="M948" s="26">
        <v>0.82802547770700596</v>
      </c>
      <c r="N948" s="28">
        <v>0.9</v>
      </c>
      <c r="O948" s="26">
        <v>0.96033452807646402</v>
      </c>
      <c r="P948" s="26">
        <v>0.80095973294387601</v>
      </c>
      <c r="Q948" s="26">
        <v>0.96246042514699204</v>
      </c>
      <c r="R948" s="26">
        <v>0.90912002928659696</v>
      </c>
      <c r="S948" s="28">
        <v>0.9</v>
      </c>
      <c r="T948" s="26">
        <v>0.90728793309438505</v>
      </c>
      <c r="U948" s="26">
        <v>0.89338618819111204</v>
      </c>
      <c r="V948" s="26">
        <v>0.91994572591587498</v>
      </c>
      <c r="W948" s="26">
        <v>0.89017526197776098</v>
      </c>
      <c r="X948" s="28">
        <v>0.92</v>
      </c>
      <c r="Y948" s="28">
        <v>0.89682539682539697</v>
      </c>
      <c r="Z948" s="28">
        <v>0.92996453900709197</v>
      </c>
      <c r="AA948" s="28">
        <v>0.90606060606060601</v>
      </c>
      <c r="AB948" s="28">
        <v>0.90965182899955899</v>
      </c>
      <c r="AC948" s="28">
        <v>0.92</v>
      </c>
      <c r="AD948" s="26">
        <v>0.99411628087017101</v>
      </c>
      <c r="AE948" s="26">
        <v>0.98626313485113803</v>
      </c>
      <c r="AF948" s="26">
        <v>0.996786922209696</v>
      </c>
      <c r="AG948" s="26">
        <v>0.99346649842810997</v>
      </c>
      <c r="AH948" s="28">
        <v>0.92</v>
      </c>
      <c r="AI948" s="26">
        <v>0.95062727640631295</v>
      </c>
      <c r="AJ948" s="26">
        <v>0.95914922349763698</v>
      </c>
      <c r="AK948" s="26">
        <v>0.94470477975632605</v>
      </c>
      <c r="AL948" s="26">
        <v>0.95222761024397595</v>
      </c>
      <c r="AM948" s="25">
        <v>0.99</v>
      </c>
      <c r="AN948" s="30">
        <v>1</v>
      </c>
      <c r="AO948" s="30">
        <v>1</v>
      </c>
      <c r="AP948" s="30">
        <v>1</v>
      </c>
      <c r="AQ948" s="30">
        <v>1</v>
      </c>
      <c r="AR948" s="50">
        <v>6.5641848892985799E-2</v>
      </c>
      <c r="AS948" s="34">
        <v>0.105263157894737</v>
      </c>
      <c r="AT948" s="34">
        <v>8.3333333333333301E-2</v>
      </c>
      <c r="AU948" s="34">
        <v>0</v>
      </c>
      <c r="AV948" s="34">
        <v>5.3846153846153801E-2</v>
      </c>
      <c r="AW948" s="10"/>
      <c r="AX948" s="8"/>
    </row>
    <row r="949" spans="1:50">
      <c r="A949" s="7"/>
      <c r="B949" s="10"/>
      <c r="C949" s="69" t="s">
        <v>944</v>
      </c>
      <c r="D949" s="23" t="s">
        <v>23</v>
      </c>
      <c r="E949" s="72" t="s">
        <v>993</v>
      </c>
      <c r="F949" s="73" t="s">
        <v>993</v>
      </c>
      <c r="G949" s="73" t="s">
        <v>993</v>
      </c>
      <c r="H949" s="73" t="s">
        <v>993</v>
      </c>
      <c r="I949" s="25">
        <v>0.9</v>
      </c>
      <c r="J949" s="26">
        <v>1</v>
      </c>
      <c r="K949" s="26">
        <v>1</v>
      </c>
      <c r="L949" s="27">
        <v>0.83333333333333304</v>
      </c>
      <c r="M949" s="26">
        <v>0.9375</v>
      </c>
      <c r="N949" s="28">
        <v>0.9</v>
      </c>
      <c r="O949" s="26">
        <v>0.955256064690027</v>
      </c>
      <c r="P949" s="26">
        <v>0.94764397905759201</v>
      </c>
      <c r="Q949" s="26">
        <v>0.96762589928057596</v>
      </c>
      <c r="R949" s="26">
        <v>0.94903170887422905</v>
      </c>
      <c r="S949" s="28">
        <v>0.9</v>
      </c>
      <c r="T949" s="26">
        <v>0.91859838274932604</v>
      </c>
      <c r="U949" s="26">
        <v>0.91765825797239398</v>
      </c>
      <c r="V949" s="26">
        <v>0.94124700239808201</v>
      </c>
      <c r="W949" s="26">
        <v>0.92253670993828496</v>
      </c>
      <c r="X949" s="28">
        <v>0.92</v>
      </c>
      <c r="Y949" s="28">
        <v>0.94267515923566902</v>
      </c>
      <c r="Z949" s="28">
        <v>0.92821782178217804</v>
      </c>
      <c r="AA949" s="28">
        <v>0.92877492877492895</v>
      </c>
      <c r="AB949" s="28">
        <v>0.92455947136563899</v>
      </c>
      <c r="AC949" s="28">
        <v>0.92</v>
      </c>
      <c r="AD949" s="26">
        <v>0.989547038327526</v>
      </c>
      <c r="AE949" s="26">
        <v>0.82882882882882902</v>
      </c>
      <c r="AF949" s="26">
        <v>0.97931034482758605</v>
      </c>
      <c r="AG949" s="26">
        <v>0.911052631578947</v>
      </c>
      <c r="AH949" s="28">
        <v>0.92</v>
      </c>
      <c r="AI949" s="26">
        <v>0.97049331489165502</v>
      </c>
      <c r="AJ949" s="26">
        <v>0.96207584830339299</v>
      </c>
      <c r="AK949" s="26">
        <v>0.95443037974683498</v>
      </c>
      <c r="AL949" s="26">
        <v>0.95880149812734095</v>
      </c>
      <c r="AM949" s="25">
        <v>0.99</v>
      </c>
      <c r="AN949" s="30">
        <v>1</v>
      </c>
      <c r="AO949" s="30">
        <v>1</v>
      </c>
      <c r="AP949" s="30">
        <v>1</v>
      </c>
      <c r="AQ949" s="30">
        <v>1</v>
      </c>
      <c r="AR949" s="50">
        <v>6.5641848892985799E-2</v>
      </c>
      <c r="AS949" s="34">
        <v>0</v>
      </c>
      <c r="AT949" s="34">
        <v>0.1</v>
      </c>
      <c r="AU949" s="34">
        <v>0</v>
      </c>
      <c r="AV949" s="34">
        <v>5.8823529411764698E-2</v>
      </c>
      <c r="AW949" s="10"/>
      <c r="AX949" s="8"/>
    </row>
    <row r="950" spans="1:50">
      <c r="A950" s="7"/>
      <c r="B950" s="10"/>
      <c r="C950" s="69" t="s">
        <v>944</v>
      </c>
      <c r="D950" s="23" t="s">
        <v>23</v>
      </c>
      <c r="E950" s="72" t="s">
        <v>994</v>
      </c>
      <c r="F950" s="73" t="s">
        <v>994</v>
      </c>
      <c r="G950" s="73" t="s">
        <v>994</v>
      </c>
      <c r="H950" s="73" t="s">
        <v>994</v>
      </c>
      <c r="I950" s="25">
        <v>0.9</v>
      </c>
      <c r="J950" s="26">
        <v>1</v>
      </c>
      <c r="K950" s="26">
        <v>0.952380952380952</v>
      </c>
      <c r="L950" s="27">
        <v>0.88235294117647101</v>
      </c>
      <c r="M950" s="26">
        <v>0.929824561403509</v>
      </c>
      <c r="N950" s="28">
        <v>0.9</v>
      </c>
      <c r="O950" s="26">
        <v>0.96338273757628601</v>
      </c>
      <c r="P950" s="26">
        <v>0.92202194357366796</v>
      </c>
      <c r="Q950" s="26">
        <v>0.98519163763066198</v>
      </c>
      <c r="R950" s="26">
        <v>0.94005426488044797</v>
      </c>
      <c r="S950" s="28">
        <v>0.9</v>
      </c>
      <c r="T950" s="26">
        <v>0.94507410636442901</v>
      </c>
      <c r="U950" s="26">
        <v>0.89067398119122299</v>
      </c>
      <c r="V950" s="26">
        <v>0.95644599303135902</v>
      </c>
      <c r="W950" s="26">
        <v>0.92436832287603898</v>
      </c>
      <c r="X950" s="28">
        <v>0.92</v>
      </c>
      <c r="Y950" s="28">
        <v>0.97380952380952401</v>
      </c>
      <c r="Z950" s="28">
        <v>0.96597353497164495</v>
      </c>
      <c r="AA950" s="28">
        <v>0.970401691331924</v>
      </c>
      <c r="AB950" s="28">
        <v>0.96661303298471402</v>
      </c>
      <c r="AC950" s="28">
        <v>0.92</v>
      </c>
      <c r="AD950" s="26">
        <v>0.99583043780403102</v>
      </c>
      <c r="AE950" s="26">
        <v>0.99822458943630699</v>
      </c>
      <c r="AF950" s="26">
        <v>0.99767275331185101</v>
      </c>
      <c r="AG950" s="26">
        <v>0.99781542393141298</v>
      </c>
      <c r="AH950" s="28">
        <v>0.92</v>
      </c>
      <c r="AI950" s="26">
        <v>0.98268238761974902</v>
      </c>
      <c r="AJ950" s="26">
        <v>0.98279779292437497</v>
      </c>
      <c r="AK950" s="26">
        <v>0.98087600246761297</v>
      </c>
      <c r="AL950" s="26">
        <v>0.98193277310924398</v>
      </c>
      <c r="AM950" s="25">
        <v>0.99</v>
      </c>
      <c r="AN950" s="30">
        <v>1</v>
      </c>
      <c r="AO950" s="30">
        <v>1</v>
      </c>
      <c r="AP950" s="30">
        <v>1</v>
      </c>
      <c r="AQ950" s="30">
        <v>1</v>
      </c>
      <c r="AR950" s="50">
        <v>6.5641848892985799E-2</v>
      </c>
      <c r="AS950" s="34">
        <v>0</v>
      </c>
      <c r="AT950" s="34">
        <v>0</v>
      </c>
      <c r="AU950" s="34">
        <v>0.2</v>
      </c>
      <c r="AV950" s="34">
        <v>5.5555555555555601E-2</v>
      </c>
      <c r="AW950" s="10"/>
      <c r="AX950" s="8"/>
    </row>
    <row r="951" spans="1:50">
      <c r="A951" s="7"/>
      <c r="B951" s="10"/>
      <c r="C951" s="69" t="s">
        <v>944</v>
      </c>
      <c r="D951" s="23" t="s">
        <v>23</v>
      </c>
      <c r="E951" s="72" t="s">
        <v>995</v>
      </c>
      <c r="F951" s="73" t="s">
        <v>995</v>
      </c>
      <c r="G951" s="73" t="s">
        <v>995</v>
      </c>
      <c r="H951" s="73" t="s">
        <v>995</v>
      </c>
      <c r="I951" s="25">
        <v>0.9</v>
      </c>
      <c r="J951" s="26">
        <v>0.97368421052631604</v>
      </c>
      <c r="K951" s="26">
        <v>0.88571428571428601</v>
      </c>
      <c r="L951" s="27">
        <v>0.94117647058823495</v>
      </c>
      <c r="M951" s="26">
        <v>0.92825112107623298</v>
      </c>
      <c r="N951" s="28">
        <v>0.9</v>
      </c>
      <c r="O951" s="26">
        <v>0.83620941795846704</v>
      </c>
      <c r="P951" s="26">
        <v>0.91397849462365599</v>
      </c>
      <c r="Q951" s="26">
        <v>0.91624040920716099</v>
      </c>
      <c r="R951" s="26">
        <v>0.89029816056843103</v>
      </c>
      <c r="S951" s="28">
        <v>0.9</v>
      </c>
      <c r="T951" s="26">
        <v>0.87715706346885103</v>
      </c>
      <c r="U951" s="26">
        <v>0.89439324116743502</v>
      </c>
      <c r="V951" s="26">
        <v>0.89897698209718702</v>
      </c>
      <c r="W951" s="26">
        <v>0.88943488943488902</v>
      </c>
      <c r="X951" s="28">
        <v>0.92</v>
      </c>
      <c r="Y951" s="28">
        <v>0.75268817204301097</v>
      </c>
      <c r="Z951" s="28">
        <v>0.75567190226876102</v>
      </c>
      <c r="AA951" s="28">
        <v>0.70262390670553898</v>
      </c>
      <c r="AB951" s="28">
        <v>0.70072795901860296</v>
      </c>
      <c r="AC951" s="28">
        <v>0.92</v>
      </c>
      <c r="AD951" s="26">
        <v>0.98875000000000002</v>
      </c>
      <c r="AE951" s="26">
        <v>0.97210743801652899</v>
      </c>
      <c r="AF951" s="26">
        <v>0.98812095032397396</v>
      </c>
      <c r="AG951" s="26">
        <v>0.98854337152209504</v>
      </c>
      <c r="AH951" s="28">
        <v>0.92</v>
      </c>
      <c r="AI951" s="26">
        <v>0.91449631449631497</v>
      </c>
      <c r="AJ951" s="26">
        <v>0.90874764002517305</v>
      </c>
      <c r="AK951" s="26">
        <v>0.898269533298374</v>
      </c>
      <c r="AL951" s="26">
        <v>0.89302077783697398</v>
      </c>
      <c r="AM951" s="25">
        <v>0.99</v>
      </c>
      <c r="AN951" s="30">
        <v>1</v>
      </c>
      <c r="AO951" s="30">
        <v>1</v>
      </c>
      <c r="AP951" s="30">
        <v>1</v>
      </c>
      <c r="AQ951" s="30">
        <v>1</v>
      </c>
      <c r="AR951" s="50">
        <v>6.5641848892985799E-2</v>
      </c>
      <c r="AS951" s="34">
        <v>0</v>
      </c>
      <c r="AT951" s="34">
        <v>8.3333333333333301E-2</v>
      </c>
      <c r="AU951" s="34">
        <v>0.11111111111111099</v>
      </c>
      <c r="AV951" s="34">
        <v>4.0540540540540501E-2</v>
      </c>
      <c r="AW951" s="10"/>
      <c r="AX951" s="8"/>
    </row>
    <row r="952" spans="1:50">
      <c r="A952" s="7"/>
      <c r="B952" s="10"/>
      <c r="C952" s="69" t="s">
        <v>944</v>
      </c>
      <c r="D952" s="23" t="s">
        <v>23</v>
      </c>
      <c r="E952" s="78" t="s">
        <v>996</v>
      </c>
      <c r="F952" s="79" t="s">
        <v>996</v>
      </c>
      <c r="G952" s="79" t="s">
        <v>996</v>
      </c>
      <c r="H952" s="79" t="s">
        <v>996</v>
      </c>
      <c r="I952" s="25">
        <v>0.9</v>
      </c>
      <c r="J952" s="26">
        <v>0.94736842105263197</v>
      </c>
      <c r="K952" s="26">
        <v>0.94736842105263197</v>
      </c>
      <c r="L952" s="27">
        <v>0.9375</v>
      </c>
      <c r="M952" s="26">
        <v>0.91509433962264197</v>
      </c>
      <c r="N952" s="28">
        <v>0.9</v>
      </c>
      <c r="O952" s="26">
        <v>0.93349875930521098</v>
      </c>
      <c r="P952" s="26">
        <v>0.94472005669737802</v>
      </c>
      <c r="Q952" s="26">
        <v>0.88186813186813195</v>
      </c>
      <c r="R952" s="26">
        <v>0.86859353175029597</v>
      </c>
      <c r="S952" s="28">
        <v>0.9</v>
      </c>
      <c r="T952" s="26">
        <v>0.73995037220843696</v>
      </c>
      <c r="U952" s="26">
        <v>0.83203401842664804</v>
      </c>
      <c r="V952" s="26">
        <v>0.81043956043956</v>
      </c>
      <c r="W952" s="26">
        <v>0.77382615235843999</v>
      </c>
      <c r="X952" s="28">
        <v>0.92</v>
      </c>
      <c r="Y952" s="28">
        <v>0</v>
      </c>
      <c r="Z952" s="28">
        <v>0</v>
      </c>
      <c r="AA952" s="28">
        <v>0</v>
      </c>
      <c r="AB952" s="28">
        <v>0</v>
      </c>
      <c r="AC952" s="28">
        <v>0.92</v>
      </c>
      <c r="AD952" s="26">
        <v>0.98214285714285698</v>
      </c>
      <c r="AE952" s="26">
        <v>0.974683544303797</v>
      </c>
      <c r="AF952" s="26">
        <v>0.95789473684210502</v>
      </c>
      <c r="AG952" s="26">
        <v>0.98050974512743605</v>
      </c>
      <c r="AH952" s="28">
        <v>0.92</v>
      </c>
      <c r="AI952" s="26">
        <v>0.92609126984126999</v>
      </c>
      <c r="AJ952" s="26">
        <v>0.90934844192634601</v>
      </c>
      <c r="AK952" s="26">
        <v>0.84643510054844595</v>
      </c>
      <c r="AL952" s="26">
        <v>0.86471977668026601</v>
      </c>
      <c r="AM952" s="25">
        <v>0.99</v>
      </c>
      <c r="AN952" s="30">
        <v>1</v>
      </c>
      <c r="AO952" s="30">
        <v>1</v>
      </c>
      <c r="AP952" s="30">
        <v>1</v>
      </c>
      <c r="AQ952" s="30">
        <v>1</v>
      </c>
      <c r="AR952" s="50">
        <v>6.5641848892985799E-2</v>
      </c>
      <c r="AS952" s="34">
        <v>0</v>
      </c>
      <c r="AT952" s="34">
        <v>0</v>
      </c>
      <c r="AU952" s="34">
        <v>0</v>
      </c>
      <c r="AV952" s="34">
        <v>0.148148148148148</v>
      </c>
      <c r="AW952" s="10"/>
      <c r="AX952" s="8"/>
    </row>
    <row r="953" spans="1:50">
      <c r="A953" s="7"/>
      <c r="B953" s="10"/>
      <c r="C953" s="69" t="s">
        <v>944</v>
      </c>
      <c r="D953" s="23" t="s">
        <v>23</v>
      </c>
      <c r="E953" s="72" t="s">
        <v>997</v>
      </c>
      <c r="F953" s="73" t="s">
        <v>997</v>
      </c>
      <c r="G953" s="73" t="s">
        <v>997</v>
      </c>
      <c r="H953" s="73" t="s">
        <v>997</v>
      </c>
      <c r="I953" s="25">
        <v>0.9</v>
      </c>
      <c r="J953" s="26">
        <v>0.96428571428571397</v>
      </c>
      <c r="K953" s="26">
        <v>0.96296296296296302</v>
      </c>
      <c r="L953" s="27">
        <v>0.91666666666666696</v>
      </c>
      <c r="M953" s="26">
        <v>0.94904458598726105</v>
      </c>
      <c r="N953" s="28">
        <v>0.9</v>
      </c>
      <c r="O953" s="26">
        <v>0.98452220726783302</v>
      </c>
      <c r="P953" s="26">
        <v>0.98968147151188901</v>
      </c>
      <c r="Q953" s="26">
        <v>0.97760290556900697</v>
      </c>
      <c r="R953" s="26">
        <v>0.97428735138232303</v>
      </c>
      <c r="S953" s="28">
        <v>0.9</v>
      </c>
      <c r="T953" s="26">
        <v>0.92698519515477795</v>
      </c>
      <c r="U953" s="26">
        <v>0.93091072229699401</v>
      </c>
      <c r="V953" s="26">
        <v>0.90859564164648898</v>
      </c>
      <c r="W953" s="26">
        <v>0.91383755908895603</v>
      </c>
      <c r="X953" s="28">
        <v>0.92</v>
      </c>
      <c r="Y953" s="28">
        <v>0</v>
      </c>
      <c r="Z953" s="28">
        <v>0</v>
      </c>
      <c r="AA953" s="28">
        <v>0</v>
      </c>
      <c r="AB953" s="28">
        <v>0</v>
      </c>
      <c r="AC953" s="28">
        <v>0.92</v>
      </c>
      <c r="AD953" s="26">
        <v>0.98007033997655302</v>
      </c>
      <c r="AE953" s="26">
        <v>0.99159663865546199</v>
      </c>
      <c r="AF953" s="26">
        <v>0.99257195914577501</v>
      </c>
      <c r="AG953" s="26">
        <v>0.98934411170310499</v>
      </c>
      <c r="AH953" s="28">
        <v>0.92</v>
      </c>
      <c r="AI953" s="26">
        <v>0.97106325706594898</v>
      </c>
      <c r="AJ953" s="26">
        <v>0.97353073126962797</v>
      </c>
      <c r="AK953" s="26">
        <v>0.958837772397094</v>
      </c>
      <c r="AL953" s="26">
        <v>0.96619879690633104</v>
      </c>
      <c r="AM953" s="25">
        <v>0.99</v>
      </c>
      <c r="AN953" s="30">
        <v>1</v>
      </c>
      <c r="AO953" s="30">
        <v>1</v>
      </c>
      <c r="AP953" s="30">
        <v>1</v>
      </c>
      <c r="AQ953" s="30">
        <v>1</v>
      </c>
      <c r="AR953" s="50">
        <v>6.5641848892985799E-2</v>
      </c>
      <c r="AS953" s="34">
        <v>0</v>
      </c>
      <c r="AT953" s="34">
        <v>9.0909090909090898E-2</v>
      </c>
      <c r="AU953" s="34">
        <v>0.11111111111111099</v>
      </c>
      <c r="AV953" s="34">
        <v>4.8387096774193498E-2</v>
      </c>
      <c r="AW953" s="10"/>
      <c r="AX953" s="8"/>
    </row>
    <row r="954" spans="1:50">
      <c r="A954" s="7"/>
      <c r="B954" s="10"/>
      <c r="C954" s="69" t="s">
        <v>944</v>
      </c>
      <c r="D954" s="23" t="s">
        <v>23</v>
      </c>
      <c r="E954" s="74" t="s">
        <v>998</v>
      </c>
      <c r="F954" s="75" t="s">
        <v>998</v>
      </c>
      <c r="G954" s="75" t="s">
        <v>998</v>
      </c>
      <c r="H954" s="75" t="s">
        <v>998</v>
      </c>
      <c r="I954" s="25">
        <v>0.9</v>
      </c>
      <c r="J954" s="26">
        <v>0.98305084745762705</v>
      </c>
      <c r="K954" s="26">
        <v>0.94545454545454499</v>
      </c>
      <c r="L954" s="27">
        <v>0.91304347826086996</v>
      </c>
      <c r="M954" s="26">
        <v>0.95806451612903198</v>
      </c>
      <c r="N954" s="28">
        <v>0.9</v>
      </c>
      <c r="O954" s="26">
        <v>0.93996947600474801</v>
      </c>
      <c r="P954" s="26">
        <v>0.94636194029850795</v>
      </c>
      <c r="Q954" s="26">
        <v>0.932177844762622</v>
      </c>
      <c r="R954" s="26">
        <v>0.92973670826650001</v>
      </c>
      <c r="S954" s="28">
        <v>0.9</v>
      </c>
      <c r="T954" s="26">
        <v>0.91334576903510301</v>
      </c>
      <c r="U954" s="26">
        <v>0.92070895522388096</v>
      </c>
      <c r="V954" s="26">
        <v>0.92162773172569701</v>
      </c>
      <c r="W954" s="26">
        <v>0.90708501232346195</v>
      </c>
      <c r="X954" s="28">
        <v>0.92</v>
      </c>
      <c r="Y954" s="28">
        <v>0.85619285120531996</v>
      </c>
      <c r="Z954" s="28">
        <v>0.85188968335035797</v>
      </c>
      <c r="AA954" s="28">
        <v>0.78956228956229002</v>
      </c>
      <c r="AB954" s="28">
        <v>0.78681534929485097</v>
      </c>
      <c r="AC954" s="28">
        <v>0.92</v>
      </c>
      <c r="AD954" s="26">
        <v>0.88926336061627298</v>
      </c>
      <c r="AE954" s="26">
        <v>0.93657373821121404</v>
      </c>
      <c r="AF954" s="26">
        <v>0.98631336038831896</v>
      </c>
      <c r="AG954" s="26">
        <v>0.96220841762294396</v>
      </c>
      <c r="AH954" s="28">
        <v>0.92</v>
      </c>
      <c r="AI954" s="26">
        <v>0.94056338028168995</v>
      </c>
      <c r="AJ954" s="26">
        <v>0.94209227264097195</v>
      </c>
      <c r="AK954" s="26">
        <v>0.92826354679803003</v>
      </c>
      <c r="AL954" s="26">
        <v>0.92138096591806395</v>
      </c>
      <c r="AM954" s="25">
        <v>0.99</v>
      </c>
      <c r="AN954" s="30">
        <v>1</v>
      </c>
      <c r="AO954" s="30">
        <v>1</v>
      </c>
      <c r="AP954" s="30">
        <v>1</v>
      </c>
      <c r="AQ954" s="30">
        <v>1</v>
      </c>
      <c r="AR954" s="50">
        <v>6.5641848892985799E-2</v>
      </c>
      <c r="AS954" s="34">
        <v>0</v>
      </c>
      <c r="AT954" s="34">
        <v>0</v>
      </c>
      <c r="AU954" s="34">
        <v>-6.25E-2</v>
      </c>
      <c r="AV954" s="34">
        <v>1.50375939849624E-2</v>
      </c>
      <c r="AW954" s="10"/>
      <c r="AX954" s="8"/>
    </row>
    <row r="955" spans="1:50">
      <c r="A955" s="7"/>
      <c r="B955" s="10"/>
      <c r="C955" s="69" t="s">
        <v>944</v>
      </c>
      <c r="D955" s="23" t="s">
        <v>23</v>
      </c>
      <c r="E955" s="72" t="s">
        <v>999</v>
      </c>
      <c r="F955" s="73" t="s">
        <v>999</v>
      </c>
      <c r="G955" s="73" t="s">
        <v>999</v>
      </c>
      <c r="H955" s="73" t="s">
        <v>999</v>
      </c>
      <c r="I955" s="25">
        <v>0.9</v>
      </c>
      <c r="J955" s="26">
        <v>1</v>
      </c>
      <c r="K955" s="26">
        <v>1</v>
      </c>
      <c r="L955" s="27">
        <v>1</v>
      </c>
      <c r="M955" s="26">
        <v>0.98969072164948502</v>
      </c>
      <c r="N955" s="28">
        <v>0.9</v>
      </c>
      <c r="O955" s="26">
        <v>0.97516198704103696</v>
      </c>
      <c r="P955" s="26">
        <v>0.95336026441424904</v>
      </c>
      <c r="Q955" s="26">
        <v>0.94226218646474202</v>
      </c>
      <c r="R955" s="26">
        <v>0.96860301034807195</v>
      </c>
      <c r="S955" s="28">
        <v>0.9</v>
      </c>
      <c r="T955" s="26">
        <v>0.91981641468682496</v>
      </c>
      <c r="U955" s="26">
        <v>0.91222915901579105</v>
      </c>
      <c r="V955" s="26">
        <v>0.90298154283009902</v>
      </c>
      <c r="W955" s="26">
        <v>0.91698024459078098</v>
      </c>
      <c r="X955" s="28">
        <v>0.92</v>
      </c>
      <c r="Y955" s="28">
        <v>0</v>
      </c>
      <c r="Z955" s="28">
        <v>1</v>
      </c>
      <c r="AA955" s="28">
        <v>0</v>
      </c>
      <c r="AB955" s="28">
        <v>0.14285714285714299</v>
      </c>
      <c r="AC955" s="28">
        <v>0.92</v>
      </c>
      <c r="AD955" s="26">
        <v>1</v>
      </c>
      <c r="AE955" s="26">
        <v>0.98014888337468997</v>
      </c>
      <c r="AF955" s="26">
        <v>0.98268398268398305</v>
      </c>
      <c r="AG955" s="26">
        <v>0.98308668076109895</v>
      </c>
      <c r="AH955" s="28">
        <v>0.92</v>
      </c>
      <c r="AI955" s="26">
        <v>0.96814254859611204</v>
      </c>
      <c r="AJ955" s="26">
        <v>0.96366972477064206</v>
      </c>
      <c r="AK955" s="26">
        <v>0.94478527607361995</v>
      </c>
      <c r="AL955" s="26">
        <v>0.96563271060979905</v>
      </c>
      <c r="AM955" s="25">
        <v>0.99</v>
      </c>
      <c r="AN955" s="30">
        <v>1</v>
      </c>
      <c r="AO955" s="30">
        <v>1</v>
      </c>
      <c r="AP955" s="30">
        <v>1</v>
      </c>
      <c r="AQ955" s="30">
        <v>1</v>
      </c>
      <c r="AR955" s="50">
        <v>6.5641848892985799E-2</v>
      </c>
      <c r="AS955" s="34">
        <v>0</v>
      </c>
      <c r="AT955" s="34">
        <v>0</v>
      </c>
      <c r="AU955" s="34">
        <v>0</v>
      </c>
      <c r="AV955" s="34">
        <v>2.3809523809523801E-2</v>
      </c>
      <c r="AW955" s="10"/>
      <c r="AX955" s="8"/>
    </row>
    <row r="956" spans="1:50">
      <c r="A956" s="7"/>
      <c r="B956" s="10"/>
      <c r="C956" s="69" t="s">
        <v>944</v>
      </c>
      <c r="D956" s="23" t="s">
        <v>23</v>
      </c>
      <c r="E956" s="72" t="s">
        <v>1000</v>
      </c>
      <c r="F956" s="73" t="s">
        <v>1000</v>
      </c>
      <c r="G956" s="73" t="s">
        <v>1000</v>
      </c>
      <c r="H956" s="73" t="s">
        <v>1000</v>
      </c>
      <c r="I956" s="25">
        <v>0.9</v>
      </c>
      <c r="J956" s="26">
        <v>0.97916666666666696</v>
      </c>
      <c r="K956" s="26">
        <v>0.97777777777777797</v>
      </c>
      <c r="L956" s="27">
        <v>0.952380952380952</v>
      </c>
      <c r="M956" s="26">
        <v>0.951672862453532</v>
      </c>
      <c r="N956" s="28">
        <v>0.9</v>
      </c>
      <c r="O956" s="26">
        <v>0.91011479315572896</v>
      </c>
      <c r="P956" s="26">
        <v>0.94788858939802301</v>
      </c>
      <c r="Q956" s="26">
        <v>0.96363636363636396</v>
      </c>
      <c r="R956" s="26">
        <v>0.92459445561217302</v>
      </c>
      <c r="S956" s="28">
        <v>0.9</v>
      </c>
      <c r="T956" s="26">
        <v>0.92354342646740295</v>
      </c>
      <c r="U956" s="26">
        <v>0.91554357592093405</v>
      </c>
      <c r="V956" s="26">
        <v>0.939393939393939</v>
      </c>
      <c r="W956" s="26">
        <v>0.92127530269739599</v>
      </c>
      <c r="X956" s="28">
        <v>0.92</v>
      </c>
      <c r="Y956" s="28">
        <v>0</v>
      </c>
      <c r="Z956" s="28">
        <v>1</v>
      </c>
      <c r="AA956" s="28">
        <v>0</v>
      </c>
      <c r="AB956" s="28">
        <v>0.15384615384615399</v>
      </c>
      <c r="AC956" s="28">
        <v>0.92</v>
      </c>
      <c r="AD956" s="26">
        <v>0.99283154121863804</v>
      </c>
      <c r="AE956" s="26">
        <v>0.99270833333333297</v>
      </c>
      <c r="AF956" s="26">
        <v>0.99583085169743901</v>
      </c>
      <c r="AG956" s="26">
        <v>0.98810455470339598</v>
      </c>
      <c r="AH956" s="28">
        <v>0.92</v>
      </c>
      <c r="AI956" s="26">
        <v>0.95841455490578298</v>
      </c>
      <c r="AJ956" s="26">
        <v>0.95269461077844297</v>
      </c>
      <c r="AK956" s="26">
        <v>0.95518772708922095</v>
      </c>
      <c r="AL956" s="26">
        <v>0.95566249299196404</v>
      </c>
      <c r="AM956" s="25">
        <v>0.99</v>
      </c>
      <c r="AN956" s="30">
        <v>1</v>
      </c>
      <c r="AO956" s="30">
        <v>1</v>
      </c>
      <c r="AP956" s="30">
        <v>1</v>
      </c>
      <c r="AQ956" s="30">
        <v>1</v>
      </c>
      <c r="AR956" s="50">
        <v>6.5641848892985799E-2</v>
      </c>
      <c r="AS956" s="34">
        <v>7.1428571428571397E-2</v>
      </c>
      <c r="AT956" s="34">
        <v>5.2631578947368397E-2</v>
      </c>
      <c r="AU956" s="34">
        <v>0</v>
      </c>
      <c r="AV956" s="34">
        <v>2.3809523809523801E-2</v>
      </c>
      <c r="AW956" s="10"/>
      <c r="AX956" s="8"/>
    </row>
    <row r="957" spans="1:50">
      <c r="A957" s="7"/>
      <c r="B957" s="10"/>
      <c r="C957" s="69" t="s">
        <v>944</v>
      </c>
      <c r="D957" s="23" t="s">
        <v>23</v>
      </c>
      <c r="E957" s="72" t="s">
        <v>1001</v>
      </c>
      <c r="F957" s="73" t="s">
        <v>1001</v>
      </c>
      <c r="G957" s="73" t="s">
        <v>1001</v>
      </c>
      <c r="H957" s="73" t="s">
        <v>1001</v>
      </c>
      <c r="I957" s="25">
        <v>0.9</v>
      </c>
      <c r="J957" s="26">
        <v>0.92452830188679203</v>
      </c>
      <c r="K957" s="26">
        <v>0.94</v>
      </c>
      <c r="L957" s="27">
        <v>0.95833333333333304</v>
      </c>
      <c r="M957" s="26">
        <v>0.91216216216216195</v>
      </c>
      <c r="N957" s="28">
        <v>0.9</v>
      </c>
      <c r="O957" s="26">
        <v>0.93950819672131103</v>
      </c>
      <c r="P957" s="26">
        <v>0.95153401511782998</v>
      </c>
      <c r="Q957" s="26">
        <v>0.93897149938042102</v>
      </c>
      <c r="R957" s="26">
        <v>0.92093576249256903</v>
      </c>
      <c r="S957" s="28">
        <v>0.9</v>
      </c>
      <c r="T957" s="26">
        <v>0.90868852459016403</v>
      </c>
      <c r="U957" s="26">
        <v>0.919075144508671</v>
      </c>
      <c r="V957" s="26">
        <v>0.927509293680297</v>
      </c>
      <c r="W957" s="26">
        <v>0.90215756897576704</v>
      </c>
      <c r="X957" s="28">
        <v>0.92</v>
      </c>
      <c r="Y957" s="28">
        <v>0</v>
      </c>
      <c r="Z957" s="28">
        <v>0</v>
      </c>
      <c r="AA957" s="28">
        <v>0</v>
      </c>
      <c r="AB957" s="28">
        <v>0</v>
      </c>
      <c r="AC957" s="28">
        <v>0.92</v>
      </c>
      <c r="AD957" s="26">
        <v>0.98182492581602399</v>
      </c>
      <c r="AE957" s="26">
        <v>0.98355152735817397</v>
      </c>
      <c r="AF957" s="26">
        <v>0.98850315599639305</v>
      </c>
      <c r="AG957" s="26">
        <v>0.96531020680453605</v>
      </c>
      <c r="AH957" s="28">
        <v>0.92</v>
      </c>
      <c r="AI957" s="26">
        <v>0.95446355446355402</v>
      </c>
      <c r="AJ957" s="26">
        <v>0.96042685638061398</v>
      </c>
      <c r="AK957" s="26">
        <v>0.94580365438216196</v>
      </c>
      <c r="AL957" s="26">
        <v>0.93868633551228697</v>
      </c>
      <c r="AM957" s="25">
        <v>0.99</v>
      </c>
      <c r="AN957" s="30">
        <v>1</v>
      </c>
      <c r="AO957" s="30">
        <v>1</v>
      </c>
      <c r="AP957" s="30">
        <v>1</v>
      </c>
      <c r="AQ957" s="30">
        <v>1</v>
      </c>
      <c r="AR957" s="50">
        <v>6.5641848892985799E-2</v>
      </c>
      <c r="AS957" s="34">
        <v>9.5238095238095205E-2</v>
      </c>
      <c r="AT957" s="34">
        <v>0</v>
      </c>
      <c r="AU957" s="34">
        <v>0.36363636363636398</v>
      </c>
      <c r="AV957" s="34">
        <v>9.2783505154639206E-2</v>
      </c>
      <c r="AW957" s="10"/>
      <c r="AX957" s="8"/>
    </row>
    <row r="958" spans="1:50">
      <c r="A958" s="7"/>
      <c r="B958" s="10"/>
      <c r="C958" s="69" t="s">
        <v>944</v>
      </c>
      <c r="D958" s="23" t="s">
        <v>23</v>
      </c>
      <c r="E958" s="72" t="s">
        <v>1002</v>
      </c>
      <c r="F958" s="73" t="s">
        <v>1002</v>
      </c>
      <c r="G958" s="73" t="s">
        <v>1002</v>
      </c>
      <c r="H958" s="73" t="s">
        <v>1002</v>
      </c>
      <c r="I958" s="25">
        <v>0.9</v>
      </c>
      <c r="J958" s="26">
        <v>0.89473684210526305</v>
      </c>
      <c r="K958" s="26">
        <v>0.97222222222222199</v>
      </c>
      <c r="L958" s="27">
        <v>0.85294117647058798</v>
      </c>
      <c r="M958" s="26">
        <v>0.91666666666666696</v>
      </c>
      <c r="N958" s="28">
        <v>0.9</v>
      </c>
      <c r="O958" s="26">
        <v>0.87889742431089002</v>
      </c>
      <c r="P958" s="26">
        <v>0.97068095838587598</v>
      </c>
      <c r="Q958" s="26">
        <v>0.96698307882789902</v>
      </c>
      <c r="R958" s="26">
        <v>0.93140670232078904</v>
      </c>
      <c r="S958" s="28">
        <v>0.9</v>
      </c>
      <c r="T958" s="26">
        <v>0.90375056484410299</v>
      </c>
      <c r="U958" s="26">
        <v>0.90573770491803296</v>
      </c>
      <c r="V958" s="26">
        <v>0.93726784977300903</v>
      </c>
      <c r="W958" s="26">
        <v>0.91452823708355802</v>
      </c>
      <c r="X958" s="28">
        <v>0.92</v>
      </c>
      <c r="Y958" s="28">
        <v>1</v>
      </c>
      <c r="Z958" s="28">
        <v>0</v>
      </c>
      <c r="AA958" s="28">
        <v>0</v>
      </c>
      <c r="AB958" s="28">
        <v>0.11111111111111099</v>
      </c>
      <c r="AC958" s="28">
        <v>0.92</v>
      </c>
      <c r="AD958" s="26">
        <v>0.989041095890411</v>
      </c>
      <c r="AE958" s="26">
        <v>0.978494623655914</v>
      </c>
      <c r="AF958" s="26">
        <v>0.97237569060773499</v>
      </c>
      <c r="AG958" s="26">
        <v>0.98390263054574001</v>
      </c>
      <c r="AH958" s="28">
        <v>0.92</v>
      </c>
      <c r="AI958" s="26">
        <v>0.96566523605150201</v>
      </c>
      <c r="AJ958" s="26">
        <v>0.96092026473369097</v>
      </c>
      <c r="AK958" s="26">
        <v>0.956718878812861</v>
      </c>
      <c r="AL958" s="26">
        <v>0.95679254536537495</v>
      </c>
      <c r="AM958" s="25">
        <v>0.99</v>
      </c>
      <c r="AN958" s="30">
        <v>1</v>
      </c>
      <c r="AO958" s="30">
        <v>1</v>
      </c>
      <c r="AP958" s="30">
        <v>1</v>
      </c>
      <c r="AQ958" s="30">
        <v>1</v>
      </c>
      <c r="AR958" s="50">
        <v>6.5641848892985799E-2</v>
      </c>
      <c r="AS958" s="34">
        <v>8.3333333333333301E-2</v>
      </c>
      <c r="AT958" s="34">
        <v>0</v>
      </c>
      <c r="AU958" s="34">
        <v>0</v>
      </c>
      <c r="AV958" s="34">
        <v>6.9767441860465101E-2</v>
      </c>
      <c r="AW958" s="10"/>
      <c r="AX958" s="8"/>
    </row>
    <row r="959" spans="1:50">
      <c r="A959" s="7"/>
      <c r="B959" s="10"/>
      <c r="C959" s="69" t="s">
        <v>944</v>
      </c>
      <c r="D959" s="23" t="s">
        <v>23</v>
      </c>
      <c r="E959" s="80" t="s">
        <v>1003</v>
      </c>
      <c r="F959" s="81" t="s">
        <v>1003</v>
      </c>
      <c r="G959" s="81" t="s">
        <v>1003</v>
      </c>
      <c r="H959" s="81" t="s">
        <v>1003</v>
      </c>
      <c r="I959" s="25">
        <v>0.9</v>
      </c>
      <c r="J959" s="26">
        <v>1</v>
      </c>
      <c r="K959" s="26">
        <v>0.95</v>
      </c>
      <c r="L959" s="27">
        <v>0.97368421052631604</v>
      </c>
      <c r="M959" s="26">
        <v>0.96666666666666701</v>
      </c>
      <c r="N959" s="28">
        <v>0.9</v>
      </c>
      <c r="O959" s="26">
        <v>0.971574148565299</v>
      </c>
      <c r="P959" s="26">
        <v>0.97585601404740996</v>
      </c>
      <c r="Q959" s="26">
        <v>0.96624331550802101</v>
      </c>
      <c r="R959" s="26">
        <v>0.95831025628115396</v>
      </c>
      <c r="S959" s="28">
        <v>0.9</v>
      </c>
      <c r="T959" s="26">
        <v>0.90775006704210204</v>
      </c>
      <c r="U959" s="26">
        <v>0.924495171202809</v>
      </c>
      <c r="V959" s="26">
        <v>0.94318181818181801</v>
      </c>
      <c r="W959" s="26">
        <v>0.91898695936760499</v>
      </c>
      <c r="X959" s="28">
        <v>0.92</v>
      </c>
      <c r="Y959" s="28">
        <v>1</v>
      </c>
      <c r="Z959" s="28">
        <v>0</v>
      </c>
      <c r="AA959" s="28">
        <v>0</v>
      </c>
      <c r="AB959" s="28">
        <v>0.1</v>
      </c>
      <c r="AC959" s="28">
        <v>0.92</v>
      </c>
      <c r="AD959" s="26">
        <v>0.98048780487804899</v>
      </c>
      <c r="AE959" s="26">
        <v>0.95416666666666705</v>
      </c>
      <c r="AF959" s="26">
        <v>0.93137254901960798</v>
      </c>
      <c r="AG959" s="26">
        <v>0.96423135464231402</v>
      </c>
      <c r="AH959" s="28">
        <v>0.92</v>
      </c>
      <c r="AI959" s="26">
        <v>0.96273458445040205</v>
      </c>
      <c r="AJ959" s="26">
        <v>0.95879000438404205</v>
      </c>
      <c r="AK959" s="26">
        <v>0.96892749749415297</v>
      </c>
      <c r="AL959" s="26">
        <v>0.96190428262291805</v>
      </c>
      <c r="AM959" s="25">
        <v>0.99</v>
      </c>
      <c r="AN959" s="30">
        <v>1</v>
      </c>
      <c r="AO959" s="30">
        <v>1</v>
      </c>
      <c r="AP959" s="30">
        <v>1</v>
      </c>
      <c r="AQ959" s="30">
        <v>1</v>
      </c>
      <c r="AR959" s="50">
        <v>6.5641848892985799E-2</v>
      </c>
      <c r="AS959" s="34">
        <v>9.0909090909090898E-2</v>
      </c>
      <c r="AT959" s="34">
        <v>0</v>
      </c>
      <c r="AU959" s="34">
        <v>0</v>
      </c>
      <c r="AV959" s="34">
        <v>5.5555555555555601E-2</v>
      </c>
      <c r="AW959" s="10"/>
      <c r="AX959" s="8"/>
    </row>
    <row r="960" spans="1:50">
      <c r="A960" s="7"/>
      <c r="B960" s="10"/>
      <c r="C960" s="69" t="s">
        <v>944</v>
      </c>
      <c r="D960" s="23" t="s">
        <v>23</v>
      </c>
      <c r="E960" s="70" t="s">
        <v>1004</v>
      </c>
      <c r="F960" s="71" t="s">
        <v>1004</v>
      </c>
      <c r="G960" s="71" t="s">
        <v>1004</v>
      </c>
      <c r="H960" s="71" t="s">
        <v>1004</v>
      </c>
      <c r="I960" s="25">
        <v>0.9</v>
      </c>
      <c r="J960" s="26">
        <v>1</v>
      </c>
      <c r="K960" s="26">
        <v>0.94444444444444398</v>
      </c>
      <c r="L960" s="27">
        <v>0.93333333333333302</v>
      </c>
      <c r="M960" s="26">
        <v>0.94230769230769196</v>
      </c>
      <c r="N960" s="28">
        <v>0.9</v>
      </c>
      <c r="O960" s="26">
        <v>0.98303715670436198</v>
      </c>
      <c r="P960" s="26">
        <v>0.98169223156853003</v>
      </c>
      <c r="Q960" s="26">
        <v>0.9375</v>
      </c>
      <c r="R960" s="26">
        <v>0.97250161483805497</v>
      </c>
      <c r="S960" s="28">
        <v>0.9</v>
      </c>
      <c r="T960" s="26">
        <v>0.92407108239095304</v>
      </c>
      <c r="U960" s="26">
        <v>0.92627412172192003</v>
      </c>
      <c r="V960" s="26">
        <v>0.92559523809523803</v>
      </c>
      <c r="W960" s="26">
        <v>0.92045769124296395</v>
      </c>
      <c r="X960" s="28">
        <v>0.92</v>
      </c>
      <c r="Y960" s="28">
        <v>0</v>
      </c>
      <c r="Z960" s="28">
        <v>0</v>
      </c>
      <c r="AA960" s="28">
        <v>0</v>
      </c>
      <c r="AB960" s="28">
        <v>0</v>
      </c>
      <c r="AC960" s="28">
        <v>0.92</v>
      </c>
      <c r="AD960" s="26">
        <v>1</v>
      </c>
      <c r="AE960" s="26">
        <v>1</v>
      </c>
      <c r="AF960" s="26">
        <v>0.98847926267281105</v>
      </c>
      <c r="AG960" s="26">
        <v>0.99178532311062395</v>
      </c>
      <c r="AH960" s="28">
        <v>0.92</v>
      </c>
      <c r="AI960" s="26">
        <v>0.93982229402261697</v>
      </c>
      <c r="AJ960" s="26">
        <v>0.94161306284017798</v>
      </c>
      <c r="AK960" s="26">
        <v>0.93756194251734404</v>
      </c>
      <c r="AL960" s="26">
        <v>0.93790367226425497</v>
      </c>
      <c r="AM960" s="25">
        <v>0.99</v>
      </c>
      <c r="AN960" s="30">
        <v>1</v>
      </c>
      <c r="AO960" s="30">
        <v>1</v>
      </c>
      <c r="AP960" s="30">
        <v>1</v>
      </c>
      <c r="AQ960" s="30">
        <v>1</v>
      </c>
      <c r="AR960" s="50">
        <v>6.5641848892985799E-2</v>
      </c>
      <c r="AS960" s="34">
        <v>0.05</v>
      </c>
      <c r="AT960" s="34">
        <v>0</v>
      </c>
      <c r="AU960" s="34">
        <v>7.69230769230769E-2</v>
      </c>
      <c r="AV960" s="34">
        <v>4.0404040404040401E-2</v>
      </c>
      <c r="AW960" s="10"/>
      <c r="AX960" s="8"/>
    </row>
    <row r="961" spans="1:50">
      <c r="A961" s="7"/>
      <c r="B961" s="10"/>
      <c r="C961" s="69" t="s">
        <v>944</v>
      </c>
      <c r="D961" s="23" t="s">
        <v>23</v>
      </c>
      <c r="E961" s="70" t="s">
        <v>1005</v>
      </c>
      <c r="F961" s="71" t="s">
        <v>1005</v>
      </c>
      <c r="G961" s="71" t="s">
        <v>1005</v>
      </c>
      <c r="H961" s="71" t="s">
        <v>1005</v>
      </c>
      <c r="I961" s="25">
        <v>0.9</v>
      </c>
      <c r="J961" s="26">
        <v>1</v>
      </c>
      <c r="K961" s="26">
        <v>0.94117647058823495</v>
      </c>
      <c r="L961" s="27">
        <v>1</v>
      </c>
      <c r="M961" s="26">
        <v>0.967741935483871</v>
      </c>
      <c r="N961" s="28">
        <v>0.9</v>
      </c>
      <c r="O961" s="26">
        <v>0.96572212065813501</v>
      </c>
      <c r="P961" s="26">
        <v>0.96903669724770602</v>
      </c>
      <c r="Q961" s="26">
        <v>0.93424036281179101</v>
      </c>
      <c r="R961" s="26">
        <v>0.97031039136302299</v>
      </c>
      <c r="S961" s="28">
        <v>0.9</v>
      </c>
      <c r="T961" s="26">
        <v>0.92778793418647199</v>
      </c>
      <c r="U961" s="26">
        <v>0.94552752293578002</v>
      </c>
      <c r="V961" s="26">
        <v>0.91269841269841301</v>
      </c>
      <c r="W961" s="26">
        <v>0.92816360427696498</v>
      </c>
      <c r="X961" s="28">
        <v>0.92</v>
      </c>
      <c r="Y961" s="28">
        <v>0</v>
      </c>
      <c r="Z961" s="28">
        <v>0</v>
      </c>
      <c r="AA961" s="28">
        <v>0</v>
      </c>
      <c r="AB961" s="28">
        <v>0</v>
      </c>
      <c r="AC961" s="28">
        <v>0.92</v>
      </c>
      <c r="AD961" s="26">
        <v>1</v>
      </c>
      <c r="AE961" s="26">
        <v>1</v>
      </c>
      <c r="AF961" s="26">
        <v>0.99375000000000002</v>
      </c>
      <c r="AG961" s="26">
        <v>0.99839743589743601</v>
      </c>
      <c r="AH961" s="28">
        <v>0.92</v>
      </c>
      <c r="AI961" s="26">
        <v>0.97714808043875701</v>
      </c>
      <c r="AJ961" s="26">
        <v>0.97649082568807299</v>
      </c>
      <c r="AK961" s="26">
        <v>0.94557823129251695</v>
      </c>
      <c r="AL961" s="26">
        <v>0.97010277172220505</v>
      </c>
      <c r="AM961" s="25">
        <v>0.99</v>
      </c>
      <c r="AN961" s="30">
        <v>1</v>
      </c>
      <c r="AO961" s="30">
        <v>1</v>
      </c>
      <c r="AP961" s="30">
        <v>1</v>
      </c>
      <c r="AQ961" s="30">
        <v>1</v>
      </c>
      <c r="AR961" s="50">
        <v>6.5641848892985799E-2</v>
      </c>
      <c r="AS961" s="34">
        <v>0.11111111111111099</v>
      </c>
      <c r="AT961" s="34">
        <v>0</v>
      </c>
      <c r="AU961" s="34">
        <v>0.16666666666666699</v>
      </c>
      <c r="AV961" s="34">
        <v>0.05</v>
      </c>
      <c r="AW961" s="10"/>
      <c r="AX961" s="8"/>
    </row>
    <row r="962" spans="1:50">
      <c r="A962" s="7"/>
      <c r="B962" s="10"/>
      <c r="C962" s="69" t="s">
        <v>944</v>
      </c>
      <c r="D962" s="23" t="s">
        <v>23</v>
      </c>
      <c r="E962" s="70" t="s">
        <v>1006</v>
      </c>
      <c r="F962" s="71" t="s">
        <v>1006</v>
      </c>
      <c r="G962" s="71" t="s">
        <v>1006</v>
      </c>
      <c r="H962" s="71" t="s">
        <v>1006</v>
      </c>
      <c r="I962" s="25">
        <v>0.9</v>
      </c>
      <c r="J962" s="26">
        <v>0.95454545454545503</v>
      </c>
      <c r="K962" s="26">
        <v>0.93181818181818199</v>
      </c>
      <c r="L962" s="27">
        <v>0.90909090909090895</v>
      </c>
      <c r="M962" s="26">
        <v>0.91322314049586795</v>
      </c>
      <c r="N962" s="28">
        <v>0.9</v>
      </c>
      <c r="O962" s="26">
        <v>0.89637488947833799</v>
      </c>
      <c r="P962" s="26">
        <v>0.95885126446635205</v>
      </c>
      <c r="Q962" s="26">
        <v>0.96016597510373403</v>
      </c>
      <c r="R962" s="26">
        <v>0.92520853384664703</v>
      </c>
      <c r="S962" s="28">
        <v>0.9</v>
      </c>
      <c r="T962" s="26">
        <v>0.92873563218390798</v>
      </c>
      <c r="U962" s="26">
        <v>0.94363480497213903</v>
      </c>
      <c r="V962" s="26">
        <v>0.93692946058091298</v>
      </c>
      <c r="W962" s="26">
        <v>0.93154475457170405</v>
      </c>
      <c r="X962" s="28">
        <v>0.92</v>
      </c>
      <c r="Y962" s="28">
        <v>0</v>
      </c>
      <c r="Z962" s="28">
        <v>0</v>
      </c>
      <c r="AA962" s="28">
        <v>0</v>
      </c>
      <c r="AB962" s="28">
        <v>0</v>
      </c>
      <c r="AC962" s="28">
        <v>0.92</v>
      </c>
      <c r="AD962" s="26">
        <v>0.99572150914041202</v>
      </c>
      <c r="AE962" s="26">
        <v>0.995551161641127</v>
      </c>
      <c r="AF962" s="26">
        <v>0.99693094629155998</v>
      </c>
      <c r="AG962" s="26">
        <v>0.99381908086096604</v>
      </c>
      <c r="AH962" s="28">
        <v>0.92</v>
      </c>
      <c r="AI962" s="26">
        <v>0.95207780725022095</v>
      </c>
      <c r="AJ962" s="26">
        <v>0.95627946849549905</v>
      </c>
      <c r="AK962" s="26">
        <v>0.94771784232365097</v>
      </c>
      <c r="AL962" s="26">
        <v>0.94967317640453897</v>
      </c>
      <c r="AM962" s="25">
        <v>0.99</v>
      </c>
      <c r="AN962" s="30">
        <v>1</v>
      </c>
      <c r="AO962" s="30">
        <v>1</v>
      </c>
      <c r="AP962" s="30">
        <v>1</v>
      </c>
      <c r="AQ962" s="30">
        <v>1</v>
      </c>
      <c r="AR962" s="50">
        <v>6.5641848892985799E-2</v>
      </c>
      <c r="AS962" s="34">
        <v>0</v>
      </c>
      <c r="AT962" s="34">
        <v>2.5000000000000001E-2</v>
      </c>
      <c r="AU962" s="34">
        <v>9.5238095238095205E-2</v>
      </c>
      <c r="AV962" s="34">
        <v>3.4632034632034597E-2</v>
      </c>
      <c r="AW962" s="10"/>
      <c r="AX962" s="8"/>
    </row>
    <row r="963" spans="1:50">
      <c r="A963" s="7"/>
      <c r="B963" s="10"/>
      <c r="C963" s="69" t="s">
        <v>944</v>
      </c>
      <c r="D963" s="23" t="s">
        <v>23</v>
      </c>
      <c r="E963" s="72" t="s">
        <v>1007</v>
      </c>
      <c r="F963" s="73" t="s">
        <v>1007</v>
      </c>
      <c r="G963" s="73" t="s">
        <v>1007</v>
      </c>
      <c r="H963" s="73" t="s">
        <v>1007</v>
      </c>
      <c r="I963" s="25">
        <v>0.9</v>
      </c>
      <c r="J963" s="26">
        <v>0.76190476190476197</v>
      </c>
      <c r="K963" s="26">
        <v>0.78947368421052599</v>
      </c>
      <c r="L963" s="27">
        <v>0.84210526315789502</v>
      </c>
      <c r="M963" s="26">
        <v>0.84761904761904805</v>
      </c>
      <c r="N963" s="28">
        <v>0.9</v>
      </c>
      <c r="O963" s="26">
        <v>0.99609156895589102</v>
      </c>
      <c r="P963" s="26">
        <v>0.99546338302009096</v>
      </c>
      <c r="Q963" s="26">
        <v>0.99248120300751896</v>
      </c>
      <c r="R963" s="26">
        <v>0.99390785632694501</v>
      </c>
      <c r="S963" s="28">
        <v>0.9</v>
      </c>
      <c r="T963" s="26">
        <v>0.91568955890563897</v>
      </c>
      <c r="U963" s="26">
        <v>0.93778353856124397</v>
      </c>
      <c r="V963" s="26">
        <v>0.94887218045112798</v>
      </c>
      <c r="W963" s="26">
        <v>0.88120319837542804</v>
      </c>
      <c r="X963" s="28">
        <v>0.92</v>
      </c>
      <c r="Y963" s="28">
        <v>0</v>
      </c>
      <c r="Z963" s="28">
        <v>0</v>
      </c>
      <c r="AA963" s="28">
        <v>0</v>
      </c>
      <c r="AB963" s="28">
        <v>0</v>
      </c>
      <c r="AC963" s="28">
        <v>0.92</v>
      </c>
      <c r="AD963" s="26">
        <v>0.95890410958904104</v>
      </c>
      <c r="AE963" s="26">
        <v>0.99180327868852503</v>
      </c>
      <c r="AF963" s="26">
        <v>1</v>
      </c>
      <c r="AG963" s="26">
        <v>0.99066666666666703</v>
      </c>
      <c r="AH963" s="28">
        <v>0.92</v>
      </c>
      <c r="AI963" s="26">
        <v>0.96817420435510904</v>
      </c>
      <c r="AJ963" s="26">
        <v>0.98250162022035004</v>
      </c>
      <c r="AK963" s="26">
        <v>0.97443609022556399</v>
      </c>
      <c r="AL963" s="26">
        <v>0.92194440918898302</v>
      </c>
      <c r="AM963" s="25">
        <v>0.99</v>
      </c>
      <c r="AN963" s="30">
        <v>1</v>
      </c>
      <c r="AO963" s="30">
        <v>1</v>
      </c>
      <c r="AP963" s="30">
        <v>1</v>
      </c>
      <c r="AQ963" s="30">
        <v>1</v>
      </c>
      <c r="AR963" s="50">
        <v>6.5641848892985799E-2</v>
      </c>
      <c r="AS963" s="34">
        <v>0</v>
      </c>
      <c r="AT963" s="34">
        <v>0</v>
      </c>
      <c r="AU963" s="34">
        <v>0</v>
      </c>
      <c r="AV963" s="34">
        <v>0</v>
      </c>
      <c r="AW963" s="10"/>
      <c r="AX963" s="8"/>
    </row>
    <row r="964" spans="1:50">
      <c r="A964" s="7"/>
      <c r="B964" s="10"/>
      <c r="C964" s="69" t="s">
        <v>944</v>
      </c>
      <c r="D964" s="23" t="s">
        <v>23</v>
      </c>
      <c r="E964" s="72" t="s">
        <v>1008</v>
      </c>
      <c r="F964" s="73" t="s">
        <v>1008</v>
      </c>
      <c r="G964" s="73" t="s">
        <v>1008</v>
      </c>
      <c r="H964" s="73" t="s">
        <v>1008</v>
      </c>
      <c r="I964" s="25">
        <v>0.9</v>
      </c>
      <c r="J964" s="26">
        <v>0.80952380952380998</v>
      </c>
      <c r="K964" s="26">
        <v>0.86046511627906996</v>
      </c>
      <c r="L964" s="27">
        <v>0.81818181818181801</v>
      </c>
      <c r="M964" s="26">
        <v>0.80952380952380998</v>
      </c>
      <c r="N964" s="28">
        <v>0.9</v>
      </c>
      <c r="O964" s="26">
        <v>0.877430262045647</v>
      </c>
      <c r="P964" s="26">
        <v>0.90984241797984999</v>
      </c>
      <c r="Q964" s="26">
        <v>0.92441140024783197</v>
      </c>
      <c r="R964" s="26">
        <v>0.87742594484167502</v>
      </c>
      <c r="S964" s="28">
        <v>0.9</v>
      </c>
      <c r="T964" s="26">
        <v>0.85009861932938902</v>
      </c>
      <c r="U964" s="26">
        <v>0.84500129165590299</v>
      </c>
      <c r="V964" s="26">
        <v>0.86802973977695197</v>
      </c>
      <c r="W964" s="26">
        <v>0.83299284984678201</v>
      </c>
      <c r="X964" s="28">
        <v>0.92</v>
      </c>
      <c r="Y964" s="28">
        <v>0.93855606758832599</v>
      </c>
      <c r="Z964" s="28">
        <v>0.92880613362541098</v>
      </c>
      <c r="AA964" s="28">
        <v>0.91748251748251797</v>
      </c>
      <c r="AB964" s="28">
        <v>0.89469598965071195</v>
      </c>
      <c r="AC964" s="28">
        <v>0.92</v>
      </c>
      <c r="AD964" s="26">
        <v>0.99947492780257297</v>
      </c>
      <c r="AE964" s="26">
        <v>0.99670646356525305</v>
      </c>
      <c r="AF964" s="26">
        <v>0.99851411589896</v>
      </c>
      <c r="AG964" s="26">
        <v>0.99829875365213205</v>
      </c>
      <c r="AH964" s="28">
        <v>0.92</v>
      </c>
      <c r="AI964" s="26">
        <v>0.96192289386006702</v>
      </c>
      <c r="AJ964" s="26">
        <v>0.96007525083612</v>
      </c>
      <c r="AK964" s="26">
        <v>0.93860025762129695</v>
      </c>
      <c r="AL964" s="26">
        <v>0.94015821312238201</v>
      </c>
      <c r="AM964" s="25">
        <v>0.99</v>
      </c>
      <c r="AN964" s="30">
        <v>1</v>
      </c>
      <c r="AO964" s="30">
        <v>1</v>
      </c>
      <c r="AP964" s="30">
        <v>1</v>
      </c>
      <c r="AQ964" s="30">
        <v>1</v>
      </c>
      <c r="AR964" s="50">
        <v>6.5641848892985799E-2</v>
      </c>
      <c r="AS964" s="34">
        <v>0</v>
      </c>
      <c r="AT964" s="34">
        <v>0</v>
      </c>
      <c r="AU964" s="34">
        <v>0.133333333333333</v>
      </c>
      <c r="AV964" s="34">
        <v>2.2900763358778602E-2</v>
      </c>
      <c r="AW964" s="10"/>
      <c r="AX964" s="8"/>
    </row>
    <row r="965" spans="1:50">
      <c r="A965" s="7"/>
      <c r="B965" s="10"/>
      <c r="C965" s="69" t="s">
        <v>944</v>
      </c>
      <c r="D965" s="23" t="s">
        <v>23</v>
      </c>
      <c r="E965" s="72" t="s">
        <v>1009</v>
      </c>
      <c r="F965" s="73" t="s">
        <v>1009</v>
      </c>
      <c r="G965" s="73" t="s">
        <v>1009</v>
      </c>
      <c r="H965" s="73" t="s">
        <v>1009</v>
      </c>
      <c r="I965" s="25">
        <v>0.9</v>
      </c>
      <c r="J965" s="26">
        <v>0.79166666666666696</v>
      </c>
      <c r="K965" s="26">
        <v>0.82978723404255295</v>
      </c>
      <c r="L965" s="27">
        <v>0.78571428571428603</v>
      </c>
      <c r="M965" s="26">
        <v>0.82022471910112404</v>
      </c>
      <c r="N965" s="28">
        <v>0.9</v>
      </c>
      <c r="O965" s="26">
        <v>0.97455162384876404</v>
      </c>
      <c r="P965" s="26">
        <v>0.95868622185498897</v>
      </c>
      <c r="Q965" s="26">
        <v>0.97466390899689803</v>
      </c>
      <c r="R965" s="26">
        <v>0.97358932334347903</v>
      </c>
      <c r="S965" s="28">
        <v>0.9</v>
      </c>
      <c r="T965" s="26">
        <v>0.83640329617062503</v>
      </c>
      <c r="U965" s="26">
        <v>0.87440611443916505</v>
      </c>
      <c r="V965" s="26">
        <v>0.909513960703206</v>
      </c>
      <c r="W965" s="26">
        <v>0.83619761180051499</v>
      </c>
      <c r="X965" s="28">
        <v>0.92</v>
      </c>
      <c r="Y965" s="28">
        <v>0.87913486005089103</v>
      </c>
      <c r="Z965" s="28">
        <v>0.87240356083086101</v>
      </c>
      <c r="AA965" s="28">
        <v>0.88259958071278799</v>
      </c>
      <c r="AB965" s="28">
        <v>0.86781609195402298</v>
      </c>
      <c r="AC965" s="28">
        <v>0.92</v>
      </c>
      <c r="AD965" s="26">
        <v>0.99633027522935802</v>
      </c>
      <c r="AE965" s="26">
        <v>0.99654163341314195</v>
      </c>
      <c r="AF965" s="26">
        <v>0.99411042944785299</v>
      </c>
      <c r="AG965" s="26">
        <v>0.99425678964275299</v>
      </c>
      <c r="AH965" s="28">
        <v>0.92</v>
      </c>
      <c r="AI965" s="26">
        <v>0.95399022801302902</v>
      </c>
      <c r="AJ965" s="26">
        <v>0.95471633629528396</v>
      </c>
      <c r="AK965" s="26">
        <v>0.938711911357341</v>
      </c>
      <c r="AL965" s="26">
        <v>0.94733384853168501</v>
      </c>
      <c r="AM965" s="25">
        <v>0.99</v>
      </c>
      <c r="AN965" s="30">
        <v>1</v>
      </c>
      <c r="AO965" s="30">
        <v>1</v>
      </c>
      <c r="AP965" s="30">
        <v>1</v>
      </c>
      <c r="AQ965" s="30">
        <v>1</v>
      </c>
      <c r="AR965" s="50">
        <v>6.5641848892985799E-2</v>
      </c>
      <c r="AS965" s="34">
        <v>0</v>
      </c>
      <c r="AT965" s="34">
        <v>8.6956521739130405E-2</v>
      </c>
      <c r="AU965" s="34">
        <v>0.27272727272727298</v>
      </c>
      <c r="AV965" s="34">
        <v>5.1851851851851899E-2</v>
      </c>
      <c r="AW965" s="10"/>
      <c r="AX965" s="8"/>
    </row>
    <row r="966" spans="1:50">
      <c r="A966" s="7"/>
      <c r="B966" s="10"/>
      <c r="C966" s="69" t="s">
        <v>944</v>
      </c>
      <c r="D966" s="23" t="s">
        <v>23</v>
      </c>
      <c r="E966" s="72" t="s">
        <v>1010</v>
      </c>
      <c r="F966" s="73" t="s">
        <v>1010</v>
      </c>
      <c r="G966" s="73" t="s">
        <v>1010</v>
      </c>
      <c r="H966" s="73" t="s">
        <v>1010</v>
      </c>
      <c r="I966" s="25">
        <v>0.9</v>
      </c>
      <c r="J966" s="26">
        <v>0.85714285714285698</v>
      </c>
      <c r="K966" s="26">
        <v>0.90476190476190499</v>
      </c>
      <c r="L966" s="27">
        <v>0.75</v>
      </c>
      <c r="M966" s="26">
        <v>0.83606557377049195</v>
      </c>
      <c r="N966" s="28">
        <v>0.9</v>
      </c>
      <c r="O966" s="26">
        <v>0.91253263707571797</v>
      </c>
      <c r="P966" s="26">
        <v>0.87514585764294095</v>
      </c>
      <c r="Q966" s="26">
        <v>0.92229992229992197</v>
      </c>
      <c r="R966" s="26">
        <v>0.90550199468085102</v>
      </c>
      <c r="S966" s="28">
        <v>0.9</v>
      </c>
      <c r="T966" s="26">
        <v>0.91470844212358604</v>
      </c>
      <c r="U966" s="26">
        <v>0.87125632049786095</v>
      </c>
      <c r="V966" s="26">
        <v>0.89199689199689203</v>
      </c>
      <c r="W966" s="26">
        <v>0.88971077127659604</v>
      </c>
      <c r="X966" s="28">
        <v>0.92</v>
      </c>
      <c r="Y966" s="28">
        <v>0.927947598253275</v>
      </c>
      <c r="Z966" s="28">
        <v>0.90127388535031805</v>
      </c>
      <c r="AA966" s="28">
        <v>0.91068580542264799</v>
      </c>
      <c r="AB966" s="28">
        <v>0.88275862068965505</v>
      </c>
      <c r="AC966" s="28">
        <v>0.92</v>
      </c>
      <c r="AD966" s="26">
        <v>0.99932735426009001</v>
      </c>
      <c r="AE966" s="26">
        <v>0.99529087879446498</v>
      </c>
      <c r="AF966" s="26">
        <v>0.99109610070617105</v>
      </c>
      <c r="AG966" s="26">
        <v>0.97329935741192097</v>
      </c>
      <c r="AH966" s="28">
        <v>0.92</v>
      </c>
      <c r="AI966" s="26">
        <v>0.965954364360739</v>
      </c>
      <c r="AJ966" s="26">
        <v>0.96127420362273597</v>
      </c>
      <c r="AK966" s="26">
        <v>0.94984326018808796</v>
      </c>
      <c r="AL966" s="26">
        <v>0.94737545971247095</v>
      </c>
      <c r="AM966" s="25">
        <v>0.99</v>
      </c>
      <c r="AN966" s="30">
        <v>1</v>
      </c>
      <c r="AO966" s="30">
        <v>1</v>
      </c>
      <c r="AP966" s="30">
        <v>1</v>
      </c>
      <c r="AQ966" s="30">
        <v>1</v>
      </c>
      <c r="AR966" s="50">
        <v>6.5641848892985799E-2</v>
      </c>
      <c r="AS966" s="34">
        <v>0</v>
      </c>
      <c r="AT966" s="34">
        <v>0</v>
      </c>
      <c r="AU966" s="34">
        <v>6.25E-2</v>
      </c>
      <c r="AV966" s="34">
        <v>3.2608695652173898E-2</v>
      </c>
      <c r="AW966" s="10"/>
      <c r="AX966" s="8"/>
    </row>
    <row r="967" spans="1:50">
      <c r="A967" s="7"/>
      <c r="B967" s="10"/>
      <c r="C967" s="69" t="s">
        <v>944</v>
      </c>
      <c r="D967" s="23" t="s">
        <v>23</v>
      </c>
      <c r="E967" s="72" t="s">
        <v>1011</v>
      </c>
      <c r="F967" s="73" t="s">
        <v>1011</v>
      </c>
      <c r="G967" s="73" t="s">
        <v>1011</v>
      </c>
      <c r="H967" s="73" t="s">
        <v>1011</v>
      </c>
      <c r="I967" s="25">
        <v>0.9</v>
      </c>
      <c r="J967" s="26">
        <v>0.8125</v>
      </c>
      <c r="K967" s="26">
        <v>0.85714285714285698</v>
      </c>
      <c r="L967" s="27">
        <v>0.88235294117647101</v>
      </c>
      <c r="M967" s="26">
        <v>0.82914572864321601</v>
      </c>
      <c r="N967" s="28">
        <v>0.9</v>
      </c>
      <c r="O967" s="26">
        <v>0.83304246655031999</v>
      </c>
      <c r="P967" s="26">
        <v>0.92109997429966595</v>
      </c>
      <c r="Q967" s="26">
        <v>0.87332521315468903</v>
      </c>
      <c r="R967" s="26">
        <v>0.89645205168895903</v>
      </c>
      <c r="S967" s="28">
        <v>0.9</v>
      </c>
      <c r="T967" s="26">
        <v>0.88190808609656801</v>
      </c>
      <c r="U967" s="26">
        <v>0.85607812901567704</v>
      </c>
      <c r="V967" s="26">
        <v>0.91169305724725902</v>
      </c>
      <c r="W967" s="26">
        <v>0.881999546588075</v>
      </c>
      <c r="X967" s="28">
        <v>0.92</v>
      </c>
      <c r="Y967" s="28">
        <v>0.895747599451303</v>
      </c>
      <c r="Z967" s="28">
        <v>0.92048192771084303</v>
      </c>
      <c r="AA967" s="28">
        <v>0.92636072572038397</v>
      </c>
      <c r="AB967" s="28">
        <v>0.89106967615309096</v>
      </c>
      <c r="AC967" s="28">
        <v>0.92</v>
      </c>
      <c r="AD967" s="26">
        <v>0.996239030505641</v>
      </c>
      <c r="AE967" s="26">
        <v>0.98801012809055699</v>
      </c>
      <c r="AF967" s="26">
        <v>0.990791652865187</v>
      </c>
      <c r="AG967" s="26">
        <v>0.98921408829990798</v>
      </c>
      <c r="AH967" s="28">
        <v>0.92</v>
      </c>
      <c r="AI967" s="26">
        <v>0.95272378209743203</v>
      </c>
      <c r="AJ967" s="26">
        <v>0.96716797288709999</v>
      </c>
      <c r="AK967" s="26">
        <v>0.95551257253384903</v>
      </c>
      <c r="AL967" s="26">
        <v>0.95171683696953002</v>
      </c>
      <c r="AM967" s="25">
        <v>0.99</v>
      </c>
      <c r="AN967" s="30">
        <v>1</v>
      </c>
      <c r="AO967" s="30">
        <v>1</v>
      </c>
      <c r="AP967" s="30">
        <v>1</v>
      </c>
      <c r="AQ967" s="30">
        <v>1</v>
      </c>
      <c r="AR967" s="50">
        <v>6.5641848892985799E-2</v>
      </c>
      <c r="AS967" s="34">
        <v>0</v>
      </c>
      <c r="AT967" s="34">
        <v>0.119047619047619</v>
      </c>
      <c r="AU967" s="34">
        <v>5.8823529411764698E-2</v>
      </c>
      <c r="AV967" s="34">
        <v>8.2901554404145095E-2</v>
      </c>
      <c r="AW967" s="10"/>
      <c r="AX967" s="8"/>
    </row>
    <row r="968" spans="1:50">
      <c r="A968" s="7"/>
      <c r="B968" s="10"/>
      <c r="C968" s="69" t="s">
        <v>944</v>
      </c>
      <c r="D968" s="23" t="s">
        <v>23</v>
      </c>
      <c r="E968" s="72" t="s">
        <v>1012</v>
      </c>
      <c r="F968" s="73" t="s">
        <v>1012</v>
      </c>
      <c r="G968" s="73" t="s">
        <v>1012</v>
      </c>
      <c r="H968" s="73" t="s">
        <v>1012</v>
      </c>
      <c r="I968" s="25">
        <v>0.9</v>
      </c>
      <c r="J968" s="26">
        <v>0.85</v>
      </c>
      <c r="K968" s="26">
        <v>0.90476190476190499</v>
      </c>
      <c r="L968" s="27">
        <v>0.89473684210526305</v>
      </c>
      <c r="M968" s="26">
        <v>0.89743589743589702</v>
      </c>
      <c r="N968" s="28">
        <v>0.9</v>
      </c>
      <c r="O968" s="26">
        <v>0.98295866569978196</v>
      </c>
      <c r="P968" s="26">
        <v>0.95838837516512598</v>
      </c>
      <c r="Q968" s="26">
        <v>0.95955369595536999</v>
      </c>
      <c r="R968" s="26">
        <v>0.97695362359948901</v>
      </c>
      <c r="S968" s="28">
        <v>0.9</v>
      </c>
      <c r="T968" s="26">
        <v>0.86802030456852797</v>
      </c>
      <c r="U968" s="26">
        <v>0.89266842800528401</v>
      </c>
      <c r="V968" s="26">
        <v>0.94002789400278897</v>
      </c>
      <c r="W968" s="26">
        <v>0.89554673096014703</v>
      </c>
      <c r="X968" s="28">
        <v>0.92</v>
      </c>
      <c r="Y968" s="28">
        <v>0.93960923623445802</v>
      </c>
      <c r="Z968" s="28">
        <v>0.96661608497723805</v>
      </c>
      <c r="AA968" s="28">
        <v>0.97606382978723405</v>
      </c>
      <c r="AB968" s="28">
        <v>0.94575757575757602</v>
      </c>
      <c r="AC968" s="28">
        <v>0.92</v>
      </c>
      <c r="AD968" s="26">
        <v>0.97280686984340803</v>
      </c>
      <c r="AE968" s="26">
        <v>0.99132240599273203</v>
      </c>
      <c r="AF968" s="26">
        <v>0.95237304092595698</v>
      </c>
      <c r="AG968" s="26">
        <v>0.96866454601261198</v>
      </c>
      <c r="AH968" s="28">
        <v>0.92</v>
      </c>
      <c r="AI968" s="26">
        <v>0.96928635953026199</v>
      </c>
      <c r="AJ968" s="26">
        <v>0.976403580146461</v>
      </c>
      <c r="AK968" s="26">
        <v>0.98490393412625798</v>
      </c>
      <c r="AL968" s="26">
        <v>0.97195724629352998</v>
      </c>
      <c r="AM968" s="25">
        <v>0.99</v>
      </c>
      <c r="AN968" s="30">
        <v>1</v>
      </c>
      <c r="AO968" s="30">
        <v>1</v>
      </c>
      <c r="AP968" s="30">
        <v>1</v>
      </c>
      <c r="AQ968" s="30">
        <v>1</v>
      </c>
      <c r="AR968" s="50">
        <v>6.5641848892985799E-2</v>
      </c>
      <c r="AS968" s="34">
        <v>0</v>
      </c>
      <c r="AT968" s="34">
        <v>0</v>
      </c>
      <c r="AU968" s="34">
        <v>6.6666666666666693E-2</v>
      </c>
      <c r="AV968" s="34">
        <v>2.1978021978022001E-2</v>
      </c>
      <c r="AW968" s="10"/>
      <c r="AX968" s="8"/>
    </row>
    <row r="969" spans="1:50">
      <c r="A969" s="7"/>
      <c r="B969" s="10"/>
      <c r="C969" s="69" t="s">
        <v>944</v>
      </c>
      <c r="D969" s="23" t="s">
        <v>23</v>
      </c>
      <c r="E969" s="72" t="s">
        <v>1013</v>
      </c>
      <c r="F969" s="73" t="s">
        <v>1013</v>
      </c>
      <c r="G969" s="73" t="s">
        <v>1013</v>
      </c>
      <c r="H969" s="73" t="s">
        <v>1013</v>
      </c>
      <c r="I969" s="25">
        <v>0.9</v>
      </c>
      <c r="J969" s="26">
        <v>0</v>
      </c>
      <c r="K969" s="26">
        <v>0</v>
      </c>
      <c r="L969" s="27">
        <v>0</v>
      </c>
      <c r="M969" s="26">
        <v>0</v>
      </c>
      <c r="N969" s="28">
        <v>0.9</v>
      </c>
      <c r="O969" s="26">
        <v>0</v>
      </c>
      <c r="P969" s="26">
        <v>0</v>
      </c>
      <c r="Q969" s="26">
        <v>0</v>
      </c>
      <c r="R969" s="26">
        <v>0</v>
      </c>
      <c r="S969" s="28">
        <v>0.9</v>
      </c>
      <c r="T969" s="26">
        <v>0</v>
      </c>
      <c r="U969" s="26">
        <v>0</v>
      </c>
      <c r="V969" s="26">
        <v>0</v>
      </c>
      <c r="W969" s="26">
        <v>0</v>
      </c>
      <c r="X969" s="28">
        <v>0.92</v>
      </c>
      <c r="Y969" s="28">
        <v>0</v>
      </c>
      <c r="Z969" s="28">
        <v>0</v>
      </c>
      <c r="AA969" s="28">
        <v>0</v>
      </c>
      <c r="AB969" s="28">
        <v>0</v>
      </c>
      <c r="AC969" s="28">
        <v>0.92</v>
      </c>
      <c r="AD969" s="26">
        <v>0</v>
      </c>
      <c r="AE969" s="26">
        <v>0</v>
      </c>
      <c r="AF969" s="26">
        <v>0</v>
      </c>
      <c r="AG969" s="26">
        <v>0</v>
      </c>
      <c r="AH969" s="28">
        <v>0.92</v>
      </c>
      <c r="AI969" s="26">
        <v>0</v>
      </c>
      <c r="AJ969" s="26">
        <v>0</v>
      </c>
      <c r="AK969" s="26">
        <v>0</v>
      </c>
      <c r="AL969" s="26">
        <v>0</v>
      </c>
      <c r="AM969" s="25">
        <v>0.99</v>
      </c>
      <c r="AN969" s="30">
        <v>0</v>
      </c>
      <c r="AO969" s="30">
        <v>0</v>
      </c>
      <c r="AP969" s="30">
        <v>0</v>
      </c>
      <c r="AQ969" s="30">
        <v>0</v>
      </c>
      <c r="AR969" s="50">
        <v>6.5641848892985799E-2</v>
      </c>
      <c r="AS969" s="34">
        <v>0</v>
      </c>
      <c r="AT969" s="34">
        <v>0</v>
      </c>
      <c r="AU969" s="34">
        <v>0</v>
      </c>
      <c r="AV969" s="34">
        <v>0</v>
      </c>
      <c r="AW969" s="10"/>
      <c r="AX969" s="8"/>
    </row>
    <row r="970" spans="1:50">
      <c r="A970" s="7"/>
      <c r="B970" s="10"/>
      <c r="C970" s="69" t="s">
        <v>944</v>
      </c>
      <c r="D970" s="23" t="s">
        <v>23</v>
      </c>
      <c r="E970" s="72" t="s">
        <v>1014</v>
      </c>
      <c r="F970" s="73" t="s">
        <v>1014</v>
      </c>
      <c r="G970" s="73" t="s">
        <v>1014</v>
      </c>
      <c r="H970" s="73" t="s">
        <v>1014</v>
      </c>
      <c r="I970" s="25">
        <v>0.9</v>
      </c>
      <c r="J970" s="26">
        <v>0.96666666666666701</v>
      </c>
      <c r="K970" s="26">
        <v>0.90322580645161299</v>
      </c>
      <c r="L970" s="27">
        <v>0.92307692307692302</v>
      </c>
      <c r="M970" s="26">
        <v>0.89937106918238996</v>
      </c>
      <c r="N970" s="28">
        <v>0.9</v>
      </c>
      <c r="O970" s="26">
        <v>0.81987179487179496</v>
      </c>
      <c r="P970" s="26">
        <v>0.85727217863608896</v>
      </c>
      <c r="Q970" s="26">
        <v>0.95353403141361304</v>
      </c>
      <c r="R970" s="26">
        <v>0.8653118789666</v>
      </c>
      <c r="S970" s="28">
        <v>0.9</v>
      </c>
      <c r="T970" s="26">
        <v>0.89134615384615401</v>
      </c>
      <c r="U970" s="26">
        <v>0.89438744719372398</v>
      </c>
      <c r="V970" s="26">
        <v>0.91295811518324599</v>
      </c>
      <c r="W970" s="26">
        <v>0.89313417526764505</v>
      </c>
      <c r="X970" s="28">
        <v>0.92</v>
      </c>
      <c r="Y970" s="28">
        <v>0.92812499999999998</v>
      </c>
      <c r="Z970" s="28">
        <v>0.96750000000000003</v>
      </c>
      <c r="AA970" s="28">
        <v>0.91963260619977005</v>
      </c>
      <c r="AB970" s="28">
        <v>0.93573333333333297</v>
      </c>
      <c r="AC970" s="28">
        <v>0.92</v>
      </c>
      <c r="AD970" s="26">
        <v>0.85052673424766401</v>
      </c>
      <c r="AE970" s="26">
        <v>0.53726302862844399</v>
      </c>
      <c r="AF970" s="26">
        <v>0.176430730741165</v>
      </c>
      <c r="AG970" s="26">
        <v>0.54328852468217703</v>
      </c>
      <c r="AH970" s="28">
        <v>0.92</v>
      </c>
      <c r="AI970" s="26">
        <v>0.96861702127659599</v>
      </c>
      <c r="AJ970" s="26">
        <v>0.98323615160349898</v>
      </c>
      <c r="AK970" s="26">
        <v>0.96375</v>
      </c>
      <c r="AL970" s="26">
        <v>0.97479338842975205</v>
      </c>
      <c r="AM970" s="25">
        <v>0.99</v>
      </c>
      <c r="AN970" s="30">
        <v>1</v>
      </c>
      <c r="AO970" s="30">
        <v>1</v>
      </c>
      <c r="AP970" s="30">
        <v>1</v>
      </c>
      <c r="AQ970" s="30">
        <v>1</v>
      </c>
      <c r="AR970" s="50">
        <v>6.5641848892985799E-2</v>
      </c>
      <c r="AS970" s="34">
        <v>0</v>
      </c>
      <c r="AT970" s="34">
        <v>0</v>
      </c>
      <c r="AU970" s="34">
        <v>0</v>
      </c>
      <c r="AV970" s="34">
        <v>2.7777777777777801E-2</v>
      </c>
      <c r="AW970" s="10"/>
      <c r="AX970" s="8"/>
    </row>
    <row r="971" spans="1:50">
      <c r="A971" s="7"/>
      <c r="B971" s="10"/>
      <c r="C971" s="69" t="s">
        <v>944</v>
      </c>
      <c r="D971" s="23" t="s">
        <v>23</v>
      </c>
      <c r="E971" s="72" t="s">
        <v>1015</v>
      </c>
      <c r="F971" s="73" t="s">
        <v>1015</v>
      </c>
      <c r="G971" s="73" t="s">
        <v>1015</v>
      </c>
      <c r="H971" s="73" t="s">
        <v>1015</v>
      </c>
      <c r="I971" s="25">
        <v>0.9</v>
      </c>
      <c r="J971" s="26">
        <v>0</v>
      </c>
      <c r="K971" s="26">
        <v>0</v>
      </c>
      <c r="L971" s="27">
        <v>0</v>
      </c>
      <c r="M971" s="26">
        <v>0</v>
      </c>
      <c r="N971" s="28">
        <v>0.9</v>
      </c>
      <c r="O971" s="26">
        <v>0</v>
      </c>
      <c r="P971" s="26">
        <v>0</v>
      </c>
      <c r="Q971" s="26">
        <v>0</v>
      </c>
      <c r="R971" s="26">
        <v>0</v>
      </c>
      <c r="S971" s="28">
        <v>0.9</v>
      </c>
      <c r="T971" s="26">
        <v>0</v>
      </c>
      <c r="U971" s="26">
        <v>0</v>
      </c>
      <c r="V971" s="26">
        <v>0</v>
      </c>
      <c r="W971" s="26">
        <v>0</v>
      </c>
      <c r="X971" s="28">
        <v>0.92</v>
      </c>
      <c r="Y971" s="28">
        <v>0</v>
      </c>
      <c r="Z971" s="28">
        <v>0</v>
      </c>
      <c r="AA971" s="28">
        <v>0</v>
      </c>
      <c r="AB971" s="28">
        <v>0</v>
      </c>
      <c r="AC971" s="28">
        <v>0.92</v>
      </c>
      <c r="AD971" s="26">
        <v>0</v>
      </c>
      <c r="AE971" s="26">
        <v>0</v>
      </c>
      <c r="AF971" s="26">
        <v>0</v>
      </c>
      <c r="AG971" s="26">
        <v>0</v>
      </c>
      <c r="AH971" s="28">
        <v>0.92</v>
      </c>
      <c r="AI971" s="26">
        <v>0</v>
      </c>
      <c r="AJ971" s="26">
        <v>0</v>
      </c>
      <c r="AK971" s="26">
        <v>0</v>
      </c>
      <c r="AL971" s="26">
        <v>0</v>
      </c>
      <c r="AM971" s="25">
        <v>0.99</v>
      </c>
      <c r="AN971" s="30">
        <v>0</v>
      </c>
      <c r="AO971" s="30">
        <v>0</v>
      </c>
      <c r="AP971" s="30">
        <v>0</v>
      </c>
      <c r="AQ971" s="30">
        <v>0</v>
      </c>
      <c r="AR971" s="50">
        <v>6.5641848892985799E-2</v>
      </c>
      <c r="AS971" s="34">
        <v>0</v>
      </c>
      <c r="AT971" s="34">
        <v>0</v>
      </c>
      <c r="AU971" s="34">
        <v>0</v>
      </c>
      <c r="AV971" s="34">
        <v>0</v>
      </c>
      <c r="AW971" s="10"/>
      <c r="AX971" s="8"/>
    </row>
    <row r="972" spans="1:50">
      <c r="A972" s="7"/>
      <c r="B972" s="10"/>
      <c r="C972" s="69" t="s">
        <v>944</v>
      </c>
      <c r="D972" s="23" t="s">
        <v>23</v>
      </c>
      <c r="E972" s="72" t="s">
        <v>1016</v>
      </c>
      <c r="F972" s="73" t="s">
        <v>1016</v>
      </c>
      <c r="G972" s="73" t="s">
        <v>1016</v>
      </c>
      <c r="H972" s="73" t="s">
        <v>1016</v>
      </c>
      <c r="I972" s="25">
        <v>0.9</v>
      </c>
      <c r="J972" s="26">
        <v>0.81818181818181801</v>
      </c>
      <c r="K972" s="26">
        <v>0.8</v>
      </c>
      <c r="L972" s="27">
        <v>0.95454545454545503</v>
      </c>
      <c r="M972" s="26">
        <v>0.85925925925925895</v>
      </c>
      <c r="N972" s="28">
        <v>0.9</v>
      </c>
      <c r="O972" s="26">
        <v>0.93073902177793599</v>
      </c>
      <c r="P972" s="26">
        <v>0.87944664031620601</v>
      </c>
      <c r="Q972" s="26">
        <v>0.88326585695006699</v>
      </c>
      <c r="R972" s="26">
        <v>0.902014077636072</v>
      </c>
      <c r="S972" s="28">
        <v>0.9</v>
      </c>
      <c r="T972" s="26">
        <v>0.80292752588361305</v>
      </c>
      <c r="U972" s="26">
        <v>0.85869565217391297</v>
      </c>
      <c r="V972" s="26">
        <v>0.91497975708502</v>
      </c>
      <c r="W972" s="26">
        <v>0.84159174855390595</v>
      </c>
      <c r="X972" s="28">
        <v>0.92</v>
      </c>
      <c r="Y972" s="28">
        <v>0.85639229422066598</v>
      </c>
      <c r="Z972" s="28">
        <v>0.87532467532467495</v>
      </c>
      <c r="AA972" s="28">
        <v>0.90620272314674699</v>
      </c>
      <c r="AB972" s="28">
        <v>0.87770228536133399</v>
      </c>
      <c r="AC972" s="28">
        <v>0.92</v>
      </c>
      <c r="AD972" s="26">
        <v>0.99696485623003195</v>
      </c>
      <c r="AE972" s="26">
        <v>0.99474775397373905</v>
      </c>
      <c r="AF972" s="26">
        <v>0.95903710599813796</v>
      </c>
      <c r="AG972" s="26">
        <v>0.98740871317048595</v>
      </c>
      <c r="AH972" s="28">
        <v>0.92</v>
      </c>
      <c r="AI972" s="26">
        <v>0.92562962962963002</v>
      </c>
      <c r="AJ972" s="26">
        <v>0.95140530601523499</v>
      </c>
      <c r="AK972" s="26">
        <v>0.95524475524475505</v>
      </c>
      <c r="AL972" s="26">
        <v>0.94367397976582901</v>
      </c>
      <c r="AM972" s="25">
        <v>0.99</v>
      </c>
      <c r="AN972" s="30">
        <v>1</v>
      </c>
      <c r="AO972" s="30">
        <v>1</v>
      </c>
      <c r="AP972" s="30">
        <v>1</v>
      </c>
      <c r="AQ972" s="30">
        <v>1</v>
      </c>
      <c r="AR972" s="50">
        <v>6.5641848892985799E-2</v>
      </c>
      <c r="AS972" s="34">
        <v>9.5238095238095205E-2</v>
      </c>
      <c r="AT972" s="34">
        <v>5.2631578947368397E-2</v>
      </c>
      <c r="AU972" s="34">
        <v>0</v>
      </c>
      <c r="AV972" s="34">
        <v>4.08163265306122E-2</v>
      </c>
      <c r="AW972" s="10"/>
      <c r="AX972" s="8"/>
    </row>
    <row r="973" spans="1:50">
      <c r="A973" s="7"/>
      <c r="B973" s="10"/>
      <c r="C973" s="69" t="s">
        <v>944</v>
      </c>
      <c r="D973" s="23" t="s">
        <v>23</v>
      </c>
      <c r="E973" s="72" t="s">
        <v>1017</v>
      </c>
      <c r="F973" s="73" t="s">
        <v>1017</v>
      </c>
      <c r="G973" s="73" t="s">
        <v>1017</v>
      </c>
      <c r="H973" s="73" t="s">
        <v>1017</v>
      </c>
      <c r="I973" s="25">
        <v>0.9</v>
      </c>
      <c r="J973" s="26">
        <v>0.85714285714285698</v>
      </c>
      <c r="K973" s="26">
        <v>0.94736842105263197</v>
      </c>
      <c r="L973" s="27">
        <v>0.90476190476190499</v>
      </c>
      <c r="M973" s="26">
        <v>0.87603305785123997</v>
      </c>
      <c r="N973" s="28">
        <v>0.9</v>
      </c>
      <c r="O973" s="26">
        <v>0.91582312200319704</v>
      </c>
      <c r="P973" s="26">
        <v>0.93187232015245403</v>
      </c>
      <c r="Q973" s="26">
        <v>0.95300546448087398</v>
      </c>
      <c r="R973" s="26">
        <v>0.93506777437691302</v>
      </c>
      <c r="S973" s="28">
        <v>0.9</v>
      </c>
      <c r="T973" s="26">
        <v>0.85988279168886494</v>
      </c>
      <c r="U973" s="26">
        <v>0.86612672701286297</v>
      </c>
      <c r="V973" s="26">
        <v>0.908196721311475</v>
      </c>
      <c r="W973" s="26">
        <v>0.87188456493222599</v>
      </c>
      <c r="X973" s="28">
        <v>0.92</v>
      </c>
      <c r="Y973" s="28">
        <v>0.90607734806629803</v>
      </c>
      <c r="Z973" s="28">
        <v>0.91025641025641002</v>
      </c>
      <c r="AA973" s="28">
        <v>0.971830985915493</v>
      </c>
      <c r="AB973" s="28">
        <v>0.92435094001790497</v>
      </c>
      <c r="AC973" s="28">
        <v>0.92</v>
      </c>
      <c r="AD973" s="26">
        <v>0.99918400652794803</v>
      </c>
      <c r="AE973" s="26">
        <v>0.99824902723735398</v>
      </c>
      <c r="AF973" s="26">
        <v>0.998607242339833</v>
      </c>
      <c r="AG973" s="26">
        <v>0.99878077871133597</v>
      </c>
      <c r="AH973" s="28">
        <v>0.92</v>
      </c>
      <c r="AI973" s="26">
        <v>0.96560964716391295</v>
      </c>
      <c r="AJ973" s="26">
        <v>0.95636930268796305</v>
      </c>
      <c r="AK973" s="26">
        <v>0.977337110481586</v>
      </c>
      <c r="AL973" s="26">
        <v>0.96380249516780903</v>
      </c>
      <c r="AM973" s="25">
        <v>0.99</v>
      </c>
      <c r="AN973" s="30">
        <v>1</v>
      </c>
      <c r="AO973" s="30">
        <v>1</v>
      </c>
      <c r="AP973" s="30">
        <v>1</v>
      </c>
      <c r="AQ973" s="30">
        <v>1</v>
      </c>
      <c r="AR973" s="50">
        <v>6.5641848892985799E-2</v>
      </c>
      <c r="AS973" s="34">
        <v>0</v>
      </c>
      <c r="AT973" s="34">
        <v>0</v>
      </c>
      <c r="AU973" s="34">
        <v>0.42857142857142899</v>
      </c>
      <c r="AV973" s="34">
        <v>8.1081081081081099E-2</v>
      </c>
      <c r="AW973" s="10"/>
      <c r="AX973" s="8"/>
    </row>
    <row r="974" spans="1:50">
      <c r="A974" s="7"/>
      <c r="B974" s="10"/>
      <c r="C974" s="69" t="s">
        <v>944</v>
      </c>
      <c r="D974" s="23" t="s">
        <v>23</v>
      </c>
      <c r="E974" s="74" t="s">
        <v>1018</v>
      </c>
      <c r="F974" s="75" t="s">
        <v>1018</v>
      </c>
      <c r="G974" s="75" t="s">
        <v>1018</v>
      </c>
      <c r="H974" s="75" t="s">
        <v>1018</v>
      </c>
      <c r="I974" s="25">
        <v>0.9</v>
      </c>
      <c r="J974" s="26">
        <v>0.93333333333333302</v>
      </c>
      <c r="K974" s="26">
        <v>0.75</v>
      </c>
      <c r="L974" s="27">
        <v>0.93333333333333302</v>
      </c>
      <c r="M974" s="26">
        <v>0.81318681318681296</v>
      </c>
      <c r="N974" s="28">
        <v>0.9</v>
      </c>
      <c r="O974" s="26">
        <v>0.92185592185592202</v>
      </c>
      <c r="P974" s="26">
        <v>0.94727592267135297</v>
      </c>
      <c r="Q974" s="26">
        <v>0.95077720207253902</v>
      </c>
      <c r="R974" s="26">
        <v>0.90714466683557105</v>
      </c>
      <c r="S974" s="28">
        <v>0.9</v>
      </c>
      <c r="T974" s="26">
        <v>0.92735042735042705</v>
      </c>
      <c r="U974" s="26">
        <v>0.927357937902753</v>
      </c>
      <c r="V974" s="26">
        <v>0.908031088082902</v>
      </c>
      <c r="W974" s="26">
        <v>0.92703318976437799</v>
      </c>
      <c r="X974" s="28">
        <v>0.92</v>
      </c>
      <c r="Y974" s="28">
        <v>0.903426791277259</v>
      </c>
      <c r="Z974" s="28">
        <v>0.95116279069767395</v>
      </c>
      <c r="AA974" s="28">
        <v>0.95683453237410099</v>
      </c>
      <c r="AB974" s="28">
        <v>0.93159268929503902</v>
      </c>
      <c r="AC974" s="28">
        <v>0.92</v>
      </c>
      <c r="AD974" s="26">
        <v>1</v>
      </c>
      <c r="AE974" s="26">
        <v>1</v>
      </c>
      <c r="AF974" s="26">
        <v>1</v>
      </c>
      <c r="AG974" s="26">
        <v>0.99991708813531199</v>
      </c>
      <c r="AH974" s="28">
        <v>0.92</v>
      </c>
      <c r="AI974" s="26">
        <v>0.962244897959184</v>
      </c>
      <c r="AJ974" s="26">
        <v>0.97521047708138398</v>
      </c>
      <c r="AK974" s="26">
        <v>0.97645079899074805</v>
      </c>
      <c r="AL974" s="26">
        <v>0.97075606276747495</v>
      </c>
      <c r="AM974" s="25">
        <v>0.99</v>
      </c>
      <c r="AN974" s="30">
        <v>1</v>
      </c>
      <c r="AO974" s="30">
        <v>1</v>
      </c>
      <c r="AP974" s="30">
        <v>1</v>
      </c>
      <c r="AQ974" s="30">
        <v>1</v>
      </c>
      <c r="AR974" s="50">
        <v>6.5641848892985799E-2</v>
      </c>
      <c r="AS974" s="34">
        <v>0.1</v>
      </c>
      <c r="AT974" s="34">
        <v>0</v>
      </c>
      <c r="AU974" s="34">
        <v>0</v>
      </c>
      <c r="AV974" s="34">
        <v>3.2786885245901599E-2</v>
      </c>
      <c r="AW974" s="10"/>
      <c r="AX974" s="8"/>
    </row>
    <row r="975" spans="1:50">
      <c r="A975" s="7"/>
      <c r="B975" s="10"/>
      <c r="C975" s="69" t="s">
        <v>944</v>
      </c>
      <c r="D975" s="23" t="s">
        <v>23</v>
      </c>
      <c r="E975" s="80" t="s">
        <v>1019</v>
      </c>
      <c r="F975" s="81" t="s">
        <v>1019</v>
      </c>
      <c r="G975" s="81" t="s">
        <v>1019</v>
      </c>
      <c r="H975" s="81" t="s">
        <v>1019</v>
      </c>
      <c r="I975" s="25">
        <v>0.9</v>
      </c>
      <c r="J975" s="26">
        <v>1</v>
      </c>
      <c r="K975" s="26">
        <v>0.92307692307692302</v>
      </c>
      <c r="L975" s="27">
        <v>0.92307692307692302</v>
      </c>
      <c r="M975" s="26">
        <v>0.89743589743589702</v>
      </c>
      <c r="N975" s="28">
        <v>0.9</v>
      </c>
      <c r="O975" s="26">
        <v>0.99020887728459495</v>
      </c>
      <c r="P975" s="26">
        <v>0.99817850637522798</v>
      </c>
      <c r="Q975" s="26">
        <v>0.97796143250688705</v>
      </c>
      <c r="R975" s="26">
        <v>0.98017994523405905</v>
      </c>
      <c r="S975" s="28">
        <v>0.9</v>
      </c>
      <c r="T975" s="26">
        <v>0.77023498694517001</v>
      </c>
      <c r="U975" s="26">
        <v>0.79356405585913803</v>
      </c>
      <c r="V975" s="26">
        <v>0.91322314049586795</v>
      </c>
      <c r="W975" s="26">
        <v>0.823184248272265</v>
      </c>
      <c r="X975" s="28">
        <v>0.92</v>
      </c>
      <c r="Y975" s="28">
        <v>0.83529411764705896</v>
      </c>
      <c r="Z975" s="28">
        <v>0.87410926365795705</v>
      </c>
      <c r="AA975" s="28">
        <v>0.91474654377880205</v>
      </c>
      <c r="AB975" s="28">
        <v>0.87493403693931404</v>
      </c>
      <c r="AC975" s="28">
        <v>0.92</v>
      </c>
      <c r="AD975" s="26">
        <v>1</v>
      </c>
      <c r="AE975" s="26">
        <v>1</v>
      </c>
      <c r="AF975" s="26">
        <v>0.999179879715692</v>
      </c>
      <c r="AG975" s="26">
        <v>0.999637234274106</v>
      </c>
      <c r="AH975" s="28">
        <v>0.92</v>
      </c>
      <c r="AI975" s="26">
        <v>0.94444444444444398</v>
      </c>
      <c r="AJ975" s="26">
        <v>0.95454545454545503</v>
      </c>
      <c r="AK975" s="26">
        <v>0.95434969853574503</v>
      </c>
      <c r="AL975" s="26">
        <v>0.95305802404600104</v>
      </c>
      <c r="AM975" s="25">
        <v>0.99</v>
      </c>
      <c r="AN975" s="30">
        <v>1</v>
      </c>
      <c r="AO975" s="30">
        <v>1</v>
      </c>
      <c r="AP975" s="30">
        <v>1</v>
      </c>
      <c r="AQ975" s="30">
        <v>1</v>
      </c>
      <c r="AR975" s="50">
        <v>6.5641848892985799E-2</v>
      </c>
      <c r="AS975" s="34">
        <v>0</v>
      </c>
      <c r="AT975" s="34">
        <v>0</v>
      </c>
      <c r="AU975" s="34">
        <v>0</v>
      </c>
      <c r="AV975" s="34">
        <v>0</v>
      </c>
      <c r="AW975" s="10"/>
      <c r="AX975" s="8"/>
    </row>
    <row r="976" spans="1:50">
      <c r="A976" s="7"/>
      <c r="B976" s="10"/>
      <c r="C976" s="69" t="s">
        <v>944</v>
      </c>
      <c r="D976" s="23" t="s">
        <v>23</v>
      </c>
      <c r="E976" s="70" t="s">
        <v>1020</v>
      </c>
      <c r="F976" s="71" t="s">
        <v>1020</v>
      </c>
      <c r="G976" s="71" t="s">
        <v>1020</v>
      </c>
      <c r="H976" s="71" t="s">
        <v>1020</v>
      </c>
      <c r="I976" s="25">
        <v>0.9</v>
      </c>
      <c r="J976" s="26">
        <v>0.94871794871794901</v>
      </c>
      <c r="K976" s="26">
        <v>0.94736842105263197</v>
      </c>
      <c r="L976" s="27">
        <v>0.88235294117647101</v>
      </c>
      <c r="M976" s="26">
        <v>0.91818181818181799</v>
      </c>
      <c r="N976" s="28">
        <v>0.9</v>
      </c>
      <c r="O976" s="26">
        <v>0.89797653460295901</v>
      </c>
      <c r="P976" s="26">
        <v>0.94297113353672801</v>
      </c>
      <c r="Q976" s="26">
        <v>0.94451050336900499</v>
      </c>
      <c r="R976" s="26">
        <v>0.92241587021122795</v>
      </c>
      <c r="S976" s="28">
        <v>0.9</v>
      </c>
      <c r="T976" s="26">
        <v>0.87485121577962899</v>
      </c>
      <c r="U976" s="26">
        <v>0.89650316827035903</v>
      </c>
      <c r="V976" s="26">
        <v>0.90130796670630198</v>
      </c>
      <c r="W976" s="26">
        <v>0.86904666291864097</v>
      </c>
      <c r="X976" s="28">
        <v>0.92</v>
      </c>
      <c r="Y976" s="28">
        <v>0</v>
      </c>
      <c r="Z976" s="28">
        <v>0</v>
      </c>
      <c r="AA976" s="28">
        <v>0</v>
      </c>
      <c r="AB976" s="28">
        <v>0</v>
      </c>
      <c r="AC976" s="28">
        <v>0.92</v>
      </c>
      <c r="AD976" s="26">
        <v>0.96182728410513096</v>
      </c>
      <c r="AE976" s="26">
        <v>0.97607395323545398</v>
      </c>
      <c r="AF976" s="26">
        <v>0.98634008478568103</v>
      </c>
      <c r="AG976" s="26">
        <v>0.981755424063116</v>
      </c>
      <c r="AH976" s="28">
        <v>0.92</v>
      </c>
      <c r="AI976" s="26">
        <v>0.94626764155755805</v>
      </c>
      <c r="AJ976" s="26">
        <v>0.94462693571093403</v>
      </c>
      <c r="AK976" s="26">
        <v>0.93261989694807801</v>
      </c>
      <c r="AL976" s="26">
        <v>0.92635425450748898</v>
      </c>
      <c r="AM976" s="25">
        <v>0.99</v>
      </c>
      <c r="AN976" s="30">
        <v>1</v>
      </c>
      <c r="AO976" s="30">
        <v>1</v>
      </c>
      <c r="AP976" s="30">
        <v>1</v>
      </c>
      <c r="AQ976" s="30">
        <v>1</v>
      </c>
      <c r="AR976" s="50">
        <v>6.5641848892985799E-2</v>
      </c>
      <c r="AS976" s="34">
        <v>0</v>
      </c>
      <c r="AT976" s="34">
        <v>3.4482758620689703E-2</v>
      </c>
      <c r="AU976" s="34">
        <v>0</v>
      </c>
      <c r="AV976" s="34">
        <v>2.7027027027027001E-2</v>
      </c>
      <c r="AW976" s="10"/>
      <c r="AX976" s="8"/>
    </row>
    <row r="977" spans="1:50">
      <c r="A977" s="7"/>
      <c r="B977" s="10"/>
      <c r="C977" s="69" t="s">
        <v>944</v>
      </c>
      <c r="D977" s="23" t="s">
        <v>23</v>
      </c>
      <c r="E977" s="70" t="s">
        <v>1021</v>
      </c>
      <c r="F977" s="71" t="s">
        <v>1021</v>
      </c>
      <c r="G977" s="71" t="s">
        <v>1021</v>
      </c>
      <c r="H977" s="71" t="s">
        <v>1021</v>
      </c>
      <c r="I977" s="25">
        <v>0.9</v>
      </c>
      <c r="J977" s="26">
        <v>0.97674418604651203</v>
      </c>
      <c r="K977" s="26">
        <v>0.97560975609756095</v>
      </c>
      <c r="L977" s="27">
        <v>0.97560975609756095</v>
      </c>
      <c r="M977" s="26">
        <v>0.96414342629482097</v>
      </c>
      <c r="N977" s="28">
        <v>0.9</v>
      </c>
      <c r="O977" s="26">
        <v>0.86820748059280195</v>
      </c>
      <c r="P977" s="26">
        <v>0.97363924823041204</v>
      </c>
      <c r="Q977" s="26">
        <v>0.97967300044189098</v>
      </c>
      <c r="R977" s="26">
        <v>0.93937273625288098</v>
      </c>
      <c r="S977" s="28">
        <v>0.9</v>
      </c>
      <c r="T977" s="26">
        <v>0.91160903316866604</v>
      </c>
      <c r="U977" s="26">
        <v>0.91994142055162298</v>
      </c>
      <c r="V977" s="26">
        <v>0.92443658859920497</v>
      </c>
      <c r="W977" s="26">
        <v>0.91101415870925295</v>
      </c>
      <c r="X977" s="28">
        <v>0.92</v>
      </c>
      <c r="Y977" s="28">
        <v>0</v>
      </c>
      <c r="Z977" s="28">
        <v>0</v>
      </c>
      <c r="AA977" s="28">
        <v>0</v>
      </c>
      <c r="AB977" s="28">
        <v>0</v>
      </c>
      <c r="AC977" s="28">
        <v>0.92</v>
      </c>
      <c r="AD977" s="26">
        <v>0.99032441661923698</v>
      </c>
      <c r="AE977" s="26">
        <v>0.98995892286627096</v>
      </c>
      <c r="AF977" s="26">
        <v>0.99480968858131502</v>
      </c>
      <c r="AG977" s="26">
        <v>0.99073759347382695</v>
      </c>
      <c r="AH977" s="28">
        <v>0.92</v>
      </c>
      <c r="AI977" s="26">
        <v>0.95112914608327404</v>
      </c>
      <c r="AJ977" s="26">
        <v>0.95264827922870399</v>
      </c>
      <c r="AK977" s="26">
        <v>0.95227574016791905</v>
      </c>
      <c r="AL977" s="26">
        <v>0.94616397760948301</v>
      </c>
      <c r="AM977" s="25">
        <v>0.99</v>
      </c>
      <c r="AN977" s="30">
        <v>1</v>
      </c>
      <c r="AO977" s="30">
        <v>1</v>
      </c>
      <c r="AP977" s="30">
        <v>1</v>
      </c>
      <c r="AQ977" s="30">
        <v>1</v>
      </c>
      <c r="AR977" s="50">
        <v>6.5641848892985799E-2</v>
      </c>
      <c r="AS977" s="34">
        <v>0</v>
      </c>
      <c r="AT977" s="34">
        <v>7.69230769230769E-2</v>
      </c>
      <c r="AU977" s="34">
        <v>5.5555555555555601E-2</v>
      </c>
      <c r="AV977" s="34">
        <v>4.1666666666666699E-2</v>
      </c>
      <c r="AW977" s="10"/>
      <c r="AX977" s="8"/>
    </row>
    <row r="978" spans="1:50">
      <c r="A978" s="7"/>
      <c r="B978" s="10"/>
      <c r="C978" s="69" t="s">
        <v>944</v>
      </c>
      <c r="D978" s="23" t="s">
        <v>23</v>
      </c>
      <c r="E978" s="72" t="s">
        <v>1022</v>
      </c>
      <c r="F978" s="73" t="s">
        <v>1022</v>
      </c>
      <c r="G978" s="73" t="s">
        <v>1022</v>
      </c>
      <c r="H978" s="73" t="s">
        <v>1022</v>
      </c>
      <c r="I978" s="25">
        <v>0.9</v>
      </c>
      <c r="J978" s="26">
        <v>0.96551724137931005</v>
      </c>
      <c r="K978" s="26">
        <v>0.96491228070175405</v>
      </c>
      <c r="L978" s="27">
        <v>0.96153846153846201</v>
      </c>
      <c r="M978" s="26">
        <v>0.95061728395061695</v>
      </c>
      <c r="N978" s="28">
        <v>0.9</v>
      </c>
      <c r="O978" s="26">
        <v>0.941050528118755</v>
      </c>
      <c r="P978" s="26">
        <v>0.91797031688728403</v>
      </c>
      <c r="Q978" s="26">
        <v>0.95486238532110101</v>
      </c>
      <c r="R978" s="26">
        <v>0.91538095561748101</v>
      </c>
      <c r="S978" s="28">
        <v>0.9</v>
      </c>
      <c r="T978" s="26">
        <v>0.90807878960890698</v>
      </c>
      <c r="U978" s="26">
        <v>0.90934616927396705</v>
      </c>
      <c r="V978" s="26">
        <v>0.93174311926605502</v>
      </c>
      <c r="W978" s="26">
        <v>0.89213620607625899</v>
      </c>
      <c r="X978" s="28">
        <v>0.92</v>
      </c>
      <c r="Y978" s="28">
        <v>0</v>
      </c>
      <c r="Z978" s="28">
        <v>0</v>
      </c>
      <c r="AA978" s="28">
        <v>0</v>
      </c>
      <c r="AB978" s="28">
        <v>0</v>
      </c>
      <c r="AC978" s="28">
        <v>0.92</v>
      </c>
      <c r="AD978" s="26">
        <v>0.86723404255319103</v>
      </c>
      <c r="AE978" s="26">
        <v>0.94672131147541005</v>
      </c>
      <c r="AF978" s="26">
        <v>0.97517321016166303</v>
      </c>
      <c r="AG978" s="26">
        <v>0.95278246205733597</v>
      </c>
      <c r="AH978" s="28">
        <v>0.92</v>
      </c>
      <c r="AI978" s="26">
        <v>0.95118469882957501</v>
      </c>
      <c r="AJ978" s="26">
        <v>0.94845567589249902</v>
      </c>
      <c r="AK978" s="26">
        <v>0.95341159207630199</v>
      </c>
      <c r="AL978" s="26">
        <v>0.93648689978591104</v>
      </c>
      <c r="AM978" s="25">
        <v>0.99</v>
      </c>
      <c r="AN978" s="30">
        <v>1</v>
      </c>
      <c r="AO978" s="30">
        <v>1</v>
      </c>
      <c r="AP978" s="30">
        <v>1</v>
      </c>
      <c r="AQ978" s="30">
        <v>1</v>
      </c>
      <c r="AR978" s="50">
        <v>6.5641848892985799E-2</v>
      </c>
      <c r="AS978" s="34">
        <v>0</v>
      </c>
      <c r="AT978" s="34">
        <v>4.7619047619047603E-2</v>
      </c>
      <c r="AU978" s="34">
        <v>3.125E-2</v>
      </c>
      <c r="AV978" s="34">
        <v>5.5944055944055902E-2</v>
      </c>
      <c r="AW978" s="10"/>
      <c r="AX978" s="8"/>
    </row>
    <row r="979" spans="1:50">
      <c r="A979" s="7"/>
      <c r="B979" s="10"/>
      <c r="C979" s="69" t="s">
        <v>944</v>
      </c>
      <c r="D979" s="23" t="s">
        <v>23</v>
      </c>
      <c r="E979" s="72" t="s">
        <v>1023</v>
      </c>
      <c r="F979" s="73" t="s">
        <v>1023</v>
      </c>
      <c r="G979" s="73" t="s">
        <v>1023</v>
      </c>
      <c r="H979" s="73" t="s">
        <v>1023</v>
      </c>
      <c r="I979" s="25">
        <v>0.9</v>
      </c>
      <c r="J979" s="26">
        <v>0.90909090909090895</v>
      </c>
      <c r="K979" s="26">
        <v>0.96875</v>
      </c>
      <c r="L979" s="27">
        <v>0.96296296296296302</v>
      </c>
      <c r="M979" s="26">
        <v>0.90163934426229497</v>
      </c>
      <c r="N979" s="28">
        <v>0.9</v>
      </c>
      <c r="O979" s="26">
        <v>0.92907634307257303</v>
      </c>
      <c r="P979" s="26">
        <v>0.92291296625221997</v>
      </c>
      <c r="Q979" s="26">
        <v>0.92727272727272703</v>
      </c>
      <c r="R979" s="26">
        <v>0.91061820577577701</v>
      </c>
      <c r="S979" s="28">
        <v>0.9</v>
      </c>
      <c r="T979" s="26">
        <v>0.91069745523091405</v>
      </c>
      <c r="U979" s="26">
        <v>0.89591474245115499</v>
      </c>
      <c r="V979" s="26">
        <v>0.930407523510972</v>
      </c>
      <c r="W979" s="26">
        <v>0.912594707367959</v>
      </c>
      <c r="X979" s="28">
        <v>0.92</v>
      </c>
      <c r="Y979" s="28">
        <v>0</v>
      </c>
      <c r="Z979" s="28">
        <v>0</v>
      </c>
      <c r="AA979" s="28">
        <v>0</v>
      </c>
      <c r="AB979" s="28">
        <v>0</v>
      </c>
      <c r="AC979" s="28">
        <v>0.92</v>
      </c>
      <c r="AD979" s="26">
        <v>0.99723502304147504</v>
      </c>
      <c r="AE979" s="26">
        <v>0.95794681508967205</v>
      </c>
      <c r="AF979" s="26">
        <v>0.97051282051282095</v>
      </c>
      <c r="AG979" s="26">
        <v>0.97605114867793696</v>
      </c>
      <c r="AH979" s="28">
        <v>0.92</v>
      </c>
      <c r="AI979" s="26">
        <v>0.95169651272384503</v>
      </c>
      <c r="AJ979" s="26">
        <v>0.95991486342674703</v>
      </c>
      <c r="AK979" s="26">
        <v>0.95485893416927903</v>
      </c>
      <c r="AL979" s="26">
        <v>0.95603249533428503</v>
      </c>
      <c r="AM979" s="25">
        <v>0.99</v>
      </c>
      <c r="AN979" s="30">
        <v>1</v>
      </c>
      <c r="AO979" s="30">
        <v>1</v>
      </c>
      <c r="AP979" s="30">
        <v>1</v>
      </c>
      <c r="AQ979" s="30">
        <v>1</v>
      </c>
      <c r="AR979" s="50">
        <v>6.5641848892985799E-2</v>
      </c>
      <c r="AS979" s="34">
        <v>0</v>
      </c>
      <c r="AT979" s="34">
        <v>0.05</v>
      </c>
      <c r="AU979" s="34">
        <v>0</v>
      </c>
      <c r="AV979" s="34">
        <v>2.8571428571428598E-2</v>
      </c>
      <c r="AW979" s="10"/>
      <c r="AX979" s="8"/>
    </row>
    <row r="980" spans="1:50">
      <c r="A980" s="7"/>
      <c r="B980" s="10"/>
      <c r="C980" s="69" t="s">
        <v>944</v>
      </c>
      <c r="D980" s="23" t="s">
        <v>23</v>
      </c>
      <c r="E980" s="72" t="s">
        <v>1024</v>
      </c>
      <c r="F980" s="73" t="s">
        <v>1024</v>
      </c>
      <c r="G980" s="73" t="s">
        <v>1024</v>
      </c>
      <c r="H980" s="73" t="s">
        <v>1024</v>
      </c>
      <c r="I980" s="25">
        <v>0.9</v>
      </c>
      <c r="J980" s="26">
        <v>0.94</v>
      </c>
      <c r="K980" s="26">
        <v>0.89361702127659604</v>
      </c>
      <c r="L980" s="27">
        <v>0.90697674418604601</v>
      </c>
      <c r="M980" s="26">
        <v>0.91366906474820098</v>
      </c>
      <c r="N980" s="28">
        <v>0.9</v>
      </c>
      <c r="O980" s="26">
        <v>0.94122621564482001</v>
      </c>
      <c r="P980" s="26">
        <v>0.932844574780059</v>
      </c>
      <c r="Q980" s="26">
        <v>0.95490298898793902</v>
      </c>
      <c r="R980" s="26">
        <v>0.94609526653725595</v>
      </c>
      <c r="S980" s="28">
        <v>0.9</v>
      </c>
      <c r="T980" s="26">
        <v>0.88689217758985195</v>
      </c>
      <c r="U980" s="26">
        <v>0.89530791788856301</v>
      </c>
      <c r="V980" s="26">
        <v>0.91976927110645001</v>
      </c>
      <c r="W980" s="26">
        <v>0.89293713603105895</v>
      </c>
      <c r="X980" s="28">
        <v>0.92</v>
      </c>
      <c r="Y980" s="28">
        <v>0</v>
      </c>
      <c r="Z980" s="28">
        <v>0</v>
      </c>
      <c r="AA980" s="28">
        <v>0</v>
      </c>
      <c r="AB980" s="28">
        <v>0</v>
      </c>
      <c r="AC980" s="28">
        <v>0.92</v>
      </c>
      <c r="AD980" s="26">
        <v>0.98119378577269001</v>
      </c>
      <c r="AE980" s="26">
        <v>0.94750430292598997</v>
      </c>
      <c r="AF980" s="26">
        <v>0.98435277382645803</v>
      </c>
      <c r="AG980" s="26">
        <v>0.96817937701396395</v>
      </c>
      <c r="AH980" s="28">
        <v>0.92</v>
      </c>
      <c r="AI980" s="26">
        <v>0.96152219873150102</v>
      </c>
      <c r="AJ980" s="26">
        <v>0.95309293462327804</v>
      </c>
      <c r="AK980" s="26">
        <v>0.95909805977975904</v>
      </c>
      <c r="AL980" s="26">
        <v>0.95366776152085198</v>
      </c>
      <c r="AM980" s="25">
        <v>0.99</v>
      </c>
      <c r="AN980" s="30">
        <v>1</v>
      </c>
      <c r="AO980" s="30">
        <v>1</v>
      </c>
      <c r="AP980" s="30">
        <v>1</v>
      </c>
      <c r="AQ980" s="30">
        <v>1</v>
      </c>
      <c r="AR980" s="50">
        <v>6.5641848892985799E-2</v>
      </c>
      <c r="AS980" s="34">
        <v>0</v>
      </c>
      <c r="AT980" s="34">
        <v>6.25E-2</v>
      </c>
      <c r="AU980" s="34">
        <v>0</v>
      </c>
      <c r="AV980" s="34">
        <v>2.1052631578947399E-2</v>
      </c>
      <c r="AW980" s="10"/>
      <c r="AX980" s="8"/>
    </row>
    <row r="981" spans="1:50">
      <c r="A981" s="7"/>
      <c r="B981" s="10"/>
      <c r="C981" s="69" t="s">
        <v>944</v>
      </c>
      <c r="D981" s="23" t="s">
        <v>23</v>
      </c>
      <c r="E981" s="72" t="s">
        <v>1025</v>
      </c>
      <c r="F981" s="73" t="s">
        <v>1025</v>
      </c>
      <c r="G981" s="73" t="s">
        <v>1025</v>
      </c>
      <c r="H981" s="73" t="s">
        <v>1025</v>
      </c>
      <c r="I981" s="25">
        <v>0.9</v>
      </c>
      <c r="J981" s="26">
        <v>0.87096774193548399</v>
      </c>
      <c r="K981" s="26">
        <v>0.96666666666666701</v>
      </c>
      <c r="L981" s="27">
        <v>0.931034482758621</v>
      </c>
      <c r="M981" s="26">
        <v>0.94505494505494503</v>
      </c>
      <c r="N981" s="28">
        <v>0.9</v>
      </c>
      <c r="O981" s="26">
        <v>0.90172092058884501</v>
      </c>
      <c r="P981" s="26">
        <v>0.92742433600988305</v>
      </c>
      <c r="Q981" s="26">
        <v>0.93753336892685502</v>
      </c>
      <c r="R981" s="26">
        <v>0.91991601679664103</v>
      </c>
      <c r="S981" s="28">
        <v>0.9</v>
      </c>
      <c r="T981" s="26">
        <v>0.899232842629069</v>
      </c>
      <c r="U981" s="26">
        <v>0.88882025941939502</v>
      </c>
      <c r="V981" s="26">
        <v>0.92365189535504499</v>
      </c>
      <c r="W981" s="26">
        <v>0.90181963607278504</v>
      </c>
      <c r="X981" s="28">
        <v>0.92</v>
      </c>
      <c r="Y981" s="28">
        <v>0</v>
      </c>
      <c r="Z981" s="28">
        <v>0</v>
      </c>
      <c r="AA981" s="28">
        <v>0</v>
      </c>
      <c r="AB981" s="28">
        <v>0</v>
      </c>
      <c r="AC981" s="28">
        <v>0.92</v>
      </c>
      <c r="AD981" s="26">
        <v>0.97319587628866</v>
      </c>
      <c r="AE981" s="26">
        <v>0.96369636963696403</v>
      </c>
      <c r="AF981" s="26">
        <v>0.98119858989424202</v>
      </c>
      <c r="AG981" s="26">
        <v>0.97854889589905403</v>
      </c>
      <c r="AH981" s="28">
        <v>0.92</v>
      </c>
      <c r="AI981" s="26">
        <v>0.94422558573502002</v>
      </c>
      <c r="AJ981" s="26">
        <v>0.95274861025324298</v>
      </c>
      <c r="AK981" s="26">
        <v>0.94660971703149999</v>
      </c>
      <c r="AL981" s="26">
        <v>0.94956513046086199</v>
      </c>
      <c r="AM981" s="25">
        <v>0.99</v>
      </c>
      <c r="AN981" s="30">
        <v>1</v>
      </c>
      <c r="AO981" s="30">
        <v>1</v>
      </c>
      <c r="AP981" s="30">
        <v>1</v>
      </c>
      <c r="AQ981" s="30">
        <v>1</v>
      </c>
      <c r="AR981" s="50">
        <v>6.5641848892985799E-2</v>
      </c>
      <c r="AS981" s="34">
        <v>0</v>
      </c>
      <c r="AT981" s="34">
        <v>0</v>
      </c>
      <c r="AU981" s="34">
        <v>0</v>
      </c>
      <c r="AV981" s="34">
        <v>2.4691358024691398E-2</v>
      </c>
      <c r="AW981" s="10"/>
      <c r="AX981" s="8"/>
    </row>
    <row r="982" spans="1:50">
      <c r="A982" s="7"/>
      <c r="B982" s="10"/>
      <c r="C982" s="69" t="s">
        <v>944</v>
      </c>
      <c r="D982" s="23" t="s">
        <v>23</v>
      </c>
      <c r="E982" s="72" t="s">
        <v>1026</v>
      </c>
      <c r="F982" s="73" t="s">
        <v>1026</v>
      </c>
      <c r="G982" s="73" t="s">
        <v>1026</v>
      </c>
      <c r="H982" s="73" t="s">
        <v>1026</v>
      </c>
      <c r="I982" s="25">
        <v>0.9</v>
      </c>
      <c r="J982" s="26">
        <v>0</v>
      </c>
      <c r="K982" s="26">
        <v>0</v>
      </c>
      <c r="L982" s="27">
        <v>0</v>
      </c>
      <c r="M982" s="26">
        <v>0</v>
      </c>
      <c r="N982" s="28">
        <v>0.9</v>
      </c>
      <c r="O982" s="26">
        <v>0</v>
      </c>
      <c r="P982" s="26">
        <v>0</v>
      </c>
      <c r="Q982" s="26">
        <v>0</v>
      </c>
      <c r="R982" s="26">
        <v>0</v>
      </c>
      <c r="S982" s="28">
        <v>0.9</v>
      </c>
      <c r="T982" s="26">
        <v>0</v>
      </c>
      <c r="U982" s="26">
        <v>0</v>
      </c>
      <c r="V982" s="26">
        <v>0</v>
      </c>
      <c r="W982" s="26">
        <v>0</v>
      </c>
      <c r="X982" s="28">
        <v>0.92</v>
      </c>
      <c r="Y982" s="28">
        <v>0</v>
      </c>
      <c r="Z982" s="28">
        <v>0</v>
      </c>
      <c r="AA982" s="28">
        <v>0</v>
      </c>
      <c r="AB982" s="28">
        <v>0</v>
      </c>
      <c r="AC982" s="28">
        <v>0.92</v>
      </c>
      <c r="AD982" s="26">
        <v>0.93831168831168799</v>
      </c>
      <c r="AE982" s="26">
        <v>0.95424836601307195</v>
      </c>
      <c r="AF982" s="26">
        <v>0.94982078853046603</v>
      </c>
      <c r="AG982" s="26">
        <v>0.95099183197199499</v>
      </c>
      <c r="AH982" s="28">
        <v>0.92</v>
      </c>
      <c r="AI982" s="26">
        <v>0</v>
      </c>
      <c r="AJ982" s="26">
        <v>0</v>
      </c>
      <c r="AK982" s="26">
        <v>1</v>
      </c>
      <c r="AL982" s="26">
        <v>1</v>
      </c>
      <c r="AM982" s="25">
        <v>0.99</v>
      </c>
      <c r="AN982" s="30">
        <v>1</v>
      </c>
      <c r="AO982" s="30">
        <v>1</v>
      </c>
      <c r="AP982" s="30">
        <v>1</v>
      </c>
      <c r="AQ982" s="30">
        <v>1</v>
      </c>
      <c r="AR982" s="50">
        <v>6.5641848892985799E-2</v>
      </c>
      <c r="AS982" s="34">
        <v>0</v>
      </c>
      <c r="AT982" s="34">
        <v>0</v>
      </c>
      <c r="AU982" s="34">
        <v>0</v>
      </c>
      <c r="AV982" s="34">
        <v>0</v>
      </c>
      <c r="AW982" s="10"/>
      <c r="AX982" s="8"/>
    </row>
    <row r="983" spans="1:50">
      <c r="A983" s="7"/>
      <c r="B983" s="10"/>
      <c r="C983" s="69" t="s">
        <v>944</v>
      </c>
      <c r="D983" s="23" t="s">
        <v>23</v>
      </c>
      <c r="E983" s="72" t="s">
        <v>1027</v>
      </c>
      <c r="F983" s="73" t="s">
        <v>1027</v>
      </c>
      <c r="G983" s="73" t="s">
        <v>1027</v>
      </c>
      <c r="H983" s="73" t="s">
        <v>1027</v>
      </c>
      <c r="I983" s="25">
        <v>0.9</v>
      </c>
      <c r="J983" s="26">
        <v>0.98333333333333295</v>
      </c>
      <c r="K983" s="26">
        <v>0.967741935483871</v>
      </c>
      <c r="L983" s="27">
        <v>0.98305084745762705</v>
      </c>
      <c r="M983" s="26">
        <v>0.901449275362319</v>
      </c>
      <c r="N983" s="28">
        <v>0.9</v>
      </c>
      <c r="O983" s="26">
        <v>0.95156636438581998</v>
      </c>
      <c r="P983" s="26">
        <v>0.95804597701149397</v>
      </c>
      <c r="Q983" s="26">
        <v>0.95228215767634805</v>
      </c>
      <c r="R983" s="26">
        <v>0.94782229543142305</v>
      </c>
      <c r="S983" s="28">
        <v>0.9</v>
      </c>
      <c r="T983" s="26">
        <v>0.89509480626545801</v>
      </c>
      <c r="U983" s="26">
        <v>0.92988505747126404</v>
      </c>
      <c r="V983" s="26">
        <v>0.93153526970954403</v>
      </c>
      <c r="W983" s="26">
        <v>0.91657380940845901</v>
      </c>
      <c r="X983" s="28">
        <v>0.92</v>
      </c>
      <c r="Y983" s="28">
        <v>0</v>
      </c>
      <c r="Z983" s="28">
        <v>0</v>
      </c>
      <c r="AA983" s="28">
        <v>0</v>
      </c>
      <c r="AB983" s="28">
        <v>0</v>
      </c>
      <c r="AC983" s="28">
        <v>0.92</v>
      </c>
      <c r="AD983" s="26">
        <v>0.97523219814241502</v>
      </c>
      <c r="AE983" s="26">
        <v>0.97278106508875695</v>
      </c>
      <c r="AF983" s="26">
        <v>0.98501440922190198</v>
      </c>
      <c r="AG983" s="26">
        <v>0.97740538504989605</v>
      </c>
      <c r="AH983" s="28">
        <v>0.92</v>
      </c>
      <c r="AI983" s="26">
        <v>0.95757825370675498</v>
      </c>
      <c r="AJ983" s="26">
        <v>0.96667624245906303</v>
      </c>
      <c r="AK983" s="26">
        <v>0.96680497925311204</v>
      </c>
      <c r="AL983" s="26">
        <v>0.95999418801763003</v>
      </c>
      <c r="AM983" s="25">
        <v>0.99</v>
      </c>
      <c r="AN983" s="30">
        <v>1</v>
      </c>
      <c r="AO983" s="30">
        <v>1</v>
      </c>
      <c r="AP983" s="30">
        <v>1</v>
      </c>
      <c r="AQ983" s="30">
        <v>1</v>
      </c>
      <c r="AR983" s="50">
        <v>6.5641848892985799E-2</v>
      </c>
      <c r="AS983" s="34">
        <v>0</v>
      </c>
      <c r="AT983" s="34">
        <v>0</v>
      </c>
      <c r="AU983" s="34">
        <v>6.6666666666666693E-2</v>
      </c>
      <c r="AV983" s="34">
        <v>1.9230769230769201E-2</v>
      </c>
      <c r="AW983" s="10"/>
      <c r="AX983" s="8"/>
    </row>
    <row r="984" spans="1:50">
      <c r="A984" s="7"/>
      <c r="B984" s="10"/>
      <c r="C984" s="69" t="s">
        <v>944</v>
      </c>
      <c r="D984" s="23" t="s">
        <v>23</v>
      </c>
      <c r="E984" s="72" t="s">
        <v>1028</v>
      </c>
      <c r="F984" s="73" t="s">
        <v>1028</v>
      </c>
      <c r="G984" s="73" t="s">
        <v>1028</v>
      </c>
      <c r="H984" s="73" t="s">
        <v>1028</v>
      </c>
      <c r="I984" s="25">
        <v>0.9</v>
      </c>
      <c r="J984" s="26">
        <v>1</v>
      </c>
      <c r="K984" s="26">
        <v>0.98305084745762705</v>
      </c>
      <c r="L984" s="27">
        <v>1</v>
      </c>
      <c r="M984" s="26">
        <v>0.99704142011834296</v>
      </c>
      <c r="N984" s="28">
        <v>0.9</v>
      </c>
      <c r="O984" s="26">
        <v>0.95819852465381095</v>
      </c>
      <c r="P984" s="26">
        <v>0.959053685168335</v>
      </c>
      <c r="Q984" s="26">
        <v>0.97025316455696198</v>
      </c>
      <c r="R984" s="26">
        <v>0.95931973209049703</v>
      </c>
      <c r="S984" s="28">
        <v>0.9</v>
      </c>
      <c r="T984" s="26">
        <v>0.91406755532548201</v>
      </c>
      <c r="U984" s="26">
        <v>0.91737943585077297</v>
      </c>
      <c r="V984" s="26">
        <v>0.95443037974683498</v>
      </c>
      <c r="W984" s="26">
        <v>0.92268279885181603</v>
      </c>
      <c r="X984" s="28">
        <v>0.92</v>
      </c>
      <c r="Y984" s="28">
        <v>0</v>
      </c>
      <c r="Z984" s="28">
        <v>0</v>
      </c>
      <c r="AA984" s="28">
        <v>0</v>
      </c>
      <c r="AB984" s="28">
        <v>0</v>
      </c>
      <c r="AC984" s="28">
        <v>0.92</v>
      </c>
      <c r="AD984" s="26">
        <v>0.99880059970015</v>
      </c>
      <c r="AE984" s="26">
        <v>0.98506176386095901</v>
      </c>
      <c r="AF984" s="26">
        <v>0.99650285293576302</v>
      </c>
      <c r="AG984" s="26">
        <v>0.99318398691325505</v>
      </c>
      <c r="AH984" s="28">
        <v>0.92</v>
      </c>
      <c r="AI984" s="26">
        <v>0.97528467908902705</v>
      </c>
      <c r="AJ984" s="26">
        <v>0.97561419472247501</v>
      </c>
      <c r="AK984" s="26">
        <v>0.98164556962025296</v>
      </c>
      <c r="AL984" s="26">
        <v>0.97148148148148195</v>
      </c>
      <c r="AM984" s="25">
        <v>0.99</v>
      </c>
      <c r="AN984" s="30">
        <v>1</v>
      </c>
      <c r="AO984" s="30">
        <v>1</v>
      </c>
      <c r="AP984" s="30">
        <v>1</v>
      </c>
      <c r="AQ984" s="30">
        <v>1</v>
      </c>
      <c r="AR984" s="50">
        <v>6.5641848892985799E-2</v>
      </c>
      <c r="AS984" s="34">
        <v>0</v>
      </c>
      <c r="AT984" s="34">
        <v>0.08</v>
      </c>
      <c r="AU984" s="34">
        <v>9.5238095238095205E-2</v>
      </c>
      <c r="AV984" s="34">
        <v>6.02409638554217E-2</v>
      </c>
      <c r="AW984" s="10"/>
      <c r="AX984" s="8"/>
    </row>
    <row r="985" spans="1:50">
      <c r="A985" s="7"/>
      <c r="B985" s="10"/>
      <c r="C985" s="69" t="s">
        <v>944</v>
      </c>
      <c r="D985" s="23" t="s">
        <v>23</v>
      </c>
      <c r="E985" s="72" t="s">
        <v>1029</v>
      </c>
      <c r="F985" s="73" t="s">
        <v>1029</v>
      </c>
      <c r="G985" s="73" t="s">
        <v>1029</v>
      </c>
      <c r="H985" s="73" t="s">
        <v>1029</v>
      </c>
      <c r="I985" s="25">
        <v>0.9</v>
      </c>
      <c r="J985" s="26">
        <v>1</v>
      </c>
      <c r="K985" s="26">
        <v>0.92307692307692302</v>
      </c>
      <c r="L985" s="27">
        <v>0.91666666666666696</v>
      </c>
      <c r="M985" s="26">
        <v>0.93333333333333302</v>
      </c>
      <c r="N985" s="28">
        <v>0.9</v>
      </c>
      <c r="O985" s="26">
        <v>0.98236130867709803</v>
      </c>
      <c r="P985" s="26">
        <v>0.94411631076783298</v>
      </c>
      <c r="Q985" s="26">
        <v>0.97946768060836498</v>
      </c>
      <c r="R985" s="26">
        <v>0.94535067795443595</v>
      </c>
      <c r="S985" s="28">
        <v>0.9</v>
      </c>
      <c r="T985" s="26">
        <v>0.89672830725462305</v>
      </c>
      <c r="U985" s="26">
        <v>0.915038618809632</v>
      </c>
      <c r="V985" s="26">
        <v>0.91863117870722399</v>
      </c>
      <c r="W985" s="26">
        <v>0.90646293619657203</v>
      </c>
      <c r="X985" s="28">
        <v>0.92</v>
      </c>
      <c r="Y985" s="28">
        <v>0</v>
      </c>
      <c r="Z985" s="28">
        <v>0</v>
      </c>
      <c r="AA985" s="28">
        <v>0</v>
      </c>
      <c r="AB985" s="28">
        <v>0</v>
      </c>
      <c r="AC985" s="28">
        <v>0.92</v>
      </c>
      <c r="AD985" s="26">
        <v>0.968992248062015</v>
      </c>
      <c r="AE985" s="26">
        <v>0.94949494949494995</v>
      </c>
      <c r="AF985" s="26">
        <v>0.97297297297297303</v>
      </c>
      <c r="AG985" s="26">
        <v>0.96894409937888204</v>
      </c>
      <c r="AH985" s="28">
        <v>0.92</v>
      </c>
      <c r="AI985" s="26">
        <v>0.96217292377701902</v>
      </c>
      <c r="AJ985" s="26">
        <v>0.96910495229441196</v>
      </c>
      <c r="AK985" s="26">
        <v>0.95969581749049404</v>
      </c>
      <c r="AL985" s="26">
        <v>0.96655196145904998</v>
      </c>
      <c r="AM985" s="25">
        <v>0.99</v>
      </c>
      <c r="AN985" s="30">
        <v>1</v>
      </c>
      <c r="AO985" s="30">
        <v>1</v>
      </c>
      <c r="AP985" s="30">
        <v>1</v>
      </c>
      <c r="AQ985" s="30">
        <v>1</v>
      </c>
      <c r="AR985" s="50">
        <v>6.5641848892985799E-2</v>
      </c>
      <c r="AS985" s="34">
        <v>6.6666666666666693E-2</v>
      </c>
      <c r="AT985" s="34">
        <v>0</v>
      </c>
      <c r="AU985" s="34">
        <v>0</v>
      </c>
      <c r="AV985" s="34">
        <v>3.77358490566038E-2</v>
      </c>
      <c r="AW985" s="10"/>
      <c r="AX985" s="8"/>
    </row>
    <row r="986" spans="1:50">
      <c r="A986" s="7"/>
      <c r="B986" s="10"/>
      <c r="C986" s="69" t="s">
        <v>944</v>
      </c>
      <c r="D986" s="23" t="s">
        <v>23</v>
      </c>
      <c r="E986" s="72" t="s">
        <v>1030</v>
      </c>
      <c r="F986" s="73" t="s">
        <v>1030</v>
      </c>
      <c r="G986" s="73" t="s">
        <v>1030</v>
      </c>
      <c r="H986" s="73" t="s">
        <v>1030</v>
      </c>
      <c r="I986" s="25">
        <v>0.9</v>
      </c>
      <c r="J986" s="26">
        <v>1</v>
      </c>
      <c r="K986" s="26">
        <v>0.94285714285714295</v>
      </c>
      <c r="L986" s="27">
        <v>0.82352941176470595</v>
      </c>
      <c r="M986" s="26">
        <v>0.93719806763284996</v>
      </c>
      <c r="N986" s="28">
        <v>0.9</v>
      </c>
      <c r="O986" s="26">
        <v>0.92492244053774597</v>
      </c>
      <c r="P986" s="26">
        <v>0.93010752688172005</v>
      </c>
      <c r="Q986" s="26">
        <v>0.94841063053673802</v>
      </c>
      <c r="R986" s="26">
        <v>0.93813828487661899</v>
      </c>
      <c r="S986" s="28">
        <v>0.9</v>
      </c>
      <c r="T986" s="26">
        <v>0.87362978283350601</v>
      </c>
      <c r="U986" s="26">
        <v>0.91248506571087196</v>
      </c>
      <c r="V986" s="26">
        <v>0.92808754559666495</v>
      </c>
      <c r="W986" s="26">
        <v>0.89435621793305597</v>
      </c>
      <c r="X986" s="28">
        <v>0.92</v>
      </c>
      <c r="Y986" s="28">
        <v>0</v>
      </c>
      <c r="Z986" s="28">
        <v>0</v>
      </c>
      <c r="AA986" s="28">
        <v>0</v>
      </c>
      <c r="AB986" s="28">
        <v>0</v>
      </c>
      <c r="AC986" s="28">
        <v>0.92</v>
      </c>
      <c r="AD986" s="26">
        <v>0.98712998712998701</v>
      </c>
      <c r="AE986" s="26">
        <v>0.98812351543943</v>
      </c>
      <c r="AF986" s="26">
        <v>0.97899999999999998</v>
      </c>
      <c r="AG986" s="26">
        <v>0.98135735232509402</v>
      </c>
      <c r="AH986" s="28">
        <v>0.92</v>
      </c>
      <c r="AI986" s="26">
        <v>0.96173733195449795</v>
      </c>
      <c r="AJ986" s="26">
        <v>0.96176821983273597</v>
      </c>
      <c r="AK986" s="26">
        <v>0.96352266805627895</v>
      </c>
      <c r="AL986" s="26">
        <v>0.95690202785243095</v>
      </c>
      <c r="AM986" s="25">
        <v>0.99</v>
      </c>
      <c r="AN986" s="30">
        <v>1</v>
      </c>
      <c r="AO986" s="30">
        <v>1</v>
      </c>
      <c r="AP986" s="30">
        <v>1</v>
      </c>
      <c r="AQ986" s="30">
        <v>1</v>
      </c>
      <c r="AR986" s="50">
        <v>6.5641848892985799E-2</v>
      </c>
      <c r="AS986" s="34">
        <v>0</v>
      </c>
      <c r="AT986" s="34">
        <v>8.3333333333333301E-2</v>
      </c>
      <c r="AU986" s="34">
        <v>0</v>
      </c>
      <c r="AV986" s="34">
        <v>3.8961038961039002E-2</v>
      </c>
      <c r="AW986" s="10"/>
      <c r="AX986" s="8"/>
    </row>
    <row r="987" spans="1:50">
      <c r="A987" s="7"/>
      <c r="B987" s="10"/>
      <c r="C987" s="69" t="s">
        <v>944</v>
      </c>
      <c r="D987" s="23" t="s">
        <v>23</v>
      </c>
      <c r="E987" s="72" t="s">
        <v>1031</v>
      </c>
      <c r="F987" s="73" t="s">
        <v>1031</v>
      </c>
      <c r="G987" s="73" t="s">
        <v>1031</v>
      </c>
      <c r="H987" s="73" t="s">
        <v>1031</v>
      </c>
      <c r="I987" s="25">
        <v>0.9</v>
      </c>
      <c r="J987" s="26">
        <v>0.94444444444444398</v>
      </c>
      <c r="K987" s="26">
        <v>0.94285714285714295</v>
      </c>
      <c r="L987" s="27">
        <v>0.875</v>
      </c>
      <c r="M987" s="26">
        <v>0.92233009708737901</v>
      </c>
      <c r="N987" s="28">
        <v>0.9</v>
      </c>
      <c r="O987" s="26">
        <v>0.97687439143135302</v>
      </c>
      <c r="P987" s="26">
        <v>0.96736011477761796</v>
      </c>
      <c r="Q987" s="26">
        <v>0.94159292035398201</v>
      </c>
      <c r="R987" s="26">
        <v>0.96131727430555602</v>
      </c>
      <c r="S987" s="28">
        <v>0.9</v>
      </c>
      <c r="T987" s="26">
        <v>0.89629990262901704</v>
      </c>
      <c r="U987" s="26">
        <v>0.91714490674318505</v>
      </c>
      <c r="V987" s="26">
        <v>0.89424778761061996</v>
      </c>
      <c r="W987" s="26">
        <v>0.89290364583333304</v>
      </c>
      <c r="X987" s="28">
        <v>0.92</v>
      </c>
      <c r="Y987" s="28">
        <v>0</v>
      </c>
      <c r="Z987" s="28">
        <v>0</v>
      </c>
      <c r="AA987" s="28">
        <v>0</v>
      </c>
      <c r="AB987" s="28">
        <v>0</v>
      </c>
      <c r="AC987" s="28">
        <v>0.92</v>
      </c>
      <c r="AD987" s="26">
        <v>0.99281609195402298</v>
      </c>
      <c r="AE987" s="26">
        <v>0.99191685912240202</v>
      </c>
      <c r="AF987" s="26">
        <v>0.98756476683937799</v>
      </c>
      <c r="AG987" s="26">
        <v>0.98902546093064103</v>
      </c>
      <c r="AH987" s="28">
        <v>0.92</v>
      </c>
      <c r="AI987" s="26">
        <v>0.97395960087612599</v>
      </c>
      <c r="AJ987" s="26">
        <v>0.96701326640372898</v>
      </c>
      <c r="AK987" s="26">
        <v>0.94292035398230101</v>
      </c>
      <c r="AL987" s="26">
        <v>0.96072687822077596</v>
      </c>
      <c r="AM987" s="25">
        <v>0.99</v>
      </c>
      <c r="AN987" s="30">
        <v>1</v>
      </c>
      <c r="AO987" s="30">
        <v>1</v>
      </c>
      <c r="AP987" s="30">
        <v>1</v>
      </c>
      <c r="AQ987" s="30">
        <v>1</v>
      </c>
      <c r="AR987" s="50">
        <v>6.5641848892985799E-2</v>
      </c>
      <c r="AS987" s="34">
        <v>0</v>
      </c>
      <c r="AT987" s="34">
        <v>0.19230769230769201</v>
      </c>
      <c r="AU987" s="34">
        <v>6.25E-2</v>
      </c>
      <c r="AV987" s="34">
        <v>0.08</v>
      </c>
      <c r="AW987" s="10"/>
      <c r="AX987" s="8"/>
    </row>
    <row r="988" spans="1:50">
      <c r="A988" s="7"/>
      <c r="B988" s="10"/>
      <c r="C988" s="69" t="s">
        <v>944</v>
      </c>
      <c r="D988" s="23" t="s">
        <v>23</v>
      </c>
      <c r="E988" s="72" t="s">
        <v>1032</v>
      </c>
      <c r="F988" s="73" t="s">
        <v>1032</v>
      </c>
      <c r="G988" s="73" t="s">
        <v>1032</v>
      </c>
      <c r="H988" s="73" t="s">
        <v>1032</v>
      </c>
      <c r="I988" s="25">
        <v>0.9</v>
      </c>
      <c r="J988" s="26">
        <v>0.931034482758621</v>
      </c>
      <c r="K988" s="26">
        <v>0.96296296296296302</v>
      </c>
      <c r="L988" s="27">
        <v>0.88888888888888895</v>
      </c>
      <c r="M988" s="26">
        <v>0.90243902439024404</v>
      </c>
      <c r="N988" s="28">
        <v>0.9</v>
      </c>
      <c r="O988" s="26">
        <v>0.98169068952084104</v>
      </c>
      <c r="P988" s="26">
        <v>0.96578799775658997</v>
      </c>
      <c r="Q988" s="26">
        <v>0.96668887408394399</v>
      </c>
      <c r="R988" s="26">
        <v>0.97145306472353199</v>
      </c>
      <c r="S988" s="28">
        <v>0.9</v>
      </c>
      <c r="T988" s="26">
        <v>0.91390728476821204</v>
      </c>
      <c r="U988" s="26">
        <v>0.89904655075715101</v>
      </c>
      <c r="V988" s="26">
        <v>0.92205196535642897</v>
      </c>
      <c r="W988" s="26">
        <v>0.91461637376768101</v>
      </c>
      <c r="X988" s="28">
        <v>0.92</v>
      </c>
      <c r="Y988" s="28">
        <v>0</v>
      </c>
      <c r="Z988" s="28">
        <v>0</v>
      </c>
      <c r="AA988" s="28">
        <v>0</v>
      </c>
      <c r="AB988" s="28">
        <v>0</v>
      </c>
      <c r="AC988" s="28">
        <v>0.92</v>
      </c>
      <c r="AD988" s="26">
        <v>0.98842592592592604</v>
      </c>
      <c r="AE988" s="26">
        <v>0.99082568807339499</v>
      </c>
      <c r="AF988" s="26">
        <v>0.98753894080996896</v>
      </c>
      <c r="AG988" s="26">
        <v>0.99258435298479797</v>
      </c>
      <c r="AH988" s="28">
        <v>0.92</v>
      </c>
      <c r="AI988" s="26">
        <v>0.95831710167510697</v>
      </c>
      <c r="AJ988" s="26">
        <v>0.95008412787436902</v>
      </c>
      <c r="AK988" s="26">
        <v>0.94670219853431004</v>
      </c>
      <c r="AL988" s="26">
        <v>0.95319331333047597</v>
      </c>
      <c r="AM988" s="25">
        <v>0.99</v>
      </c>
      <c r="AN988" s="30">
        <v>1</v>
      </c>
      <c r="AO988" s="30">
        <v>1</v>
      </c>
      <c r="AP988" s="30">
        <v>1</v>
      </c>
      <c r="AQ988" s="30">
        <v>1</v>
      </c>
      <c r="AR988" s="50">
        <v>6.5641848892985799E-2</v>
      </c>
      <c r="AS988" s="34">
        <v>0</v>
      </c>
      <c r="AT988" s="34">
        <v>8.3333333333333301E-2</v>
      </c>
      <c r="AU988" s="34">
        <v>0</v>
      </c>
      <c r="AV988" s="34">
        <v>0.108108108108108</v>
      </c>
      <c r="AW988" s="10"/>
      <c r="AX988" s="8"/>
    </row>
    <row r="989" spans="1:50">
      <c r="A989" s="7"/>
      <c r="B989" s="10"/>
      <c r="C989" s="69" t="s">
        <v>944</v>
      </c>
      <c r="D989" s="23" t="s">
        <v>23</v>
      </c>
      <c r="E989" s="72" t="s">
        <v>1033</v>
      </c>
      <c r="F989" s="73" t="s">
        <v>1033</v>
      </c>
      <c r="G989" s="73" t="s">
        <v>1033</v>
      </c>
      <c r="H989" s="73" t="s">
        <v>1033</v>
      </c>
      <c r="I989" s="25">
        <v>0.9</v>
      </c>
      <c r="J989" s="26">
        <v>0.97297297297297303</v>
      </c>
      <c r="K989" s="26">
        <v>0.91428571428571404</v>
      </c>
      <c r="L989" s="27">
        <v>0.85185185185185197</v>
      </c>
      <c r="M989" s="26">
        <v>0.93908629441624403</v>
      </c>
      <c r="N989" s="28">
        <v>0.9</v>
      </c>
      <c r="O989" s="26">
        <v>0.96564782255883197</v>
      </c>
      <c r="P989" s="26">
        <v>0.95017247987734799</v>
      </c>
      <c r="Q989" s="26">
        <v>0.95846792801107505</v>
      </c>
      <c r="R989" s="26">
        <v>0.95204117440636304</v>
      </c>
      <c r="S989" s="28">
        <v>0.9</v>
      </c>
      <c r="T989" s="26">
        <v>0.92399242629158795</v>
      </c>
      <c r="U989" s="26">
        <v>0.89267918742813301</v>
      </c>
      <c r="V989" s="26">
        <v>0.89616982002768797</v>
      </c>
      <c r="W989" s="26">
        <v>0.90729909930986097</v>
      </c>
      <c r="X989" s="28">
        <v>0.92</v>
      </c>
      <c r="Y989" s="28">
        <v>0</v>
      </c>
      <c r="Z989" s="28">
        <v>0</v>
      </c>
      <c r="AA989" s="28">
        <v>0</v>
      </c>
      <c r="AB989" s="28">
        <v>0</v>
      </c>
      <c r="AC989" s="28">
        <v>0.92</v>
      </c>
      <c r="AD989" s="26">
        <v>0.99046321525885594</v>
      </c>
      <c r="AE989" s="26">
        <v>0.98411016949152497</v>
      </c>
      <c r="AF989" s="26">
        <v>0.98568702290076304</v>
      </c>
      <c r="AG989" s="26">
        <v>0.98988945807495299</v>
      </c>
      <c r="AH989" s="28">
        <v>0.92</v>
      </c>
      <c r="AI989" s="26">
        <v>0.96754124966188804</v>
      </c>
      <c r="AJ989" s="26">
        <v>0.94403986201609802</v>
      </c>
      <c r="AK989" s="26">
        <v>0.93081180811808095</v>
      </c>
      <c r="AL989" s="26">
        <v>0.95017252470904701</v>
      </c>
      <c r="AM989" s="25">
        <v>0.99</v>
      </c>
      <c r="AN989" s="30">
        <v>1</v>
      </c>
      <c r="AO989" s="30">
        <v>1</v>
      </c>
      <c r="AP989" s="30">
        <v>1</v>
      </c>
      <c r="AQ989" s="30">
        <v>1</v>
      </c>
      <c r="AR989" s="50">
        <v>6.5641848892985799E-2</v>
      </c>
      <c r="AS989" s="34">
        <v>-0.1</v>
      </c>
      <c r="AT989" s="34">
        <v>0.133333333333333</v>
      </c>
      <c r="AU989" s="34">
        <v>0</v>
      </c>
      <c r="AV989" s="34">
        <v>0.1</v>
      </c>
      <c r="AW989" s="10"/>
      <c r="AX989" s="8"/>
    </row>
    <row r="990" spans="1:50">
      <c r="A990" s="7"/>
      <c r="B990" s="10"/>
      <c r="C990" s="69" t="s">
        <v>944</v>
      </c>
      <c r="D990" s="23" t="s">
        <v>23</v>
      </c>
      <c r="E990" s="76" t="s">
        <v>1034</v>
      </c>
      <c r="F990" s="77" t="s">
        <v>1034</v>
      </c>
      <c r="G990" s="77" t="s">
        <v>1034</v>
      </c>
      <c r="H990" s="77" t="s">
        <v>1034</v>
      </c>
      <c r="I990" s="25">
        <v>0.9</v>
      </c>
      <c r="J990" s="26">
        <v>1</v>
      </c>
      <c r="K990" s="26">
        <v>0.96551724137931005</v>
      </c>
      <c r="L990" s="27">
        <v>0.96153846153846201</v>
      </c>
      <c r="M990" s="26">
        <v>0.960893854748603</v>
      </c>
      <c r="N990" s="28">
        <v>0.9</v>
      </c>
      <c r="O990" s="26">
        <v>0.96465390279823304</v>
      </c>
      <c r="P990" s="26">
        <v>0.95702775290957898</v>
      </c>
      <c r="Q990" s="26">
        <v>0.95491803278688503</v>
      </c>
      <c r="R990" s="26">
        <v>0.962265729585007</v>
      </c>
      <c r="S990" s="28">
        <v>0.9</v>
      </c>
      <c r="T990" s="26">
        <v>0.93151693667157598</v>
      </c>
      <c r="U990" s="26">
        <v>0.92076991942703701</v>
      </c>
      <c r="V990" s="26">
        <v>0.92786885245901596</v>
      </c>
      <c r="W990" s="26">
        <v>0.934822623828648</v>
      </c>
      <c r="X990" s="28">
        <v>0.92</v>
      </c>
      <c r="Y990" s="28">
        <v>0.92363636363636403</v>
      </c>
      <c r="Z990" s="28">
        <v>0.89725036179450102</v>
      </c>
      <c r="AA990" s="28">
        <v>0.868778280542986</v>
      </c>
      <c r="AB990" s="28">
        <v>0.898103503696561</v>
      </c>
      <c r="AC990" s="28">
        <v>0.92</v>
      </c>
      <c r="AD990" s="26">
        <v>1</v>
      </c>
      <c r="AE990" s="26">
        <v>0.993506493506494</v>
      </c>
      <c r="AF990" s="26">
        <v>0.99173553719008301</v>
      </c>
      <c r="AG990" s="26">
        <v>0.99222923749392899</v>
      </c>
      <c r="AH990" s="28">
        <v>0.92</v>
      </c>
      <c r="AI990" s="26">
        <v>0.97366809552970002</v>
      </c>
      <c r="AJ990" s="26">
        <v>0.96582365003417603</v>
      </c>
      <c r="AK990" s="26">
        <v>0.95350451075641895</v>
      </c>
      <c r="AL990" s="26">
        <v>0.96601168348380195</v>
      </c>
      <c r="AM990" s="25">
        <v>0.99</v>
      </c>
      <c r="AN990" s="30">
        <v>1</v>
      </c>
      <c r="AO990" s="30">
        <v>1</v>
      </c>
      <c r="AP990" s="30">
        <v>1</v>
      </c>
      <c r="AQ990" s="30">
        <v>1</v>
      </c>
      <c r="AR990" s="50">
        <v>6.5641848892985799E-2</v>
      </c>
      <c r="AS990" s="34">
        <v>0</v>
      </c>
      <c r="AT990" s="34">
        <v>0</v>
      </c>
      <c r="AU990" s="34">
        <v>0</v>
      </c>
      <c r="AV990" s="34">
        <v>1.63934426229508E-2</v>
      </c>
      <c r="AW990" s="10"/>
      <c r="AX990" s="8"/>
    </row>
    <row r="991" spans="1:50">
      <c r="A991" s="7"/>
      <c r="B991" s="10"/>
      <c r="C991" s="69" t="s">
        <v>944</v>
      </c>
      <c r="D991" s="23" t="s">
        <v>23</v>
      </c>
      <c r="E991" s="72" t="s">
        <v>1035</v>
      </c>
      <c r="F991" s="73" t="s">
        <v>1035</v>
      </c>
      <c r="G991" s="73" t="s">
        <v>1035</v>
      </c>
      <c r="H991" s="73" t="s">
        <v>1035</v>
      </c>
      <c r="I991" s="25">
        <v>0.9</v>
      </c>
      <c r="J991" s="26">
        <v>0.97297297297297303</v>
      </c>
      <c r="K991" s="26">
        <v>0.97142857142857097</v>
      </c>
      <c r="L991" s="27">
        <v>0.90322580645161299</v>
      </c>
      <c r="M991" s="26">
        <v>0.94581280788177302</v>
      </c>
      <c r="N991" s="28">
        <v>0.9</v>
      </c>
      <c r="O991" s="26">
        <v>0.96900982615268305</v>
      </c>
      <c r="P991" s="26">
        <v>0.97696913864578505</v>
      </c>
      <c r="Q991" s="26">
        <v>0.96519721577726203</v>
      </c>
      <c r="R991" s="26">
        <v>0.96988893459481695</v>
      </c>
      <c r="S991" s="28">
        <v>0.9</v>
      </c>
      <c r="T991" s="26">
        <v>0.907407407407407</v>
      </c>
      <c r="U991" s="26">
        <v>0.92998618148318701</v>
      </c>
      <c r="V991" s="26">
        <v>0.90177880897138396</v>
      </c>
      <c r="W991" s="26">
        <v>0.91805841217605899</v>
      </c>
      <c r="X991" s="28">
        <v>0.92</v>
      </c>
      <c r="Y991" s="28">
        <v>0.48801369863013699</v>
      </c>
      <c r="Z991" s="28">
        <v>0.35185185185185203</v>
      </c>
      <c r="AA991" s="28">
        <v>0.29756097560975597</v>
      </c>
      <c r="AB991" s="28">
        <v>0.349047465288989</v>
      </c>
      <c r="AC991" s="28">
        <v>0.92</v>
      </c>
      <c r="AD991" s="26">
        <v>0.98625429553264599</v>
      </c>
      <c r="AE991" s="26">
        <v>0.97804878048780497</v>
      </c>
      <c r="AF991" s="26">
        <v>0.99512195121951197</v>
      </c>
      <c r="AG991" s="26">
        <v>0.98521647307286198</v>
      </c>
      <c r="AH991" s="28">
        <v>0.92</v>
      </c>
      <c r="AI991" s="26">
        <v>0.871866295264624</v>
      </c>
      <c r="AJ991" s="26">
        <v>0.81802057467186995</v>
      </c>
      <c r="AK991" s="26">
        <v>0.855140186915888</v>
      </c>
      <c r="AL991" s="26">
        <v>0.83262309053956596</v>
      </c>
      <c r="AM991" s="25">
        <v>0.99</v>
      </c>
      <c r="AN991" s="30">
        <v>1</v>
      </c>
      <c r="AO991" s="30">
        <v>1</v>
      </c>
      <c r="AP991" s="30">
        <v>1</v>
      </c>
      <c r="AQ991" s="30">
        <v>1</v>
      </c>
      <c r="AR991" s="50">
        <v>6.5641848892985799E-2</v>
      </c>
      <c r="AS991" s="34">
        <v>0.2</v>
      </c>
      <c r="AT991" s="34">
        <v>0</v>
      </c>
      <c r="AU991" s="34">
        <v>0</v>
      </c>
      <c r="AV991" s="34">
        <v>7.1428571428571397E-2</v>
      </c>
      <c r="AW991" s="10"/>
      <c r="AX991" s="8"/>
    </row>
    <row r="992" spans="1:50">
      <c r="A992" s="7"/>
      <c r="B992" s="10"/>
      <c r="C992" s="69" t="s">
        <v>944</v>
      </c>
      <c r="D992" s="23" t="s">
        <v>23</v>
      </c>
      <c r="E992" s="76" t="s">
        <v>1036</v>
      </c>
      <c r="F992" s="77" t="s">
        <v>1036</v>
      </c>
      <c r="G992" s="77" t="s">
        <v>1036</v>
      </c>
      <c r="H992" s="77" t="s">
        <v>1036</v>
      </c>
      <c r="I992" s="25">
        <v>0.9</v>
      </c>
      <c r="J992" s="26">
        <v>1</v>
      </c>
      <c r="K992" s="26">
        <v>0.93023255813953498</v>
      </c>
      <c r="L992" s="27">
        <v>0.95</v>
      </c>
      <c r="M992" s="26">
        <v>0.95402298850574696</v>
      </c>
      <c r="N992" s="28">
        <v>0.9</v>
      </c>
      <c r="O992" s="26">
        <v>0.97891254910068204</v>
      </c>
      <c r="P992" s="26">
        <v>0.98374410068169904</v>
      </c>
      <c r="Q992" s="26">
        <v>0.97483989021043005</v>
      </c>
      <c r="R992" s="26">
        <v>0.97837862864021496</v>
      </c>
      <c r="S992" s="28">
        <v>0.9</v>
      </c>
      <c r="T992" s="26">
        <v>0.91627041554682698</v>
      </c>
      <c r="U992" s="26">
        <v>0.92448872574724705</v>
      </c>
      <c r="V992" s="26">
        <v>0.92406221408966105</v>
      </c>
      <c r="W992" s="26">
        <v>0.92152414463632604</v>
      </c>
      <c r="X992" s="28">
        <v>0.92</v>
      </c>
      <c r="Y992" s="28">
        <v>0.90823774765380605</v>
      </c>
      <c r="Z992" s="28">
        <v>0.91732629727352699</v>
      </c>
      <c r="AA992" s="28">
        <v>0.89408866995073899</v>
      </c>
      <c r="AB992" s="28">
        <v>0.90919324577861205</v>
      </c>
      <c r="AC992" s="28">
        <v>0.92</v>
      </c>
      <c r="AD992" s="26">
        <v>0.98936170212765995</v>
      </c>
      <c r="AE992" s="26">
        <v>0.98806941431670303</v>
      </c>
      <c r="AF992" s="26">
        <v>0.99056603773584895</v>
      </c>
      <c r="AG992" s="26">
        <v>0.99045767803498896</v>
      </c>
      <c r="AH992" s="28">
        <v>0.92</v>
      </c>
      <c r="AI992" s="26">
        <v>0.96308435397619496</v>
      </c>
      <c r="AJ992" s="26">
        <v>0.95980609977782305</v>
      </c>
      <c r="AK992" s="26">
        <v>0.95640432098765404</v>
      </c>
      <c r="AL992" s="26">
        <v>0.96056589060933495</v>
      </c>
      <c r="AM992" s="25">
        <v>0.99</v>
      </c>
      <c r="AN992" s="30">
        <v>1</v>
      </c>
      <c r="AO992" s="30">
        <v>1</v>
      </c>
      <c r="AP992" s="30">
        <v>1</v>
      </c>
      <c r="AQ992" s="30">
        <v>1</v>
      </c>
      <c r="AR992" s="50">
        <v>6.5641848892985799E-2</v>
      </c>
      <c r="AS992" s="34">
        <v>0</v>
      </c>
      <c r="AT992" s="34">
        <v>0</v>
      </c>
      <c r="AU992" s="34">
        <v>8.3333333333333301E-2</v>
      </c>
      <c r="AV992" s="34">
        <v>1.3157894736842099E-2</v>
      </c>
      <c r="AW992" s="10"/>
      <c r="AX992" s="8"/>
    </row>
    <row r="993" spans="1:50">
      <c r="A993" s="7"/>
      <c r="B993" s="10"/>
      <c r="C993" s="69" t="s">
        <v>944</v>
      </c>
      <c r="D993" s="23" t="s">
        <v>23</v>
      </c>
      <c r="E993" s="80" t="s">
        <v>1037</v>
      </c>
      <c r="F993" s="81" t="s">
        <v>1037</v>
      </c>
      <c r="G993" s="81" t="s">
        <v>1037</v>
      </c>
      <c r="H993" s="81" t="s">
        <v>1037</v>
      </c>
      <c r="I993" s="25">
        <v>0.9</v>
      </c>
      <c r="J993" s="26">
        <v>0.94736842105263197</v>
      </c>
      <c r="K993" s="26">
        <v>0.97368421052631604</v>
      </c>
      <c r="L993" s="27">
        <v>0.931034482758621</v>
      </c>
      <c r="M993" s="26">
        <v>0.93838862559241698</v>
      </c>
      <c r="N993" s="28">
        <v>0.9</v>
      </c>
      <c r="O993" s="26">
        <v>0.98724193922523795</v>
      </c>
      <c r="P993" s="26">
        <v>0.98783454987834596</v>
      </c>
      <c r="Q993" s="26">
        <v>0.97546379413524797</v>
      </c>
      <c r="R993" s="26">
        <v>0.98221085844848199</v>
      </c>
      <c r="S993" s="28">
        <v>0.9</v>
      </c>
      <c r="T993" s="26">
        <v>0.928322894919972</v>
      </c>
      <c r="U993" s="26">
        <v>0.94214652608813199</v>
      </c>
      <c r="V993" s="26">
        <v>0.94554159186116105</v>
      </c>
      <c r="W993" s="26">
        <v>0.93596997062343601</v>
      </c>
      <c r="X993" s="28">
        <v>0.92</v>
      </c>
      <c r="Y993" s="28">
        <v>0.92274052478134105</v>
      </c>
      <c r="Z993" s="28">
        <v>0.948913043478261</v>
      </c>
      <c r="AA993" s="28">
        <v>0.95993322203672804</v>
      </c>
      <c r="AB993" s="28">
        <v>0.93892585551330798</v>
      </c>
      <c r="AC993" s="28">
        <v>0.92</v>
      </c>
      <c r="AD993" s="26">
        <v>0.99384503982621297</v>
      </c>
      <c r="AE993" s="26">
        <v>0.96042868920032998</v>
      </c>
      <c r="AF993" s="26">
        <v>0.975217682518419</v>
      </c>
      <c r="AG993" s="26">
        <v>0.96944872783346203</v>
      </c>
      <c r="AH993" s="28">
        <v>0.92</v>
      </c>
      <c r="AI993" s="26">
        <v>0.96858743497399002</v>
      </c>
      <c r="AJ993" s="26">
        <v>0.97618532149815995</v>
      </c>
      <c r="AK993" s="26">
        <v>0.97092511013215899</v>
      </c>
      <c r="AL993" s="26">
        <v>0.96857572806939896</v>
      </c>
      <c r="AM993" s="25">
        <v>0.99</v>
      </c>
      <c r="AN993" s="30">
        <v>1</v>
      </c>
      <c r="AO993" s="30">
        <v>1</v>
      </c>
      <c r="AP993" s="30">
        <v>1</v>
      </c>
      <c r="AQ993" s="30">
        <v>1</v>
      </c>
      <c r="AR993" s="50">
        <v>6.5641848892985799E-2</v>
      </c>
      <c r="AS993" s="34">
        <v>2.2222222222222199E-2</v>
      </c>
      <c r="AT993" s="34">
        <v>2.32558139534884E-2</v>
      </c>
      <c r="AU993" s="34">
        <v>-3.125E-2</v>
      </c>
      <c r="AV993" s="34">
        <v>2.9850746268656699E-2</v>
      </c>
      <c r="AW993" s="10"/>
      <c r="AX993" s="8"/>
    </row>
    <row r="994" spans="1:50">
      <c r="A994" s="7"/>
      <c r="B994" s="10"/>
      <c r="C994" s="69" t="s">
        <v>944</v>
      </c>
      <c r="D994" s="23" t="s">
        <v>23</v>
      </c>
      <c r="E994" s="70" t="s">
        <v>1038</v>
      </c>
      <c r="F994" s="71" t="s">
        <v>1038</v>
      </c>
      <c r="G994" s="71" t="s">
        <v>1038</v>
      </c>
      <c r="H994" s="71" t="s">
        <v>1038</v>
      </c>
      <c r="I994" s="25">
        <v>0.9</v>
      </c>
      <c r="J994" s="26">
        <v>0.86956521739130399</v>
      </c>
      <c r="K994" s="26">
        <v>0.86363636363636398</v>
      </c>
      <c r="L994" s="27">
        <v>0.85714285714285698</v>
      </c>
      <c r="M994" s="26">
        <v>0.85271317829457405</v>
      </c>
      <c r="N994" s="28">
        <v>0.9</v>
      </c>
      <c r="O994" s="26">
        <v>0.91086857662573895</v>
      </c>
      <c r="P994" s="26">
        <v>0.90860990860990898</v>
      </c>
      <c r="Q994" s="26">
        <v>0.972067039106145</v>
      </c>
      <c r="R994" s="26">
        <v>0.84126046282619404</v>
      </c>
      <c r="S994" s="28">
        <v>0.9</v>
      </c>
      <c r="T994" s="26">
        <v>0.89586175534333801</v>
      </c>
      <c r="U994" s="26">
        <v>0.86195286195286203</v>
      </c>
      <c r="V994" s="26">
        <v>0.91154562383612703</v>
      </c>
      <c r="W994" s="26">
        <v>0.87592319054652901</v>
      </c>
      <c r="X994" s="28">
        <v>0.92</v>
      </c>
      <c r="Y994" s="28">
        <v>0.86723768736616702</v>
      </c>
      <c r="Z994" s="28">
        <v>0.79677419354838697</v>
      </c>
      <c r="AA994" s="28">
        <v>0.71497584541062797</v>
      </c>
      <c r="AB994" s="28">
        <v>0.74328922495274097</v>
      </c>
      <c r="AC994" s="28">
        <v>0.92</v>
      </c>
      <c r="AD994" s="26">
        <v>0.99255583126550895</v>
      </c>
      <c r="AE994" s="26">
        <v>0.93157076205287703</v>
      </c>
      <c r="AF994" s="26">
        <v>0.86612339930151305</v>
      </c>
      <c r="AG994" s="26">
        <v>0.90020449897750499</v>
      </c>
      <c r="AH994" s="28">
        <v>0.92</v>
      </c>
      <c r="AI994" s="26">
        <v>0.95048762190547598</v>
      </c>
      <c r="AJ994" s="26">
        <v>0.93479066320859605</v>
      </c>
      <c r="AK994" s="26">
        <v>0.89516129032258096</v>
      </c>
      <c r="AL994" s="26">
        <v>0.92024060620264003</v>
      </c>
      <c r="AM994" s="25">
        <v>0.99</v>
      </c>
      <c r="AN994" s="30">
        <v>1</v>
      </c>
      <c r="AO994" s="30">
        <v>1</v>
      </c>
      <c r="AP994" s="30">
        <v>1</v>
      </c>
      <c r="AQ994" s="30">
        <v>1</v>
      </c>
      <c r="AR994" s="50">
        <v>6.5641848892985799E-2</v>
      </c>
      <c r="AS994" s="34">
        <v>4.3478260869565202E-2</v>
      </c>
      <c r="AT994" s="34">
        <v>0</v>
      </c>
      <c r="AU994" s="34">
        <v>0</v>
      </c>
      <c r="AV994" s="34">
        <v>1.6949152542372899E-2</v>
      </c>
      <c r="AW994" s="10"/>
      <c r="AX994" s="8"/>
    </row>
    <row r="995" spans="1:50">
      <c r="A995" s="7"/>
      <c r="B995" s="10"/>
      <c r="C995" s="69" t="s">
        <v>944</v>
      </c>
      <c r="D995" s="23" t="s">
        <v>23</v>
      </c>
      <c r="E995" s="70" t="s">
        <v>1039</v>
      </c>
      <c r="F995" s="71" t="s">
        <v>1039</v>
      </c>
      <c r="G995" s="71" t="s">
        <v>1039</v>
      </c>
      <c r="H995" s="71" t="s">
        <v>1039</v>
      </c>
      <c r="I995" s="25">
        <v>0.9</v>
      </c>
      <c r="J995" s="26">
        <v>1</v>
      </c>
      <c r="K995" s="26">
        <v>0.95</v>
      </c>
      <c r="L995" s="27">
        <v>1</v>
      </c>
      <c r="M995" s="26">
        <v>0.96721311475409799</v>
      </c>
      <c r="N995" s="28">
        <v>0.9</v>
      </c>
      <c r="O995" s="26">
        <v>0.94871794871794901</v>
      </c>
      <c r="P995" s="26">
        <v>0.95443410093091596</v>
      </c>
      <c r="Q995" s="26">
        <v>0.92037470725995296</v>
      </c>
      <c r="R995" s="26">
        <v>0.95124113475177297</v>
      </c>
      <c r="S995" s="28">
        <v>0.9</v>
      </c>
      <c r="T995" s="26">
        <v>0.86813186813186805</v>
      </c>
      <c r="U995" s="26">
        <v>0.88143067123958796</v>
      </c>
      <c r="V995" s="26">
        <v>0.93911007025761095</v>
      </c>
      <c r="W995" s="26">
        <v>0.88632781717888098</v>
      </c>
      <c r="X995" s="28">
        <v>0.92</v>
      </c>
      <c r="Y995" s="28">
        <v>0.92682926829268297</v>
      </c>
      <c r="Z995" s="28">
        <v>0.86019417475728199</v>
      </c>
      <c r="AA995" s="28">
        <v>0.90322580645161299</v>
      </c>
      <c r="AB995" s="28">
        <v>0.903669724770642</v>
      </c>
      <c r="AC995" s="28">
        <v>0.92</v>
      </c>
      <c r="AD995" s="26">
        <v>0.94093519278096804</v>
      </c>
      <c r="AE995" s="26">
        <v>0.78440366972477105</v>
      </c>
      <c r="AF995" s="26">
        <v>0.88457854406130298</v>
      </c>
      <c r="AG995" s="26">
        <v>0.82799205899035699</v>
      </c>
      <c r="AH995" s="28">
        <v>0.92</v>
      </c>
      <c r="AI995" s="26">
        <v>0.95814440181374305</v>
      </c>
      <c r="AJ995" s="26">
        <v>0.94170579029734003</v>
      </c>
      <c r="AK995" s="26">
        <v>0.945742904841402</v>
      </c>
      <c r="AL995" s="26">
        <v>0.95014335775724801</v>
      </c>
      <c r="AM995" s="25">
        <v>0.99</v>
      </c>
      <c r="AN995" s="30">
        <v>1</v>
      </c>
      <c r="AO995" s="30">
        <v>1</v>
      </c>
      <c r="AP995" s="30">
        <v>1</v>
      </c>
      <c r="AQ995" s="30">
        <v>1</v>
      </c>
      <c r="AR995" s="50">
        <v>6.5641848892985799E-2</v>
      </c>
      <c r="AS995" s="34">
        <v>7.4074074074074098E-2</v>
      </c>
      <c r="AT995" s="34">
        <v>6.25E-2</v>
      </c>
      <c r="AU995" s="34">
        <v>0</v>
      </c>
      <c r="AV995" s="34">
        <v>4.7619047619047603E-2</v>
      </c>
      <c r="AW995" s="10"/>
      <c r="AX995" s="8"/>
    </row>
    <row r="996" spans="1:50">
      <c r="A996" s="7"/>
      <c r="B996" s="10"/>
      <c r="C996" s="69" t="s">
        <v>944</v>
      </c>
      <c r="D996" s="23" t="s">
        <v>23</v>
      </c>
      <c r="E996" s="80" t="s">
        <v>1040</v>
      </c>
      <c r="F996" s="81" t="s">
        <v>1040</v>
      </c>
      <c r="G996" s="81" t="s">
        <v>1040</v>
      </c>
      <c r="H996" s="81" t="s">
        <v>1040</v>
      </c>
      <c r="I996" s="25">
        <v>0.9</v>
      </c>
      <c r="J996" s="26">
        <v>0.72727272727272696</v>
      </c>
      <c r="K996" s="26">
        <v>0.72727272727272696</v>
      </c>
      <c r="L996" s="27">
        <v>0.77777777777777801</v>
      </c>
      <c r="M996" s="26">
        <v>0.73015873015873001</v>
      </c>
      <c r="N996" s="28">
        <v>0.9</v>
      </c>
      <c r="O996" s="26">
        <v>0.94226804123711305</v>
      </c>
      <c r="P996" s="26">
        <v>0.95715509854327296</v>
      </c>
      <c r="Q996" s="26">
        <v>0.88222698072805095</v>
      </c>
      <c r="R996" s="26">
        <v>0.93204553294239401</v>
      </c>
      <c r="S996" s="28">
        <v>0.9</v>
      </c>
      <c r="T996" s="26">
        <v>0.89140893470790405</v>
      </c>
      <c r="U996" s="26">
        <v>0.90745501285346997</v>
      </c>
      <c r="V996" s="26">
        <v>0.96573875802997899</v>
      </c>
      <c r="W996" s="26">
        <v>0.91462573301138295</v>
      </c>
      <c r="X996" s="28">
        <v>0.92</v>
      </c>
      <c r="Y996" s="28">
        <v>0.89285714285714302</v>
      </c>
      <c r="Z996" s="28">
        <v>0.8</v>
      </c>
      <c r="AA996" s="28">
        <v>0.91176470588235303</v>
      </c>
      <c r="AB996" s="28">
        <v>0.86944045911047296</v>
      </c>
      <c r="AC996" s="28">
        <v>0.92</v>
      </c>
      <c r="AD996" s="26">
        <v>0.98373983739837401</v>
      </c>
      <c r="AE996" s="26">
        <v>0.88163265306122496</v>
      </c>
      <c r="AF996" s="26">
        <v>0.99260823653643104</v>
      </c>
      <c r="AG996" s="26">
        <v>0.84939965694682695</v>
      </c>
      <c r="AH996" s="28">
        <v>0.92</v>
      </c>
      <c r="AI996" s="26">
        <v>0.93686718284693304</v>
      </c>
      <c r="AJ996" s="26">
        <v>0.93433652530779798</v>
      </c>
      <c r="AK996" s="26">
        <v>0.97019374068554398</v>
      </c>
      <c r="AL996" s="26">
        <v>0.94521690767519495</v>
      </c>
      <c r="AM996" s="25">
        <v>0.99</v>
      </c>
      <c r="AN996" s="30">
        <v>1</v>
      </c>
      <c r="AO996" s="30">
        <v>1</v>
      </c>
      <c r="AP996" s="30">
        <v>1</v>
      </c>
      <c r="AQ996" s="30">
        <v>1</v>
      </c>
      <c r="AR996" s="50">
        <v>6.5641848892985799E-2</v>
      </c>
      <c r="AS996" s="34">
        <v>8.3333333333333301E-2</v>
      </c>
      <c r="AT996" s="34">
        <v>7.69230769230769E-2</v>
      </c>
      <c r="AU996" s="34">
        <v>0</v>
      </c>
      <c r="AV996" s="34">
        <v>2.7777777777777801E-2</v>
      </c>
      <c r="AW996" s="10"/>
      <c r="AX996" s="8"/>
    </row>
    <row r="997" spans="1:50">
      <c r="A997" s="7"/>
      <c r="B997" s="10"/>
      <c r="C997" s="69" t="s">
        <v>944</v>
      </c>
      <c r="D997" s="23" t="s">
        <v>23</v>
      </c>
      <c r="E997" s="70" t="s">
        <v>1041</v>
      </c>
      <c r="F997" s="71" t="s">
        <v>1041</v>
      </c>
      <c r="G997" s="71" t="s">
        <v>1041</v>
      </c>
      <c r="H997" s="71" t="s">
        <v>1041</v>
      </c>
      <c r="I997" s="25">
        <v>0.9</v>
      </c>
      <c r="J997" s="26">
        <v>0</v>
      </c>
      <c r="K997" s="26">
        <v>0</v>
      </c>
      <c r="L997" s="27">
        <v>0</v>
      </c>
      <c r="M997" s="26">
        <v>0</v>
      </c>
      <c r="N997" s="28">
        <v>0.9</v>
      </c>
      <c r="O997" s="26">
        <v>0</v>
      </c>
      <c r="P997" s="26">
        <v>0</v>
      </c>
      <c r="Q997" s="26">
        <v>0</v>
      </c>
      <c r="R997" s="26">
        <v>0</v>
      </c>
      <c r="S997" s="28">
        <v>0.9</v>
      </c>
      <c r="T997" s="26">
        <v>0</v>
      </c>
      <c r="U997" s="26">
        <v>0</v>
      </c>
      <c r="V997" s="26">
        <v>0</v>
      </c>
      <c r="W997" s="26">
        <v>0</v>
      </c>
      <c r="X997" s="28">
        <v>0.92</v>
      </c>
      <c r="Y997" s="28">
        <v>0</v>
      </c>
      <c r="Z997" s="28">
        <v>0</v>
      </c>
      <c r="AA997" s="28">
        <v>0</v>
      </c>
      <c r="AB997" s="28">
        <v>0</v>
      </c>
      <c r="AC997" s="28">
        <v>0.92</v>
      </c>
      <c r="AD997" s="26">
        <v>0.821621621621622</v>
      </c>
      <c r="AE997" s="26">
        <v>0.82699619771863098</v>
      </c>
      <c r="AF997" s="26">
        <v>0.87329434697855701</v>
      </c>
      <c r="AG997" s="26">
        <v>0.748931208705791</v>
      </c>
      <c r="AH997" s="28">
        <v>0.92</v>
      </c>
      <c r="AI997" s="26">
        <v>0</v>
      </c>
      <c r="AJ997" s="26">
        <v>0</v>
      </c>
      <c r="AK997" s="26">
        <v>0</v>
      </c>
      <c r="AL997" s="26">
        <v>0</v>
      </c>
      <c r="AM997" s="25">
        <v>0.99</v>
      </c>
      <c r="AN997" s="30">
        <v>1</v>
      </c>
      <c r="AO997" s="30">
        <v>1</v>
      </c>
      <c r="AP997" s="30">
        <v>1</v>
      </c>
      <c r="AQ997" s="30">
        <v>1</v>
      </c>
      <c r="AR997" s="50">
        <v>6.5641848892985799E-2</v>
      </c>
      <c r="AS997" s="34">
        <v>0</v>
      </c>
      <c r="AT997" s="34">
        <v>0</v>
      </c>
      <c r="AU997" s="34">
        <v>0</v>
      </c>
      <c r="AV997" s="34">
        <v>0</v>
      </c>
      <c r="AW997" s="10"/>
      <c r="AX997" s="8"/>
    </row>
    <row r="998" spans="1:50">
      <c r="A998" s="7"/>
      <c r="B998" s="10"/>
      <c r="C998" s="69" t="s">
        <v>944</v>
      </c>
      <c r="D998" s="23" t="s">
        <v>23</v>
      </c>
      <c r="E998" s="70" t="s">
        <v>1042</v>
      </c>
      <c r="F998" s="71" t="s">
        <v>1042</v>
      </c>
      <c r="G998" s="71" t="s">
        <v>1042</v>
      </c>
      <c r="H998" s="71" t="s">
        <v>1042</v>
      </c>
      <c r="I998" s="25">
        <v>0.9</v>
      </c>
      <c r="J998" s="26">
        <v>0.86486486486486502</v>
      </c>
      <c r="K998" s="26">
        <v>0.69230769230769196</v>
      </c>
      <c r="L998" s="27">
        <v>0.57692307692307698</v>
      </c>
      <c r="M998" s="26">
        <v>0.73446327683615797</v>
      </c>
      <c r="N998" s="28">
        <v>0.9</v>
      </c>
      <c r="O998" s="26">
        <v>0.95403808273145096</v>
      </c>
      <c r="P998" s="26">
        <v>0.952013237727523</v>
      </c>
      <c r="Q998" s="26">
        <v>0.94719195305951398</v>
      </c>
      <c r="R998" s="26">
        <v>0.93287051780141395</v>
      </c>
      <c r="S998" s="28">
        <v>0.9</v>
      </c>
      <c r="T998" s="26">
        <v>0.81024294156270504</v>
      </c>
      <c r="U998" s="26">
        <v>0.81439602868174299</v>
      </c>
      <c r="V998" s="26">
        <v>0.89270746018440905</v>
      </c>
      <c r="W998" s="26">
        <v>0.822049550984014</v>
      </c>
      <c r="X998" s="28">
        <v>0.92</v>
      </c>
      <c r="Y998" s="28">
        <v>0.86248131539611395</v>
      </c>
      <c r="Z998" s="28">
        <v>0.90686274509803899</v>
      </c>
      <c r="AA998" s="28">
        <v>0.883663366336634</v>
      </c>
      <c r="AB998" s="28">
        <v>0.88356545961002797</v>
      </c>
      <c r="AC998" s="28">
        <v>0.92</v>
      </c>
      <c r="AD998" s="26">
        <v>0.980529689200629</v>
      </c>
      <c r="AE998" s="26">
        <v>0.83654607869025599</v>
      </c>
      <c r="AF998" s="26">
        <v>0.86251180358829105</v>
      </c>
      <c r="AG998" s="26">
        <v>0.91998618963359402</v>
      </c>
      <c r="AH998" s="28">
        <v>0.92</v>
      </c>
      <c r="AI998" s="26">
        <v>0.93665331043694</v>
      </c>
      <c r="AJ998" s="26">
        <v>0.93739242685025803</v>
      </c>
      <c r="AK998" s="26">
        <v>0.92643391521197005</v>
      </c>
      <c r="AL998" s="26">
        <v>0.92881163019297397</v>
      </c>
      <c r="AM998" s="25">
        <v>0.99</v>
      </c>
      <c r="AN998" s="30">
        <v>1</v>
      </c>
      <c r="AO998" s="30">
        <v>1</v>
      </c>
      <c r="AP998" s="30">
        <v>1</v>
      </c>
      <c r="AQ998" s="30">
        <v>1</v>
      </c>
      <c r="AR998" s="50">
        <v>6.5641848892985799E-2</v>
      </c>
      <c r="AS998" s="34">
        <v>-2.0833333333333301E-2</v>
      </c>
      <c r="AT998" s="34">
        <v>0.04</v>
      </c>
      <c r="AU998" s="34">
        <v>2.5641025641025599E-2</v>
      </c>
      <c r="AV998" s="34">
        <v>1.50375939849624E-2</v>
      </c>
      <c r="AW998" s="10"/>
      <c r="AX998" s="8"/>
    </row>
    <row r="999" spans="1:50">
      <c r="A999" s="7"/>
      <c r="B999" s="10"/>
      <c r="C999" s="69" t="s">
        <v>944</v>
      </c>
      <c r="D999" s="23" t="s">
        <v>23</v>
      </c>
      <c r="E999" s="70" t="s">
        <v>1043</v>
      </c>
      <c r="F999" s="71" t="s">
        <v>1043</v>
      </c>
      <c r="G999" s="71" t="s">
        <v>1043</v>
      </c>
      <c r="H999" s="71" t="s">
        <v>1043</v>
      </c>
      <c r="I999" s="25">
        <v>0.9</v>
      </c>
      <c r="J999" s="26">
        <v>0</v>
      </c>
      <c r="K999" s="26">
        <v>0</v>
      </c>
      <c r="L999" s="27">
        <v>0</v>
      </c>
      <c r="M999" s="26">
        <v>0</v>
      </c>
      <c r="N999" s="28">
        <v>0.9</v>
      </c>
      <c r="O999" s="26">
        <v>0</v>
      </c>
      <c r="P999" s="26">
        <v>0</v>
      </c>
      <c r="Q999" s="26">
        <v>0</v>
      </c>
      <c r="R999" s="26">
        <v>0</v>
      </c>
      <c r="S999" s="28">
        <v>0.9</v>
      </c>
      <c r="T999" s="26">
        <v>0</v>
      </c>
      <c r="U999" s="26">
        <v>0</v>
      </c>
      <c r="V999" s="26">
        <v>0</v>
      </c>
      <c r="W999" s="26">
        <v>0</v>
      </c>
      <c r="X999" s="28">
        <v>0.92</v>
      </c>
      <c r="Y999" s="28">
        <v>0</v>
      </c>
      <c r="Z999" s="28">
        <v>0</v>
      </c>
      <c r="AA999" s="28">
        <v>0</v>
      </c>
      <c r="AB999" s="28">
        <v>0</v>
      </c>
      <c r="AC999" s="28">
        <v>0.92</v>
      </c>
      <c r="AD999" s="26">
        <v>0.96261682242990698</v>
      </c>
      <c r="AE999" s="26">
        <v>0.89411764705882402</v>
      </c>
      <c r="AF999" s="26">
        <v>0.88479262672811099</v>
      </c>
      <c r="AG999" s="26">
        <v>0.90962099125364404</v>
      </c>
      <c r="AH999" s="28">
        <v>0.92</v>
      </c>
      <c r="AI999" s="26">
        <v>0</v>
      </c>
      <c r="AJ999" s="26">
        <v>0</v>
      </c>
      <c r="AK999" s="26">
        <v>0</v>
      </c>
      <c r="AL999" s="26">
        <v>0</v>
      </c>
      <c r="AM999" s="25">
        <v>0.99</v>
      </c>
      <c r="AN999" s="30">
        <v>1</v>
      </c>
      <c r="AO999" s="30">
        <v>1</v>
      </c>
      <c r="AP999" s="30">
        <v>1</v>
      </c>
      <c r="AQ999" s="30">
        <v>1</v>
      </c>
      <c r="AR999" s="50">
        <v>6.5641848892985799E-2</v>
      </c>
      <c r="AS999" s="34">
        <v>0</v>
      </c>
      <c r="AT999" s="34">
        <v>0</v>
      </c>
      <c r="AU999" s="34">
        <v>0</v>
      </c>
      <c r="AV999" s="34">
        <v>0</v>
      </c>
      <c r="AW999" s="10"/>
      <c r="AX999" s="8"/>
    </row>
    <row r="1000" spans="1:50">
      <c r="A1000" s="7"/>
      <c r="B1000" s="10"/>
      <c r="C1000" s="69" t="s">
        <v>944</v>
      </c>
      <c r="D1000" s="23" t="s">
        <v>23</v>
      </c>
      <c r="E1000" s="70" t="s">
        <v>1044</v>
      </c>
      <c r="F1000" s="71" t="s">
        <v>1044</v>
      </c>
      <c r="G1000" s="71" t="s">
        <v>1044</v>
      </c>
      <c r="H1000" s="71" t="s">
        <v>1044</v>
      </c>
      <c r="I1000" s="25">
        <v>0.9</v>
      </c>
      <c r="J1000" s="26">
        <v>0</v>
      </c>
      <c r="K1000" s="26">
        <v>0</v>
      </c>
      <c r="L1000" s="27">
        <v>1</v>
      </c>
      <c r="M1000" s="26">
        <v>1</v>
      </c>
      <c r="N1000" s="28">
        <v>0.9</v>
      </c>
      <c r="O1000" s="26">
        <v>0.84192439862543</v>
      </c>
      <c r="P1000" s="26">
        <v>0.93533487297921503</v>
      </c>
      <c r="Q1000" s="26">
        <v>0.33936651583710398</v>
      </c>
      <c r="R1000" s="26">
        <v>0.44470945359930603</v>
      </c>
      <c r="S1000" s="28">
        <v>0.9</v>
      </c>
      <c r="T1000" s="26">
        <v>0.99656357388316197</v>
      </c>
      <c r="U1000" s="26">
        <v>0.98383371824480403</v>
      </c>
      <c r="V1000" s="26">
        <v>0.97888386123680204</v>
      </c>
      <c r="W1000" s="26">
        <v>0.95208152645273203</v>
      </c>
      <c r="X1000" s="28">
        <v>0.92</v>
      </c>
      <c r="Y1000" s="28">
        <v>1</v>
      </c>
      <c r="Z1000" s="28">
        <v>1</v>
      </c>
      <c r="AA1000" s="28">
        <v>0.99324324324324298</v>
      </c>
      <c r="AB1000" s="28">
        <v>0.95690343176376702</v>
      </c>
      <c r="AC1000" s="28">
        <v>0.92</v>
      </c>
      <c r="AD1000" s="26">
        <v>0.98969072164948502</v>
      </c>
      <c r="AE1000" s="26">
        <v>0.98345284059569804</v>
      </c>
      <c r="AF1000" s="26">
        <v>0.98977679332083801</v>
      </c>
      <c r="AG1000" s="26">
        <v>0.95333610144047998</v>
      </c>
      <c r="AH1000" s="28">
        <v>0.92</v>
      </c>
      <c r="AI1000" s="26">
        <v>0.99710982658959502</v>
      </c>
      <c r="AJ1000" s="26">
        <v>0.98701298701298701</v>
      </c>
      <c r="AK1000" s="26">
        <v>0.99791666666666701</v>
      </c>
      <c r="AL1000" s="26">
        <v>0.97753956100050998</v>
      </c>
      <c r="AM1000" s="25">
        <v>0.99</v>
      </c>
      <c r="AN1000" s="30">
        <v>0</v>
      </c>
      <c r="AO1000" s="30">
        <v>1</v>
      </c>
      <c r="AP1000" s="30">
        <v>1</v>
      </c>
      <c r="AQ1000" s="30">
        <v>1</v>
      </c>
      <c r="AR1000" s="50">
        <v>6.5641848892985799E-2</v>
      </c>
      <c r="AS1000" s="34">
        <v>0</v>
      </c>
      <c r="AT1000" s="34">
        <v>0</v>
      </c>
      <c r="AU1000" s="34">
        <v>0</v>
      </c>
      <c r="AV1000" s="34">
        <v>4.7619047619047603E-2</v>
      </c>
      <c r="AW1000" s="10"/>
      <c r="AX1000" s="8"/>
    </row>
    <row r="1001" spans="1:50">
      <c r="A1001" s="7"/>
      <c r="B1001" s="10"/>
      <c r="C1001" s="69" t="s">
        <v>944</v>
      </c>
      <c r="D1001" s="23" t="s">
        <v>23</v>
      </c>
      <c r="E1001" s="70" t="s">
        <v>1045</v>
      </c>
      <c r="F1001" s="71" t="s">
        <v>1045</v>
      </c>
      <c r="G1001" s="71" t="s">
        <v>1045</v>
      </c>
      <c r="H1001" s="71" t="s">
        <v>1045</v>
      </c>
      <c r="I1001" s="25">
        <v>0.9</v>
      </c>
      <c r="J1001" s="26">
        <v>0.90909090909090895</v>
      </c>
      <c r="K1001" s="26">
        <v>0.90909090909090895</v>
      </c>
      <c r="L1001" s="27">
        <v>1</v>
      </c>
      <c r="M1001" s="26">
        <v>0.95575221238938102</v>
      </c>
      <c r="N1001" s="28">
        <v>0.9</v>
      </c>
      <c r="O1001" s="26">
        <v>0.77770315648085997</v>
      </c>
      <c r="P1001" s="26">
        <v>0.83102918586789598</v>
      </c>
      <c r="Q1001" s="26">
        <v>0.91346877351391997</v>
      </c>
      <c r="R1001" s="26">
        <v>0.84859882005899701</v>
      </c>
      <c r="S1001" s="28">
        <v>0.9</v>
      </c>
      <c r="T1001" s="26">
        <v>0.92175957018133003</v>
      </c>
      <c r="U1001" s="26">
        <v>0.91935483870967705</v>
      </c>
      <c r="V1001" s="26">
        <v>0.93002257336343097</v>
      </c>
      <c r="W1001" s="26">
        <v>0.92020648967551599</v>
      </c>
      <c r="X1001" s="28">
        <v>0.92</v>
      </c>
      <c r="Y1001" s="28">
        <v>0.94941634241245099</v>
      </c>
      <c r="Z1001" s="28">
        <v>0.93992490613266599</v>
      </c>
      <c r="AA1001" s="28">
        <v>0.93217391304347796</v>
      </c>
      <c r="AB1001" s="28">
        <v>0.93405963302752304</v>
      </c>
      <c r="AC1001" s="28">
        <v>0.92</v>
      </c>
      <c r="AD1001" s="26">
        <v>0.98805689747718695</v>
      </c>
      <c r="AE1001" s="26">
        <v>0.97314669332952397</v>
      </c>
      <c r="AF1001" s="26">
        <v>0.98109657767425196</v>
      </c>
      <c r="AG1001" s="26">
        <v>0.97549309781450499</v>
      </c>
      <c r="AH1001" s="28">
        <v>0.92</v>
      </c>
      <c r="AI1001" s="26">
        <v>0.97424155695477999</v>
      </c>
      <c r="AJ1001" s="26">
        <v>0.96301731728793705</v>
      </c>
      <c r="AK1001" s="26">
        <v>0.96432318992654797</v>
      </c>
      <c r="AL1001" s="26">
        <v>0.96583650747143301</v>
      </c>
      <c r="AM1001" s="25">
        <v>0.99</v>
      </c>
      <c r="AN1001" s="30">
        <v>1</v>
      </c>
      <c r="AO1001" s="30">
        <v>1</v>
      </c>
      <c r="AP1001" s="30">
        <v>1</v>
      </c>
      <c r="AQ1001" s="30">
        <v>1</v>
      </c>
      <c r="AR1001" s="50">
        <v>6.5641848892985799E-2</v>
      </c>
      <c r="AS1001" s="34">
        <v>3.8461538461538498E-2</v>
      </c>
      <c r="AT1001" s="34">
        <v>1.4492753623188401E-2</v>
      </c>
      <c r="AU1001" s="34">
        <v>2.1276595744680899E-2</v>
      </c>
      <c r="AV1001" s="34">
        <v>2.2408963585434202E-2</v>
      </c>
      <c r="AW1001" s="10"/>
      <c r="AX1001" s="8"/>
    </row>
    <row r="1002" spans="1:50">
      <c r="A1002" s="7"/>
      <c r="B1002" s="10"/>
      <c r="C1002" s="69" t="s">
        <v>944</v>
      </c>
      <c r="D1002" s="23" t="s">
        <v>23</v>
      </c>
      <c r="E1002" s="80" t="s">
        <v>1046</v>
      </c>
      <c r="F1002" s="81" t="s">
        <v>1046</v>
      </c>
      <c r="G1002" s="81" t="s">
        <v>1046</v>
      </c>
      <c r="H1002" s="81" t="s">
        <v>1046</v>
      </c>
      <c r="I1002" s="25">
        <v>0.9</v>
      </c>
      <c r="J1002" s="26">
        <v>0</v>
      </c>
      <c r="K1002" s="26">
        <v>0</v>
      </c>
      <c r="L1002" s="27">
        <v>0</v>
      </c>
      <c r="M1002" s="26">
        <v>0</v>
      </c>
      <c r="N1002" s="28">
        <v>0.9</v>
      </c>
      <c r="O1002" s="26">
        <v>0</v>
      </c>
      <c r="P1002" s="26">
        <v>0</v>
      </c>
      <c r="Q1002" s="26">
        <v>0</v>
      </c>
      <c r="R1002" s="26">
        <v>0</v>
      </c>
      <c r="S1002" s="28">
        <v>0.9</v>
      </c>
      <c r="T1002" s="26">
        <v>0</v>
      </c>
      <c r="U1002" s="26">
        <v>0</v>
      </c>
      <c r="V1002" s="26">
        <v>0</v>
      </c>
      <c r="W1002" s="26">
        <v>0</v>
      </c>
      <c r="X1002" s="28">
        <v>0.92</v>
      </c>
      <c r="Y1002" s="28">
        <v>0</v>
      </c>
      <c r="Z1002" s="28">
        <v>0</v>
      </c>
      <c r="AA1002" s="28">
        <v>0</v>
      </c>
      <c r="AB1002" s="28">
        <v>0</v>
      </c>
      <c r="AC1002" s="28">
        <v>0.92</v>
      </c>
      <c r="AD1002" s="26">
        <v>0.99339933993399299</v>
      </c>
      <c r="AE1002" s="26">
        <v>0.89159292035398197</v>
      </c>
      <c r="AF1002" s="26">
        <v>0.89492119089317002</v>
      </c>
      <c r="AG1002" s="26">
        <v>0.92953156822810601</v>
      </c>
      <c r="AH1002" s="28">
        <v>0.92</v>
      </c>
      <c r="AI1002" s="26">
        <v>0</v>
      </c>
      <c r="AJ1002" s="26">
        <v>0</v>
      </c>
      <c r="AK1002" s="26">
        <v>0</v>
      </c>
      <c r="AL1002" s="26">
        <v>0</v>
      </c>
      <c r="AM1002" s="25">
        <v>0.99</v>
      </c>
      <c r="AN1002" s="30">
        <v>1</v>
      </c>
      <c r="AO1002" s="30">
        <v>1</v>
      </c>
      <c r="AP1002" s="30">
        <v>1</v>
      </c>
      <c r="AQ1002" s="30">
        <v>1</v>
      </c>
      <c r="AR1002" s="50">
        <v>6.5641848892985799E-2</v>
      </c>
      <c r="AS1002" s="34">
        <v>0</v>
      </c>
      <c r="AT1002" s="34">
        <v>0</v>
      </c>
      <c r="AU1002" s="34">
        <v>0</v>
      </c>
      <c r="AV1002" s="34">
        <v>0</v>
      </c>
      <c r="AW1002" s="10"/>
      <c r="AX1002" s="8"/>
    </row>
    <row r="1003" spans="1:50">
      <c r="A1003" s="7"/>
      <c r="B1003" s="10"/>
      <c r="C1003" s="69" t="s">
        <v>944</v>
      </c>
      <c r="D1003" s="23" t="s">
        <v>23</v>
      </c>
      <c r="E1003" s="80" t="s">
        <v>1047</v>
      </c>
      <c r="F1003" s="81" t="s">
        <v>1047</v>
      </c>
      <c r="G1003" s="81" t="s">
        <v>1047</v>
      </c>
      <c r="H1003" s="81" t="s">
        <v>1047</v>
      </c>
      <c r="I1003" s="25">
        <v>0.9</v>
      </c>
      <c r="J1003" s="26">
        <v>0.66666666666666696</v>
      </c>
      <c r="K1003" s="26">
        <v>0.77777777777777801</v>
      </c>
      <c r="L1003" s="27">
        <v>0.85714285714285698</v>
      </c>
      <c r="M1003" s="26">
        <v>0.75789473684210495</v>
      </c>
      <c r="N1003" s="28">
        <v>0.9</v>
      </c>
      <c r="O1003" s="26">
        <v>0.98163265306122405</v>
      </c>
      <c r="P1003" s="26">
        <v>0.98228663446054798</v>
      </c>
      <c r="Q1003" s="26">
        <v>0.98823529411764699</v>
      </c>
      <c r="R1003" s="26">
        <v>0.98378031154649104</v>
      </c>
      <c r="S1003" s="28">
        <v>0.9</v>
      </c>
      <c r="T1003" s="26">
        <v>0.87210884353741502</v>
      </c>
      <c r="U1003" s="26">
        <v>0.87359098228663401</v>
      </c>
      <c r="V1003" s="26">
        <v>0.89607843137254894</v>
      </c>
      <c r="W1003" s="26">
        <v>0.861570579733419</v>
      </c>
      <c r="X1003" s="28">
        <v>0.92</v>
      </c>
      <c r="Y1003" s="28">
        <v>0.773722627737226</v>
      </c>
      <c r="Z1003" s="28">
        <v>0.91346153846153799</v>
      </c>
      <c r="AA1003" s="28">
        <v>0.76649746192893398</v>
      </c>
      <c r="AB1003" s="28">
        <v>0.69329896907216504</v>
      </c>
      <c r="AC1003" s="28">
        <v>0.92</v>
      </c>
      <c r="AD1003" s="26">
        <v>0.99573170731707294</v>
      </c>
      <c r="AE1003" s="26">
        <v>0.946216385240775</v>
      </c>
      <c r="AF1003" s="26">
        <v>0.83171641791044804</v>
      </c>
      <c r="AG1003" s="26">
        <v>0.93039908344472</v>
      </c>
      <c r="AH1003" s="28">
        <v>0.92</v>
      </c>
      <c r="AI1003" s="26">
        <v>0.93638968481375395</v>
      </c>
      <c r="AJ1003" s="26">
        <v>0.95173745173745194</v>
      </c>
      <c r="AK1003" s="26">
        <v>0.908062234794908</v>
      </c>
      <c r="AL1003" s="26">
        <v>0.89988433363320897</v>
      </c>
      <c r="AM1003" s="25">
        <v>0.99</v>
      </c>
      <c r="AN1003" s="30">
        <v>1</v>
      </c>
      <c r="AO1003" s="30">
        <v>1</v>
      </c>
      <c r="AP1003" s="30">
        <v>1</v>
      </c>
      <c r="AQ1003" s="30">
        <v>1</v>
      </c>
      <c r="AR1003" s="50">
        <v>6.5641848892985799E-2</v>
      </c>
      <c r="AS1003" s="34">
        <v>0</v>
      </c>
      <c r="AT1003" s="34">
        <v>0</v>
      </c>
      <c r="AU1003" s="34">
        <v>0</v>
      </c>
      <c r="AV1003" s="34">
        <v>2.1739130434782601E-2</v>
      </c>
      <c r="AW1003" s="10"/>
      <c r="AX1003" s="8"/>
    </row>
    <row r="1004" spans="1:50">
      <c r="A1004" s="7"/>
      <c r="B1004" s="10"/>
      <c r="C1004" s="69" t="s">
        <v>944</v>
      </c>
      <c r="D1004" s="23" t="s">
        <v>23</v>
      </c>
      <c r="E1004" s="70" t="s">
        <v>1048</v>
      </c>
      <c r="F1004" s="71" t="s">
        <v>1048</v>
      </c>
      <c r="G1004" s="71" t="s">
        <v>1048</v>
      </c>
      <c r="H1004" s="71" t="s">
        <v>1048</v>
      </c>
      <c r="I1004" s="25">
        <v>0.9</v>
      </c>
      <c r="J1004" s="26">
        <v>0.93333333333333302</v>
      </c>
      <c r="K1004" s="26">
        <v>0.90322580645161299</v>
      </c>
      <c r="L1004" s="27">
        <v>1</v>
      </c>
      <c r="M1004" s="26">
        <v>0.93975903614457801</v>
      </c>
      <c r="N1004" s="28">
        <v>0.9</v>
      </c>
      <c r="O1004" s="26">
        <v>0.97145822522055003</v>
      </c>
      <c r="P1004" s="26">
        <v>0.97666666666666702</v>
      </c>
      <c r="Q1004" s="26">
        <v>0.97822931785195899</v>
      </c>
      <c r="R1004" s="26">
        <v>0.97271137754464798</v>
      </c>
      <c r="S1004" s="28">
        <v>0.9</v>
      </c>
      <c r="T1004" s="26">
        <v>0.90166061235080397</v>
      </c>
      <c r="U1004" s="26">
        <v>0.91424242424242397</v>
      </c>
      <c r="V1004" s="26">
        <v>0.93033381712626995</v>
      </c>
      <c r="W1004" s="26">
        <v>0.91619832646434396</v>
      </c>
      <c r="X1004" s="28">
        <v>0.92</v>
      </c>
      <c r="Y1004" s="28">
        <v>0.93537964458804501</v>
      </c>
      <c r="Z1004" s="28">
        <v>0.91977401129943503</v>
      </c>
      <c r="AA1004" s="28">
        <v>0.92277227722772304</v>
      </c>
      <c r="AB1004" s="28">
        <v>0.92458246346555295</v>
      </c>
      <c r="AC1004" s="28">
        <v>0.92</v>
      </c>
      <c r="AD1004" s="26">
        <v>0.95571658615136901</v>
      </c>
      <c r="AE1004" s="26">
        <v>0.85409836065573796</v>
      </c>
      <c r="AF1004" s="26">
        <v>0.96984698469846997</v>
      </c>
      <c r="AG1004" s="26">
        <v>0.913208057320535</v>
      </c>
      <c r="AH1004" s="28">
        <v>0.92</v>
      </c>
      <c r="AI1004" s="26">
        <v>0.952380952380952</v>
      </c>
      <c r="AJ1004" s="26">
        <v>0.949116101290014</v>
      </c>
      <c r="AK1004" s="26">
        <v>0.95225464190981401</v>
      </c>
      <c r="AL1004" s="26">
        <v>0.95214828993099299</v>
      </c>
      <c r="AM1004" s="25">
        <v>0.99</v>
      </c>
      <c r="AN1004" s="30">
        <v>1</v>
      </c>
      <c r="AO1004" s="30">
        <v>1</v>
      </c>
      <c r="AP1004" s="30">
        <v>1</v>
      </c>
      <c r="AQ1004" s="30">
        <v>1</v>
      </c>
      <c r="AR1004" s="50">
        <v>6.5641848892985799E-2</v>
      </c>
      <c r="AS1004" s="34">
        <v>2.4390243902439001E-2</v>
      </c>
      <c r="AT1004" s="34">
        <v>-2.9411764705882401E-2</v>
      </c>
      <c r="AU1004" s="34">
        <v>-0.157894736842105</v>
      </c>
      <c r="AV1004" s="34">
        <v>1.8433179723502301E-2</v>
      </c>
      <c r="AW1004" s="10"/>
      <c r="AX1004" s="8"/>
    </row>
    <row r="1005" spans="1:50">
      <c r="A1005" s="7"/>
      <c r="B1005" s="10"/>
      <c r="C1005" s="69" t="s">
        <v>944</v>
      </c>
      <c r="D1005" s="23" t="s">
        <v>23</v>
      </c>
      <c r="E1005" s="70" t="s">
        <v>1049</v>
      </c>
      <c r="F1005" s="71" t="s">
        <v>1049</v>
      </c>
      <c r="G1005" s="71" t="s">
        <v>1049</v>
      </c>
      <c r="H1005" s="71" t="s">
        <v>1049</v>
      </c>
      <c r="I1005" s="25">
        <v>0.9</v>
      </c>
      <c r="J1005" s="26">
        <v>0.875</v>
      </c>
      <c r="K1005" s="26">
        <v>0.9375</v>
      </c>
      <c r="L1005" s="27">
        <v>0.69230769230769196</v>
      </c>
      <c r="M1005" s="26">
        <v>0.83870967741935498</v>
      </c>
      <c r="N1005" s="28">
        <v>0.9</v>
      </c>
      <c r="O1005" s="26">
        <v>0.94871794871794901</v>
      </c>
      <c r="P1005" s="26">
        <v>0.97289156626506001</v>
      </c>
      <c r="Q1005" s="26">
        <v>0.948685857321652</v>
      </c>
      <c r="R1005" s="26">
        <v>0.95630389186669795</v>
      </c>
      <c r="S1005" s="28">
        <v>0.9</v>
      </c>
      <c r="T1005" s="26">
        <v>0.87179487179487203</v>
      </c>
      <c r="U1005" s="26">
        <v>0.93132530120481904</v>
      </c>
      <c r="V1005" s="26">
        <v>0.918648310387985</v>
      </c>
      <c r="W1005" s="26">
        <v>0.907713819622466</v>
      </c>
      <c r="X1005" s="28">
        <v>0.92</v>
      </c>
      <c r="Y1005" s="28">
        <v>0</v>
      </c>
      <c r="Z1005" s="28">
        <v>0</v>
      </c>
      <c r="AA1005" s="28">
        <v>0</v>
      </c>
      <c r="AB1005" s="28">
        <v>0</v>
      </c>
      <c r="AC1005" s="28">
        <v>0.92</v>
      </c>
      <c r="AD1005" s="26">
        <v>0.97975708502024295</v>
      </c>
      <c r="AE1005" s="26">
        <v>0.98648648648648696</v>
      </c>
      <c r="AF1005" s="26">
        <v>0.98319327731092399</v>
      </c>
      <c r="AG1005" s="26">
        <v>0.96904367053620799</v>
      </c>
      <c r="AH1005" s="28">
        <v>0.92</v>
      </c>
      <c r="AI1005" s="26">
        <v>0.94871794871794901</v>
      </c>
      <c r="AJ1005" s="26">
        <v>0.96211665664461798</v>
      </c>
      <c r="AK1005" s="26">
        <v>0.94743429286608305</v>
      </c>
      <c r="AL1005" s="26">
        <v>0.95423314312332597</v>
      </c>
      <c r="AM1005" s="25">
        <v>0.99</v>
      </c>
      <c r="AN1005" s="30">
        <v>1</v>
      </c>
      <c r="AO1005" s="30">
        <v>1</v>
      </c>
      <c r="AP1005" s="30">
        <v>1</v>
      </c>
      <c r="AQ1005" s="30">
        <v>1</v>
      </c>
      <c r="AR1005" s="50">
        <v>6.5641848892985799E-2</v>
      </c>
      <c r="AS1005" s="34">
        <v>0.105263157894737</v>
      </c>
      <c r="AT1005" s="34">
        <v>6.25E-2</v>
      </c>
      <c r="AU1005" s="34">
        <v>0</v>
      </c>
      <c r="AV1005" s="34">
        <v>3.3057851239669402E-2</v>
      </c>
      <c r="AW1005" s="10"/>
      <c r="AX1005" s="8"/>
    </row>
    <row r="1006" spans="1:50">
      <c r="A1006" s="7"/>
      <c r="B1006" s="10"/>
      <c r="C1006" s="69" t="s">
        <v>944</v>
      </c>
      <c r="D1006" s="23" t="s">
        <v>23</v>
      </c>
      <c r="E1006" s="80" t="s">
        <v>1050</v>
      </c>
      <c r="F1006" s="81" t="s">
        <v>1050</v>
      </c>
      <c r="G1006" s="81" t="s">
        <v>1050</v>
      </c>
      <c r="H1006" s="81" t="s">
        <v>1050</v>
      </c>
      <c r="I1006" s="25">
        <v>0.9</v>
      </c>
      <c r="J1006" s="26">
        <v>0.90909090909090895</v>
      </c>
      <c r="K1006" s="26">
        <v>1</v>
      </c>
      <c r="L1006" s="27">
        <v>0.952380952380952</v>
      </c>
      <c r="M1006" s="26">
        <v>0.93984962406015005</v>
      </c>
      <c r="N1006" s="28">
        <v>0.9</v>
      </c>
      <c r="O1006" s="26">
        <v>0.97751277683134596</v>
      </c>
      <c r="P1006" s="26">
        <v>0.98021885521885499</v>
      </c>
      <c r="Q1006" s="26">
        <v>0.97538742023700997</v>
      </c>
      <c r="R1006" s="26">
        <v>0.97594557382360103</v>
      </c>
      <c r="S1006" s="28">
        <v>0.9</v>
      </c>
      <c r="T1006" s="26">
        <v>0.90357751277683096</v>
      </c>
      <c r="U1006" s="26">
        <v>0.93771043771043805</v>
      </c>
      <c r="V1006" s="26">
        <v>0.94804010938924299</v>
      </c>
      <c r="W1006" s="26">
        <v>0.92597392079047502</v>
      </c>
      <c r="X1006" s="28">
        <v>0.92</v>
      </c>
      <c r="Y1006" s="28">
        <v>0.83514099783080298</v>
      </c>
      <c r="Z1006" s="28">
        <v>0.90356083086053396</v>
      </c>
      <c r="AA1006" s="28">
        <v>0.86682808716707005</v>
      </c>
      <c r="AB1006" s="28">
        <v>0.87898936170212805</v>
      </c>
      <c r="AC1006" s="28">
        <v>0.92</v>
      </c>
      <c r="AD1006" s="26">
        <v>0.98824809575625705</v>
      </c>
      <c r="AE1006" s="26">
        <v>0.99106400665004202</v>
      </c>
      <c r="AF1006" s="26">
        <v>0.99171457558336196</v>
      </c>
      <c r="AG1006" s="26">
        <v>0.99062262397566903</v>
      </c>
      <c r="AH1006" s="28">
        <v>0.92</v>
      </c>
      <c r="AI1006" s="26">
        <v>0.93199882249043298</v>
      </c>
      <c r="AJ1006" s="26">
        <v>0.95081967213114704</v>
      </c>
      <c r="AK1006" s="26">
        <v>0.943708609271523</v>
      </c>
      <c r="AL1006" s="26">
        <v>0.94641578227749201</v>
      </c>
      <c r="AM1006" s="25">
        <v>0.99</v>
      </c>
      <c r="AN1006" s="30">
        <v>1</v>
      </c>
      <c r="AO1006" s="30">
        <v>1</v>
      </c>
      <c r="AP1006" s="30">
        <v>1</v>
      </c>
      <c r="AQ1006" s="30">
        <v>0.99896265560165998</v>
      </c>
      <c r="AR1006" s="50">
        <v>6.5641848892985799E-2</v>
      </c>
      <c r="AS1006" s="34">
        <v>0</v>
      </c>
      <c r="AT1006" s="34">
        <v>0.20833333333333301</v>
      </c>
      <c r="AU1006" s="34">
        <v>0</v>
      </c>
      <c r="AV1006" s="34">
        <v>8.9743589743589702E-2</v>
      </c>
      <c r="AW1006" s="10"/>
      <c r="AX1006" s="8"/>
    </row>
    <row r="1007" spans="1:50">
      <c r="A1007" s="7"/>
      <c r="B1007" s="10"/>
      <c r="C1007" s="69" t="s">
        <v>944</v>
      </c>
      <c r="D1007" s="23" t="s">
        <v>23</v>
      </c>
      <c r="E1007" s="70" t="s">
        <v>1051</v>
      </c>
      <c r="F1007" s="71" t="s">
        <v>1051</v>
      </c>
      <c r="G1007" s="71" t="s">
        <v>1051</v>
      </c>
      <c r="H1007" s="71" t="s">
        <v>1051</v>
      </c>
      <c r="I1007" s="25">
        <v>0.9</v>
      </c>
      <c r="J1007" s="26">
        <v>0.76666666666666705</v>
      </c>
      <c r="K1007" s="26">
        <v>0.80645161290322598</v>
      </c>
      <c r="L1007" s="27">
        <v>0.76923076923076905</v>
      </c>
      <c r="M1007" s="26">
        <v>0.79166666666666696</v>
      </c>
      <c r="N1007" s="28">
        <v>0.9</v>
      </c>
      <c r="O1007" s="26">
        <v>0.84341841124175498</v>
      </c>
      <c r="P1007" s="26">
        <v>0.902148760330579</v>
      </c>
      <c r="Q1007" s="26">
        <v>0.936755952380952</v>
      </c>
      <c r="R1007" s="26">
        <v>0.89763779527559096</v>
      </c>
      <c r="S1007" s="28">
        <v>0.9</v>
      </c>
      <c r="T1007" s="26">
        <v>0.81932893604817902</v>
      </c>
      <c r="U1007" s="26">
        <v>0.86909090909090903</v>
      </c>
      <c r="V1007" s="26">
        <v>0.88839285714285698</v>
      </c>
      <c r="W1007" s="26">
        <v>0.83256328496128096</v>
      </c>
      <c r="X1007" s="28">
        <v>0.92</v>
      </c>
      <c r="Y1007" s="28">
        <v>0.83706070287539902</v>
      </c>
      <c r="Z1007" s="28">
        <v>0.857655502392344</v>
      </c>
      <c r="AA1007" s="28">
        <v>0.76029962546816499</v>
      </c>
      <c r="AB1007" s="28">
        <v>0.76008381351492904</v>
      </c>
      <c r="AC1007" s="28">
        <v>0.92</v>
      </c>
      <c r="AD1007" s="26">
        <v>0.98491379310344795</v>
      </c>
      <c r="AE1007" s="26">
        <v>0.79202657807308996</v>
      </c>
      <c r="AF1007" s="26">
        <v>0.90778498609823899</v>
      </c>
      <c r="AG1007" s="26">
        <v>0.88739946380697099</v>
      </c>
      <c r="AH1007" s="28">
        <v>0.92</v>
      </c>
      <c r="AI1007" s="26">
        <v>0.92827619742280598</v>
      </c>
      <c r="AJ1007" s="26">
        <v>0.93319523562920803</v>
      </c>
      <c r="AK1007" s="26">
        <v>0.88977635782747599</v>
      </c>
      <c r="AL1007" s="26">
        <v>0.89383436701933605</v>
      </c>
      <c r="AM1007" s="25">
        <v>0.99</v>
      </c>
      <c r="AN1007" s="30">
        <v>1</v>
      </c>
      <c r="AO1007" s="30">
        <v>1</v>
      </c>
      <c r="AP1007" s="30">
        <v>1</v>
      </c>
      <c r="AQ1007" s="30">
        <v>1</v>
      </c>
      <c r="AR1007" s="50">
        <v>6.5641848892985799E-2</v>
      </c>
      <c r="AS1007" s="34">
        <v>4.5454545454545497E-2</v>
      </c>
      <c r="AT1007" s="34">
        <v>5.7142857142857099E-2</v>
      </c>
      <c r="AU1007" s="34">
        <v>0</v>
      </c>
      <c r="AV1007" s="34">
        <v>3.9408866995073899E-2</v>
      </c>
      <c r="AW1007" s="10"/>
      <c r="AX1007" s="8"/>
    </row>
    <row r="1008" spans="1:50">
      <c r="A1008" s="7"/>
      <c r="B1008" s="10"/>
      <c r="C1008" s="69" t="s">
        <v>944</v>
      </c>
      <c r="D1008" s="23" t="s">
        <v>23</v>
      </c>
      <c r="E1008" s="70" t="s">
        <v>1052</v>
      </c>
      <c r="F1008" s="71" t="s">
        <v>1052</v>
      </c>
      <c r="G1008" s="71" t="s">
        <v>1052</v>
      </c>
      <c r="H1008" s="71" t="s">
        <v>1052</v>
      </c>
      <c r="I1008" s="25">
        <v>0.9</v>
      </c>
      <c r="J1008" s="26">
        <v>0.93548387096774199</v>
      </c>
      <c r="K1008" s="26">
        <v>0.92857142857142905</v>
      </c>
      <c r="L1008" s="27">
        <v>0.91666666666666696</v>
      </c>
      <c r="M1008" s="26">
        <v>0.87898089171974503</v>
      </c>
      <c r="N1008" s="28">
        <v>0.9</v>
      </c>
      <c r="O1008" s="26">
        <v>0.86983050847457599</v>
      </c>
      <c r="P1008" s="26">
        <v>0.90747624948368399</v>
      </c>
      <c r="Q1008" s="26">
        <v>0.98128342245989297</v>
      </c>
      <c r="R1008" s="26">
        <v>0.931888791523939</v>
      </c>
      <c r="S1008" s="28">
        <v>0.9</v>
      </c>
      <c r="T1008" s="26">
        <v>0.83559322033898298</v>
      </c>
      <c r="U1008" s="26">
        <v>0.846757538207352</v>
      </c>
      <c r="V1008" s="26">
        <v>0.82976827094474104</v>
      </c>
      <c r="W1008" s="26">
        <v>0.81629889269497302</v>
      </c>
      <c r="X1008" s="28">
        <v>0.92</v>
      </c>
      <c r="Y1008" s="28">
        <v>0.78039215686274499</v>
      </c>
      <c r="Z1008" s="28">
        <v>0.764542936288089</v>
      </c>
      <c r="AA1008" s="28">
        <v>0.79218106995884796</v>
      </c>
      <c r="AB1008" s="28">
        <v>0.64920634920634901</v>
      </c>
      <c r="AC1008" s="28">
        <v>0.92</v>
      </c>
      <c r="AD1008" s="26">
        <v>0.98995983935743004</v>
      </c>
      <c r="AE1008" s="26">
        <v>0.66666666666666696</v>
      </c>
      <c r="AF1008" s="26">
        <v>0.77857666911225198</v>
      </c>
      <c r="AG1008" s="26">
        <v>0.72438465941614205</v>
      </c>
      <c r="AH1008" s="28">
        <v>0.92</v>
      </c>
      <c r="AI1008" s="26">
        <v>0.91416184971098302</v>
      </c>
      <c r="AJ1008" s="26">
        <v>0.89309576837416504</v>
      </c>
      <c r="AK1008" s="26">
        <v>0.89192546583850896</v>
      </c>
      <c r="AL1008" s="26">
        <v>0.85452346087731601</v>
      </c>
      <c r="AM1008" s="25">
        <v>0.99</v>
      </c>
      <c r="AN1008" s="30">
        <v>1</v>
      </c>
      <c r="AO1008" s="30">
        <v>1</v>
      </c>
      <c r="AP1008" s="30">
        <v>1</v>
      </c>
      <c r="AQ1008" s="30">
        <v>1</v>
      </c>
      <c r="AR1008" s="50">
        <v>6.5641848892985799E-2</v>
      </c>
      <c r="AS1008" s="34">
        <v>2.8571428571428598E-2</v>
      </c>
      <c r="AT1008" s="34">
        <v>2.7777777777777801E-2</v>
      </c>
      <c r="AU1008" s="34">
        <v>0</v>
      </c>
      <c r="AV1008" s="34">
        <v>3.06122448979592E-2</v>
      </c>
      <c r="AW1008" s="10"/>
      <c r="AX1008" s="8"/>
    </row>
    <row r="1009" spans="1:50">
      <c r="A1009" s="7"/>
      <c r="B1009" s="10"/>
      <c r="C1009" s="69" t="s">
        <v>944</v>
      </c>
      <c r="D1009" s="23" t="s">
        <v>23</v>
      </c>
      <c r="E1009" s="70" t="s">
        <v>1053</v>
      </c>
      <c r="F1009" s="71" t="s">
        <v>1053</v>
      </c>
      <c r="G1009" s="71" t="s">
        <v>1053</v>
      </c>
      <c r="H1009" s="71" t="s">
        <v>1053</v>
      </c>
      <c r="I1009" s="25">
        <v>0.9</v>
      </c>
      <c r="J1009" s="26">
        <v>0.8</v>
      </c>
      <c r="K1009" s="26">
        <v>0.85714285714285698</v>
      </c>
      <c r="L1009" s="27">
        <v>0.84615384615384603</v>
      </c>
      <c r="M1009" s="26">
        <v>0.78823529411764703</v>
      </c>
      <c r="N1009" s="28">
        <v>0.9</v>
      </c>
      <c r="O1009" s="26">
        <v>0.83688760806916396</v>
      </c>
      <c r="P1009" s="26">
        <v>0.88909892879647101</v>
      </c>
      <c r="Q1009" s="26">
        <v>0.87464788732394405</v>
      </c>
      <c r="R1009" s="26">
        <v>0.83879884407588901</v>
      </c>
      <c r="S1009" s="28">
        <v>0.9</v>
      </c>
      <c r="T1009" s="26">
        <v>0.87089337175792503</v>
      </c>
      <c r="U1009" s="26">
        <v>0.872715816005041</v>
      </c>
      <c r="V1009" s="26">
        <v>0.88591549295774696</v>
      </c>
      <c r="W1009" s="26">
        <v>0.85312225153913801</v>
      </c>
      <c r="X1009" s="28">
        <v>0.92</v>
      </c>
      <c r="Y1009" s="28">
        <v>0.84848484848484895</v>
      </c>
      <c r="Z1009" s="28">
        <v>0.88019559902200495</v>
      </c>
      <c r="AA1009" s="28">
        <v>0.891891891891892</v>
      </c>
      <c r="AB1009" s="28">
        <v>0.87187187187187198</v>
      </c>
      <c r="AC1009" s="28">
        <v>0.92</v>
      </c>
      <c r="AD1009" s="26">
        <v>0.97202577400597201</v>
      </c>
      <c r="AE1009" s="26">
        <v>0.73821232282325699</v>
      </c>
      <c r="AF1009" s="26">
        <v>0.69907496627481203</v>
      </c>
      <c r="AG1009" s="26">
        <v>0.833997449792796</v>
      </c>
      <c r="AH1009" s="28">
        <v>0.92</v>
      </c>
      <c r="AI1009" s="26">
        <v>0.90217917675544801</v>
      </c>
      <c r="AJ1009" s="26">
        <v>0.91282565130260496</v>
      </c>
      <c r="AK1009" s="26">
        <v>0.93339960238568598</v>
      </c>
      <c r="AL1009" s="26">
        <v>0.90599578186200702</v>
      </c>
      <c r="AM1009" s="25">
        <v>0.99</v>
      </c>
      <c r="AN1009" s="30">
        <v>1</v>
      </c>
      <c r="AO1009" s="30">
        <v>1</v>
      </c>
      <c r="AP1009" s="30">
        <v>1</v>
      </c>
      <c r="AQ1009" s="30">
        <v>1</v>
      </c>
      <c r="AR1009" s="50">
        <v>6.5641848892985799E-2</v>
      </c>
      <c r="AS1009" s="34">
        <v>-3.3333333333333298E-2</v>
      </c>
      <c r="AT1009" s="34">
        <v>-3.5714285714285698E-2</v>
      </c>
      <c r="AU1009" s="34">
        <v>3.8461538461538498E-2</v>
      </c>
      <c r="AV1009" s="34">
        <v>6.2111801242236003E-3</v>
      </c>
      <c r="AW1009" s="10"/>
      <c r="AX1009" s="8"/>
    </row>
    <row r="1010" spans="1:50">
      <c r="A1010" s="7"/>
      <c r="B1010" s="10"/>
      <c r="C1010" s="69" t="s">
        <v>944</v>
      </c>
      <c r="D1010" s="23" t="s">
        <v>23</v>
      </c>
      <c r="E1010" s="70" t="s">
        <v>1054</v>
      </c>
      <c r="F1010" s="71" t="s">
        <v>1054</v>
      </c>
      <c r="G1010" s="71" t="s">
        <v>1054</v>
      </c>
      <c r="H1010" s="71" t="s">
        <v>1054</v>
      </c>
      <c r="I1010" s="25">
        <v>0.9</v>
      </c>
      <c r="J1010" s="26">
        <v>0.625</v>
      </c>
      <c r="K1010" s="26">
        <v>0.88888888888888895</v>
      </c>
      <c r="L1010" s="27">
        <v>0.875</v>
      </c>
      <c r="M1010" s="26">
        <v>0.75510204081632604</v>
      </c>
      <c r="N1010" s="28">
        <v>0.9</v>
      </c>
      <c r="O1010" s="26">
        <v>0.30357142857142899</v>
      </c>
      <c r="P1010" s="26">
        <v>0.44541484716157198</v>
      </c>
      <c r="Q1010" s="26">
        <v>0.206349206349206</v>
      </c>
      <c r="R1010" s="26">
        <v>0.53220779220779202</v>
      </c>
      <c r="S1010" s="28">
        <v>0.9</v>
      </c>
      <c r="T1010" s="26">
        <v>0.80580357142857095</v>
      </c>
      <c r="U1010" s="26">
        <v>0.83842794759825301</v>
      </c>
      <c r="V1010" s="26">
        <v>0.89947089947089898</v>
      </c>
      <c r="W1010" s="26">
        <v>0.84103896103896103</v>
      </c>
      <c r="X1010" s="28">
        <v>0.92</v>
      </c>
      <c r="Y1010" s="28">
        <v>0</v>
      </c>
      <c r="Z1010" s="28">
        <v>0</v>
      </c>
      <c r="AA1010" s="28">
        <v>0</v>
      </c>
      <c r="AB1010" s="28">
        <v>0</v>
      </c>
      <c r="AC1010" s="28">
        <v>0.92</v>
      </c>
      <c r="AD1010" s="26">
        <v>1</v>
      </c>
      <c r="AE1010" s="26">
        <v>0.94</v>
      </c>
      <c r="AF1010" s="26">
        <v>0.88235294117647101</v>
      </c>
      <c r="AG1010" s="26">
        <v>0.887820512820513</v>
      </c>
      <c r="AH1010" s="28">
        <v>0.92</v>
      </c>
      <c r="AI1010" s="26">
        <v>0.9375</v>
      </c>
      <c r="AJ1010" s="26">
        <v>0.97379912663755497</v>
      </c>
      <c r="AK1010" s="26">
        <v>0.96825396825396803</v>
      </c>
      <c r="AL1010" s="26">
        <v>0.938961038961039</v>
      </c>
      <c r="AM1010" s="25">
        <v>0.99</v>
      </c>
      <c r="AN1010" s="30">
        <v>1</v>
      </c>
      <c r="AO1010" s="30">
        <v>0</v>
      </c>
      <c r="AP1010" s="30">
        <v>1</v>
      </c>
      <c r="AQ1010" s="30">
        <v>1</v>
      </c>
      <c r="AR1010" s="50">
        <v>6.5641848892985799E-2</v>
      </c>
      <c r="AS1010" s="34">
        <v>0</v>
      </c>
      <c r="AT1010" s="34">
        <v>0</v>
      </c>
      <c r="AU1010" s="34">
        <v>0</v>
      </c>
      <c r="AV1010" s="34">
        <v>0</v>
      </c>
      <c r="AW1010" s="10"/>
      <c r="AX1010" s="8"/>
    </row>
    <row r="1011" spans="1:50">
      <c r="A1011" s="7"/>
      <c r="B1011" s="10"/>
      <c r="C1011" s="69" t="s">
        <v>944</v>
      </c>
      <c r="D1011" s="23" t="s">
        <v>23</v>
      </c>
      <c r="E1011" s="72" t="s">
        <v>1055</v>
      </c>
      <c r="F1011" s="73" t="s">
        <v>1055</v>
      </c>
      <c r="G1011" s="73" t="s">
        <v>1055</v>
      </c>
      <c r="H1011" s="73" t="s">
        <v>1055</v>
      </c>
      <c r="I1011" s="25">
        <v>0.9</v>
      </c>
      <c r="J1011" s="26">
        <v>0.88</v>
      </c>
      <c r="K1011" s="26">
        <v>0.85714285714285698</v>
      </c>
      <c r="L1011" s="27">
        <v>0.86363636363636398</v>
      </c>
      <c r="M1011" s="26">
        <v>0.84722222222222199</v>
      </c>
      <c r="N1011" s="28">
        <v>0.9</v>
      </c>
      <c r="O1011" s="26">
        <v>0.97638004246284504</v>
      </c>
      <c r="P1011" s="26">
        <v>0.97916666666666696</v>
      </c>
      <c r="Q1011" s="26">
        <v>0.97019374068554398</v>
      </c>
      <c r="R1011" s="26">
        <v>0.92177057083378999</v>
      </c>
      <c r="S1011" s="28">
        <v>0.9</v>
      </c>
      <c r="T1011" s="26">
        <v>0.89251592356687903</v>
      </c>
      <c r="U1011" s="26">
        <v>0.91145833333333304</v>
      </c>
      <c r="V1011" s="26">
        <v>0.93641331346249401</v>
      </c>
      <c r="W1011" s="26">
        <v>0.88605237208283105</v>
      </c>
      <c r="X1011" s="28">
        <v>0.92</v>
      </c>
      <c r="Y1011" s="28">
        <v>0.95118343195266297</v>
      </c>
      <c r="Z1011" s="28">
        <v>0.95142555438225995</v>
      </c>
      <c r="AA1011" s="28">
        <v>0.96008403361344496</v>
      </c>
      <c r="AB1011" s="28">
        <v>0.934230573895378</v>
      </c>
      <c r="AC1011" s="28">
        <v>0.92</v>
      </c>
      <c r="AD1011" s="26">
        <v>0.99835782559265696</v>
      </c>
      <c r="AE1011" s="26">
        <v>0.99338699316026102</v>
      </c>
      <c r="AF1011" s="26">
        <v>0.99589343288647503</v>
      </c>
      <c r="AG1011" s="26">
        <v>0.99636835115589695</v>
      </c>
      <c r="AH1011" s="28">
        <v>0.92</v>
      </c>
      <c r="AI1011" s="26">
        <v>0.96336255338278298</v>
      </c>
      <c r="AJ1011" s="26">
        <v>0.96738421395955598</v>
      </c>
      <c r="AK1011" s="26">
        <v>0.97071693032648898</v>
      </c>
      <c r="AL1011" s="26">
        <v>0.95508146547844097</v>
      </c>
      <c r="AM1011" s="25">
        <v>0.99</v>
      </c>
      <c r="AN1011" s="30">
        <v>1</v>
      </c>
      <c r="AO1011" s="30">
        <v>1</v>
      </c>
      <c r="AP1011" s="30">
        <v>1</v>
      </c>
      <c r="AQ1011" s="30">
        <v>1</v>
      </c>
      <c r="AR1011" s="50">
        <v>6.5641848892985799E-2</v>
      </c>
      <c r="AS1011" s="34">
        <v>3.5714285714285698E-2</v>
      </c>
      <c r="AT1011" s="34">
        <v>3.3333333333333298E-2</v>
      </c>
      <c r="AU1011" s="34">
        <v>0</v>
      </c>
      <c r="AV1011" s="34">
        <v>3.2679738562091498E-2</v>
      </c>
      <c r="AW1011" s="10"/>
      <c r="AX1011" s="8"/>
    </row>
    <row r="1012" spans="1:50">
      <c r="A1012" s="7"/>
      <c r="B1012" s="10"/>
      <c r="C1012" s="69" t="s">
        <v>944</v>
      </c>
      <c r="D1012" s="23" t="s">
        <v>23</v>
      </c>
      <c r="E1012" s="72" t="s">
        <v>1056</v>
      </c>
      <c r="F1012" s="73" t="s">
        <v>1056</v>
      </c>
      <c r="G1012" s="73" t="s">
        <v>1056</v>
      </c>
      <c r="H1012" s="73" t="s">
        <v>1056</v>
      </c>
      <c r="I1012" s="25">
        <v>0.9</v>
      </c>
      <c r="J1012" s="26">
        <v>0</v>
      </c>
      <c r="K1012" s="26">
        <v>0</v>
      </c>
      <c r="L1012" s="27">
        <v>0</v>
      </c>
      <c r="M1012" s="26">
        <v>0</v>
      </c>
      <c r="N1012" s="28">
        <v>0.9</v>
      </c>
      <c r="O1012" s="26">
        <v>0</v>
      </c>
      <c r="P1012" s="26">
        <v>0</v>
      </c>
      <c r="Q1012" s="26">
        <v>0</v>
      </c>
      <c r="R1012" s="26">
        <v>0</v>
      </c>
      <c r="S1012" s="28">
        <v>0.9</v>
      </c>
      <c r="T1012" s="26">
        <v>0</v>
      </c>
      <c r="U1012" s="26">
        <v>0</v>
      </c>
      <c r="V1012" s="26">
        <v>0</v>
      </c>
      <c r="W1012" s="26">
        <v>0</v>
      </c>
      <c r="X1012" s="28">
        <v>0.92</v>
      </c>
      <c r="Y1012" s="28">
        <v>0</v>
      </c>
      <c r="Z1012" s="28">
        <v>0</v>
      </c>
      <c r="AA1012" s="28">
        <v>0</v>
      </c>
      <c r="AB1012" s="28">
        <v>0</v>
      </c>
      <c r="AC1012" s="28">
        <v>0.92</v>
      </c>
      <c r="AD1012" s="26">
        <v>0</v>
      </c>
      <c r="AE1012" s="26">
        <v>0</v>
      </c>
      <c r="AF1012" s="26">
        <v>0</v>
      </c>
      <c r="AG1012" s="26">
        <v>0</v>
      </c>
      <c r="AH1012" s="28">
        <v>0.92</v>
      </c>
      <c r="AI1012" s="26">
        <v>0</v>
      </c>
      <c r="AJ1012" s="26">
        <v>0</v>
      </c>
      <c r="AK1012" s="26">
        <v>0</v>
      </c>
      <c r="AL1012" s="26">
        <v>0</v>
      </c>
      <c r="AM1012" s="25">
        <v>0.99</v>
      </c>
      <c r="AN1012" s="30">
        <v>0</v>
      </c>
      <c r="AO1012" s="30">
        <v>0</v>
      </c>
      <c r="AP1012" s="30">
        <v>0</v>
      </c>
      <c r="AQ1012" s="30">
        <v>0</v>
      </c>
      <c r="AR1012" s="50">
        <v>6.5641848892985799E-2</v>
      </c>
      <c r="AS1012" s="34">
        <v>0</v>
      </c>
      <c r="AT1012" s="34">
        <v>0</v>
      </c>
      <c r="AU1012" s="34">
        <v>0</v>
      </c>
      <c r="AV1012" s="34">
        <v>0</v>
      </c>
      <c r="AW1012" s="10"/>
      <c r="AX1012" s="8"/>
    </row>
    <row r="1013" spans="1:50">
      <c r="A1013" s="7"/>
      <c r="B1013" s="10"/>
      <c r="C1013" s="69" t="s">
        <v>944</v>
      </c>
      <c r="D1013" s="23" t="s">
        <v>23</v>
      </c>
      <c r="E1013" s="74" t="s">
        <v>1057</v>
      </c>
      <c r="F1013" s="75" t="s">
        <v>1057</v>
      </c>
      <c r="G1013" s="75" t="s">
        <v>1057</v>
      </c>
      <c r="H1013" s="75" t="s">
        <v>1057</v>
      </c>
      <c r="I1013" s="25">
        <v>0.9</v>
      </c>
      <c r="J1013" s="26">
        <v>0</v>
      </c>
      <c r="K1013" s="26">
        <v>0</v>
      </c>
      <c r="L1013" s="27">
        <v>0</v>
      </c>
      <c r="M1013" s="26">
        <v>0</v>
      </c>
      <c r="N1013" s="28">
        <v>0.9</v>
      </c>
      <c r="O1013" s="26">
        <v>0</v>
      </c>
      <c r="P1013" s="26">
        <v>0</v>
      </c>
      <c r="Q1013" s="26">
        <v>0</v>
      </c>
      <c r="R1013" s="26">
        <v>0</v>
      </c>
      <c r="S1013" s="28">
        <v>0.9</v>
      </c>
      <c r="T1013" s="26">
        <v>1</v>
      </c>
      <c r="U1013" s="26">
        <v>0</v>
      </c>
      <c r="V1013" s="26">
        <v>0</v>
      </c>
      <c r="W1013" s="26">
        <v>1</v>
      </c>
      <c r="X1013" s="28">
        <v>0.92</v>
      </c>
      <c r="Y1013" s="28">
        <v>0</v>
      </c>
      <c r="Z1013" s="28">
        <v>0</v>
      </c>
      <c r="AA1013" s="28">
        <v>0</v>
      </c>
      <c r="AB1013" s="28">
        <v>0</v>
      </c>
      <c r="AC1013" s="28">
        <v>0.92</v>
      </c>
      <c r="AD1013" s="26">
        <v>0.99242424242424199</v>
      </c>
      <c r="AE1013" s="26">
        <v>0.96901408450704196</v>
      </c>
      <c r="AF1013" s="26">
        <v>0.99555555555555597</v>
      </c>
      <c r="AG1013" s="26">
        <v>0.99093655589123897</v>
      </c>
      <c r="AH1013" s="28">
        <v>0.92</v>
      </c>
      <c r="AI1013" s="26">
        <v>1</v>
      </c>
      <c r="AJ1013" s="26">
        <v>0</v>
      </c>
      <c r="AK1013" s="26">
        <v>0</v>
      </c>
      <c r="AL1013" s="26">
        <v>1</v>
      </c>
      <c r="AM1013" s="25">
        <v>0.99</v>
      </c>
      <c r="AN1013" s="30">
        <v>1</v>
      </c>
      <c r="AO1013" s="30">
        <v>0</v>
      </c>
      <c r="AP1013" s="30">
        <v>0</v>
      </c>
      <c r="AQ1013" s="30">
        <v>1</v>
      </c>
      <c r="AR1013" s="50">
        <v>6.5641848892985799E-2</v>
      </c>
      <c r="AS1013" s="34">
        <v>0</v>
      </c>
      <c r="AT1013" s="34">
        <v>0</v>
      </c>
      <c r="AU1013" s="34">
        <v>0</v>
      </c>
      <c r="AV1013" s="34">
        <v>0</v>
      </c>
      <c r="AW1013" s="10"/>
      <c r="AX1013" s="8"/>
    </row>
    <row r="1014" spans="1:50">
      <c r="A1014" s="7"/>
      <c r="B1014" s="10"/>
      <c r="C1014" s="69" t="s">
        <v>944</v>
      </c>
      <c r="D1014" s="23" t="s">
        <v>23</v>
      </c>
      <c r="E1014" s="74" t="s">
        <v>1058</v>
      </c>
      <c r="F1014" s="75" t="s">
        <v>1058</v>
      </c>
      <c r="G1014" s="75" t="s">
        <v>1058</v>
      </c>
      <c r="H1014" s="75" t="s">
        <v>1058</v>
      </c>
      <c r="I1014" s="25">
        <v>0.9</v>
      </c>
      <c r="J1014" s="26">
        <v>0</v>
      </c>
      <c r="K1014" s="26">
        <v>0</v>
      </c>
      <c r="L1014" s="27">
        <v>0</v>
      </c>
      <c r="M1014" s="26">
        <v>0</v>
      </c>
      <c r="N1014" s="28">
        <v>0.9</v>
      </c>
      <c r="O1014" s="26">
        <v>0</v>
      </c>
      <c r="P1014" s="26">
        <v>0</v>
      </c>
      <c r="Q1014" s="26">
        <v>0</v>
      </c>
      <c r="R1014" s="26">
        <v>0</v>
      </c>
      <c r="S1014" s="28">
        <v>0.9</v>
      </c>
      <c r="T1014" s="26">
        <v>0</v>
      </c>
      <c r="U1014" s="26">
        <v>0</v>
      </c>
      <c r="V1014" s="26">
        <v>0</v>
      </c>
      <c r="W1014" s="26">
        <v>0</v>
      </c>
      <c r="X1014" s="28">
        <v>0.92</v>
      </c>
      <c r="Y1014" s="28">
        <v>0</v>
      </c>
      <c r="Z1014" s="28">
        <v>0</v>
      </c>
      <c r="AA1014" s="28">
        <v>0</v>
      </c>
      <c r="AB1014" s="28">
        <v>0</v>
      </c>
      <c r="AC1014" s="28">
        <v>0.92</v>
      </c>
      <c r="AD1014" s="26">
        <v>1</v>
      </c>
      <c r="AE1014" s="26">
        <v>0.99748743718593003</v>
      </c>
      <c r="AF1014" s="26">
        <v>1</v>
      </c>
      <c r="AG1014" s="26">
        <v>0.99954730647351697</v>
      </c>
      <c r="AH1014" s="28">
        <v>0.92</v>
      </c>
      <c r="AI1014" s="26">
        <v>0</v>
      </c>
      <c r="AJ1014" s="26">
        <v>0</v>
      </c>
      <c r="AK1014" s="26">
        <v>0</v>
      </c>
      <c r="AL1014" s="26">
        <v>0</v>
      </c>
      <c r="AM1014" s="25">
        <v>0.99</v>
      </c>
      <c r="AN1014" s="30">
        <v>1</v>
      </c>
      <c r="AO1014" s="30">
        <v>1</v>
      </c>
      <c r="AP1014" s="30">
        <v>1</v>
      </c>
      <c r="AQ1014" s="30">
        <v>1</v>
      </c>
      <c r="AR1014" s="50">
        <v>6.5641848892985799E-2</v>
      </c>
      <c r="AS1014" s="34">
        <v>0</v>
      </c>
      <c r="AT1014" s="34">
        <v>0</v>
      </c>
      <c r="AU1014" s="34">
        <v>0</v>
      </c>
      <c r="AV1014" s="34">
        <v>0</v>
      </c>
      <c r="AW1014" s="10"/>
      <c r="AX1014" s="8"/>
    </row>
    <row r="1015" spans="1:50">
      <c r="A1015" s="7"/>
      <c r="B1015" s="10"/>
      <c r="C1015" s="69" t="s">
        <v>944</v>
      </c>
      <c r="D1015" s="23" t="s">
        <v>23</v>
      </c>
      <c r="E1015" s="72" t="s">
        <v>1059</v>
      </c>
      <c r="F1015" s="73" t="s">
        <v>1059</v>
      </c>
      <c r="G1015" s="73" t="s">
        <v>1059</v>
      </c>
      <c r="H1015" s="73" t="s">
        <v>1059</v>
      </c>
      <c r="I1015" s="25">
        <v>0.9</v>
      </c>
      <c r="J1015" s="26">
        <v>0.95454545454545503</v>
      </c>
      <c r="K1015" s="26">
        <v>0.88888888888888895</v>
      </c>
      <c r="L1015" s="27">
        <v>0.82857142857142896</v>
      </c>
      <c r="M1015" s="26">
        <v>0.86147186147186094</v>
      </c>
      <c r="N1015" s="28">
        <v>0.9</v>
      </c>
      <c r="O1015" s="26">
        <v>0.95803586975448396</v>
      </c>
      <c r="P1015" s="26">
        <v>0.82052076875387503</v>
      </c>
      <c r="Q1015" s="26">
        <v>0.93081761006289299</v>
      </c>
      <c r="R1015" s="26">
        <v>0.86596493626328597</v>
      </c>
      <c r="S1015" s="28">
        <v>0.9</v>
      </c>
      <c r="T1015" s="26">
        <v>0.91276336409542003</v>
      </c>
      <c r="U1015" s="26">
        <v>0.90452572845629298</v>
      </c>
      <c r="V1015" s="26">
        <v>0.93379675604104595</v>
      </c>
      <c r="W1015" s="26">
        <v>0.87799460032124699</v>
      </c>
      <c r="X1015" s="28">
        <v>0.92</v>
      </c>
      <c r="Y1015" s="28">
        <v>0.91269126912691301</v>
      </c>
      <c r="Z1015" s="28">
        <v>0.92575558475689901</v>
      </c>
      <c r="AA1015" s="28">
        <v>0.90125173852573004</v>
      </c>
      <c r="AB1015" s="28">
        <v>0.89560610782175099</v>
      </c>
      <c r="AC1015" s="28">
        <v>0.92</v>
      </c>
      <c r="AD1015" s="26">
        <v>0.99717753316398505</v>
      </c>
      <c r="AE1015" s="26">
        <v>0.99283547079370704</v>
      </c>
      <c r="AF1015" s="26">
        <v>0.99343490882871899</v>
      </c>
      <c r="AG1015" s="26">
        <v>0.98996314421031395</v>
      </c>
      <c r="AH1015" s="28">
        <v>0.92</v>
      </c>
      <c r="AI1015" s="26">
        <v>0.95522170361726999</v>
      </c>
      <c r="AJ1015" s="26">
        <v>0.95662529773097704</v>
      </c>
      <c r="AK1015" s="26">
        <v>0.94417040358744397</v>
      </c>
      <c r="AL1015" s="26">
        <v>0.94099352778011303</v>
      </c>
      <c r="AM1015" s="25">
        <v>0.99</v>
      </c>
      <c r="AN1015" s="30">
        <v>1</v>
      </c>
      <c r="AO1015" s="30">
        <v>1</v>
      </c>
      <c r="AP1015" s="30">
        <v>1</v>
      </c>
      <c r="AQ1015" s="30">
        <v>1</v>
      </c>
      <c r="AR1015" s="50">
        <v>6.5641848892985799E-2</v>
      </c>
      <c r="AS1015" s="34">
        <v>0.102564102564103</v>
      </c>
      <c r="AT1015" s="34">
        <v>0.133333333333333</v>
      </c>
      <c r="AU1015" s="34">
        <v>0.15</v>
      </c>
      <c r="AV1015" s="34">
        <v>8.0808080808080801E-2</v>
      </c>
      <c r="AW1015" s="10"/>
      <c r="AX1015" s="8"/>
    </row>
    <row r="1016" spans="1:50">
      <c r="A1016" s="7"/>
      <c r="B1016" s="10"/>
      <c r="C1016" s="69" t="s">
        <v>944</v>
      </c>
      <c r="D1016" s="23" t="s">
        <v>23</v>
      </c>
      <c r="E1016" s="74" t="s">
        <v>1060</v>
      </c>
      <c r="F1016" s="75" t="s">
        <v>1060</v>
      </c>
      <c r="G1016" s="75" t="s">
        <v>1060</v>
      </c>
      <c r="H1016" s="75" t="s">
        <v>1060</v>
      </c>
      <c r="I1016" s="25">
        <v>0.9</v>
      </c>
      <c r="J1016" s="26">
        <v>0</v>
      </c>
      <c r="K1016" s="26">
        <v>0</v>
      </c>
      <c r="L1016" s="27">
        <v>0</v>
      </c>
      <c r="M1016" s="26">
        <v>0</v>
      </c>
      <c r="N1016" s="28">
        <v>0.9</v>
      </c>
      <c r="O1016" s="26">
        <v>0</v>
      </c>
      <c r="P1016" s="26">
        <v>0</v>
      </c>
      <c r="Q1016" s="26">
        <v>0</v>
      </c>
      <c r="R1016" s="26">
        <v>0</v>
      </c>
      <c r="S1016" s="28">
        <v>0.9</v>
      </c>
      <c r="T1016" s="26">
        <v>0</v>
      </c>
      <c r="U1016" s="26">
        <v>0</v>
      </c>
      <c r="V1016" s="26">
        <v>0</v>
      </c>
      <c r="W1016" s="26">
        <v>0</v>
      </c>
      <c r="X1016" s="28">
        <v>0.92</v>
      </c>
      <c r="Y1016" s="28">
        <v>0</v>
      </c>
      <c r="Z1016" s="28">
        <v>0</v>
      </c>
      <c r="AA1016" s="28">
        <v>0</v>
      </c>
      <c r="AB1016" s="28">
        <v>0</v>
      </c>
      <c r="AC1016" s="28">
        <v>0.92</v>
      </c>
      <c r="AD1016" s="26">
        <v>1</v>
      </c>
      <c r="AE1016" s="26">
        <v>1</v>
      </c>
      <c r="AF1016" s="26">
        <v>1</v>
      </c>
      <c r="AG1016" s="26">
        <v>1</v>
      </c>
      <c r="AH1016" s="28">
        <v>0.92</v>
      </c>
      <c r="AI1016" s="26">
        <v>0</v>
      </c>
      <c r="AJ1016" s="26">
        <v>0</v>
      </c>
      <c r="AK1016" s="26">
        <v>0</v>
      </c>
      <c r="AL1016" s="26">
        <v>0</v>
      </c>
      <c r="AM1016" s="25">
        <v>0.99</v>
      </c>
      <c r="AN1016" s="30">
        <v>1</v>
      </c>
      <c r="AO1016" s="30">
        <v>1</v>
      </c>
      <c r="AP1016" s="30">
        <v>1</v>
      </c>
      <c r="AQ1016" s="30">
        <v>1</v>
      </c>
      <c r="AR1016" s="50">
        <v>6.5641848892985799E-2</v>
      </c>
      <c r="AS1016" s="34">
        <v>0</v>
      </c>
      <c r="AT1016" s="34">
        <v>0</v>
      </c>
      <c r="AU1016" s="34">
        <v>0</v>
      </c>
      <c r="AV1016" s="34">
        <v>0</v>
      </c>
      <c r="AW1016" s="10"/>
      <c r="AX1016" s="8"/>
    </row>
    <row r="1017" spans="1:50">
      <c r="A1017" s="7"/>
      <c r="B1017" s="10"/>
      <c r="C1017" s="69" t="s">
        <v>944</v>
      </c>
      <c r="D1017" s="23" t="s">
        <v>23</v>
      </c>
      <c r="E1017" s="74" t="s">
        <v>1061</v>
      </c>
      <c r="F1017" s="75" t="s">
        <v>1061</v>
      </c>
      <c r="G1017" s="75" t="s">
        <v>1061</v>
      </c>
      <c r="H1017" s="75" t="s">
        <v>1061</v>
      </c>
      <c r="I1017" s="25">
        <v>0.9</v>
      </c>
      <c r="J1017" s="26">
        <v>0.94444444444444398</v>
      </c>
      <c r="K1017" s="26">
        <v>0.94594594594594605</v>
      </c>
      <c r="L1017" s="27">
        <v>0.96428571428571397</v>
      </c>
      <c r="M1017" s="26">
        <v>0.91145833333333304</v>
      </c>
      <c r="N1017" s="28">
        <v>0.9</v>
      </c>
      <c r="O1017" s="26">
        <v>0.88754628727343599</v>
      </c>
      <c r="P1017" s="26">
        <v>0.95040593010942498</v>
      </c>
      <c r="Q1017" s="26">
        <v>0.94754589733982797</v>
      </c>
      <c r="R1017" s="26">
        <v>0.91424044365220802</v>
      </c>
      <c r="S1017" s="28">
        <v>0.9</v>
      </c>
      <c r="T1017" s="26">
        <v>0.92126291171311603</v>
      </c>
      <c r="U1017" s="26">
        <v>0.92869749382280298</v>
      </c>
      <c r="V1017" s="26">
        <v>0.93068565005620096</v>
      </c>
      <c r="W1017" s="26">
        <v>0.90215884333531404</v>
      </c>
      <c r="X1017" s="28">
        <v>0.92</v>
      </c>
      <c r="Y1017" s="28">
        <v>0.85615079365079405</v>
      </c>
      <c r="Z1017" s="28">
        <v>0.89452495974235102</v>
      </c>
      <c r="AA1017" s="28">
        <v>0.890866873065015</v>
      </c>
      <c r="AB1017" s="28">
        <v>0.840659340659341</v>
      </c>
      <c r="AC1017" s="28">
        <v>0.92</v>
      </c>
      <c r="AD1017" s="26">
        <v>0.98929025231439505</v>
      </c>
      <c r="AE1017" s="26">
        <v>0.97117391549613596</v>
      </c>
      <c r="AF1017" s="26">
        <v>0.998096717809283</v>
      </c>
      <c r="AG1017" s="26">
        <v>0.95139972942033502</v>
      </c>
      <c r="AH1017" s="28">
        <v>0.92</v>
      </c>
      <c r="AI1017" s="26">
        <v>0.93806892067620296</v>
      </c>
      <c r="AJ1017" s="26">
        <v>0.95376390694986302</v>
      </c>
      <c r="AK1017" s="26">
        <v>0.94012578616352205</v>
      </c>
      <c r="AL1017" s="26">
        <v>0.93538272562710101</v>
      </c>
      <c r="AM1017" s="25">
        <v>0.99</v>
      </c>
      <c r="AN1017" s="30">
        <v>1</v>
      </c>
      <c r="AO1017" s="30">
        <v>1</v>
      </c>
      <c r="AP1017" s="30">
        <v>1</v>
      </c>
      <c r="AQ1017" s="30">
        <v>1</v>
      </c>
      <c r="AR1017" s="50">
        <v>6.5641848892985799E-2</v>
      </c>
      <c r="AS1017" s="34">
        <v>2.7027027027027001E-2</v>
      </c>
      <c r="AT1017" s="34">
        <v>5.7142857142857099E-2</v>
      </c>
      <c r="AU1017" s="34">
        <v>6.8965517241379296E-2</v>
      </c>
      <c r="AV1017" s="34">
        <v>8.5561497326203204E-2</v>
      </c>
      <c r="AW1017" s="10"/>
      <c r="AX1017" s="8"/>
    </row>
    <row r="1018" spans="1:50">
      <c r="A1018" s="7"/>
      <c r="B1018" s="10"/>
      <c r="C1018" s="69" t="s">
        <v>944</v>
      </c>
      <c r="D1018" s="23" t="s">
        <v>23</v>
      </c>
      <c r="E1018" s="74" t="s">
        <v>1062</v>
      </c>
      <c r="F1018" s="75" t="s">
        <v>1062</v>
      </c>
      <c r="G1018" s="75" t="s">
        <v>1062</v>
      </c>
      <c r="H1018" s="75" t="s">
        <v>1062</v>
      </c>
      <c r="I1018" s="25">
        <v>0.9</v>
      </c>
      <c r="J1018" s="26">
        <v>0</v>
      </c>
      <c r="K1018" s="26">
        <v>0</v>
      </c>
      <c r="L1018" s="27">
        <v>0</v>
      </c>
      <c r="M1018" s="26">
        <v>0</v>
      </c>
      <c r="N1018" s="28">
        <v>0.9</v>
      </c>
      <c r="O1018" s="26">
        <v>0</v>
      </c>
      <c r="P1018" s="26">
        <v>0</v>
      </c>
      <c r="Q1018" s="26">
        <v>0</v>
      </c>
      <c r="R1018" s="26">
        <v>0</v>
      </c>
      <c r="S1018" s="28">
        <v>0.9</v>
      </c>
      <c r="T1018" s="26">
        <v>0</v>
      </c>
      <c r="U1018" s="26">
        <v>0</v>
      </c>
      <c r="V1018" s="26">
        <v>0</v>
      </c>
      <c r="W1018" s="26">
        <v>1</v>
      </c>
      <c r="X1018" s="28">
        <v>0.92</v>
      </c>
      <c r="Y1018" s="28">
        <v>0</v>
      </c>
      <c r="Z1018" s="28">
        <v>0</v>
      </c>
      <c r="AA1018" s="28">
        <v>0</v>
      </c>
      <c r="AB1018" s="28">
        <v>1</v>
      </c>
      <c r="AC1018" s="28">
        <v>0.92</v>
      </c>
      <c r="AD1018" s="26">
        <v>0.99747474747474796</v>
      </c>
      <c r="AE1018" s="26">
        <v>1</v>
      </c>
      <c r="AF1018" s="26">
        <v>0.99755501222493903</v>
      </c>
      <c r="AG1018" s="26">
        <v>0.99903288201160501</v>
      </c>
      <c r="AH1018" s="28">
        <v>0.92</v>
      </c>
      <c r="AI1018" s="26">
        <v>0</v>
      </c>
      <c r="AJ1018" s="26">
        <v>0</v>
      </c>
      <c r="AK1018" s="26">
        <v>0</v>
      </c>
      <c r="AL1018" s="26">
        <v>1</v>
      </c>
      <c r="AM1018" s="25">
        <v>0.99</v>
      </c>
      <c r="AN1018" s="30">
        <v>1</v>
      </c>
      <c r="AO1018" s="30">
        <v>1</v>
      </c>
      <c r="AP1018" s="30">
        <v>1</v>
      </c>
      <c r="AQ1018" s="30">
        <v>1</v>
      </c>
      <c r="AR1018" s="50">
        <v>6.5641848892985799E-2</v>
      </c>
      <c r="AS1018" s="34">
        <v>0</v>
      </c>
      <c r="AT1018" s="34">
        <v>0</v>
      </c>
      <c r="AU1018" s="34">
        <v>0</v>
      </c>
      <c r="AV1018" s="34">
        <v>0</v>
      </c>
      <c r="AW1018" s="10"/>
      <c r="AX1018" s="8"/>
    </row>
    <row r="1019" spans="1:50">
      <c r="A1019" s="7"/>
      <c r="B1019" s="10"/>
      <c r="C1019" s="69" t="s">
        <v>944</v>
      </c>
      <c r="D1019" s="23" t="s">
        <v>23</v>
      </c>
      <c r="E1019" s="74" t="s">
        <v>1063</v>
      </c>
      <c r="F1019" s="75" t="s">
        <v>1063</v>
      </c>
      <c r="G1019" s="75" t="s">
        <v>1063</v>
      </c>
      <c r="H1019" s="75" t="s">
        <v>1063</v>
      </c>
      <c r="I1019" s="25">
        <v>0.9</v>
      </c>
      <c r="J1019" s="26">
        <v>0</v>
      </c>
      <c r="K1019" s="26">
        <v>0</v>
      </c>
      <c r="L1019" s="27">
        <v>0</v>
      </c>
      <c r="M1019" s="26">
        <v>0</v>
      </c>
      <c r="N1019" s="28">
        <v>0.9</v>
      </c>
      <c r="O1019" s="26">
        <v>0</v>
      </c>
      <c r="P1019" s="26">
        <v>0</v>
      </c>
      <c r="Q1019" s="26">
        <v>0</v>
      </c>
      <c r="R1019" s="26">
        <v>0</v>
      </c>
      <c r="S1019" s="28">
        <v>0.9</v>
      </c>
      <c r="T1019" s="26">
        <v>0</v>
      </c>
      <c r="U1019" s="26">
        <v>0</v>
      </c>
      <c r="V1019" s="26">
        <v>1</v>
      </c>
      <c r="W1019" s="26">
        <v>1</v>
      </c>
      <c r="X1019" s="28">
        <v>0.92</v>
      </c>
      <c r="Y1019" s="28">
        <v>0</v>
      </c>
      <c r="Z1019" s="28">
        <v>0</v>
      </c>
      <c r="AA1019" s="28">
        <v>0</v>
      </c>
      <c r="AB1019" s="28">
        <v>0</v>
      </c>
      <c r="AC1019" s="28">
        <v>0.92</v>
      </c>
      <c r="AD1019" s="26">
        <v>1</v>
      </c>
      <c r="AE1019" s="26">
        <v>1</v>
      </c>
      <c r="AF1019" s="26">
        <v>1</v>
      </c>
      <c r="AG1019" s="26">
        <v>1</v>
      </c>
      <c r="AH1019" s="28">
        <v>0.92</v>
      </c>
      <c r="AI1019" s="26">
        <v>0</v>
      </c>
      <c r="AJ1019" s="26">
        <v>0</v>
      </c>
      <c r="AK1019" s="26">
        <v>1</v>
      </c>
      <c r="AL1019" s="26">
        <v>1</v>
      </c>
      <c r="AM1019" s="25">
        <v>0.99</v>
      </c>
      <c r="AN1019" s="30">
        <v>1</v>
      </c>
      <c r="AO1019" s="30">
        <v>1</v>
      </c>
      <c r="AP1019" s="30">
        <v>1</v>
      </c>
      <c r="AQ1019" s="30">
        <v>1</v>
      </c>
      <c r="AR1019" s="50">
        <v>6.5641848892985799E-2</v>
      </c>
      <c r="AS1019" s="34">
        <v>0</v>
      </c>
      <c r="AT1019" s="34">
        <v>0</v>
      </c>
      <c r="AU1019" s="34">
        <v>0</v>
      </c>
      <c r="AV1019" s="34">
        <v>0</v>
      </c>
      <c r="AW1019" s="10"/>
      <c r="AX1019" s="8"/>
    </row>
    <row r="1020" spans="1:50">
      <c r="A1020" s="7"/>
      <c r="B1020" s="10"/>
      <c r="C1020" s="69" t="s">
        <v>944</v>
      </c>
      <c r="D1020" s="23" t="s">
        <v>23</v>
      </c>
      <c r="E1020" s="74" t="s">
        <v>1064</v>
      </c>
      <c r="F1020" s="75" t="s">
        <v>1064</v>
      </c>
      <c r="G1020" s="75" t="s">
        <v>1064</v>
      </c>
      <c r="H1020" s="75" t="s">
        <v>1064</v>
      </c>
      <c r="I1020" s="25">
        <v>0.9</v>
      </c>
      <c r="J1020" s="26">
        <v>0</v>
      </c>
      <c r="K1020" s="26">
        <v>0</v>
      </c>
      <c r="L1020" s="27">
        <v>0</v>
      </c>
      <c r="M1020" s="26">
        <v>0</v>
      </c>
      <c r="N1020" s="28">
        <v>0.9</v>
      </c>
      <c r="O1020" s="26">
        <v>0</v>
      </c>
      <c r="P1020" s="26">
        <v>0</v>
      </c>
      <c r="Q1020" s="26">
        <v>0</v>
      </c>
      <c r="R1020" s="26">
        <v>0</v>
      </c>
      <c r="S1020" s="28">
        <v>0.9</v>
      </c>
      <c r="T1020" s="26">
        <v>0</v>
      </c>
      <c r="U1020" s="26">
        <v>0</v>
      </c>
      <c r="V1020" s="26">
        <v>0</v>
      </c>
      <c r="W1020" s="26">
        <v>0</v>
      </c>
      <c r="X1020" s="28">
        <v>0.92</v>
      </c>
      <c r="Y1020" s="28">
        <v>0</v>
      </c>
      <c r="Z1020" s="28">
        <v>0</v>
      </c>
      <c r="AA1020" s="28">
        <v>0</v>
      </c>
      <c r="AB1020" s="28">
        <v>0</v>
      </c>
      <c r="AC1020" s="28">
        <v>0.92</v>
      </c>
      <c r="AD1020" s="26">
        <v>1</v>
      </c>
      <c r="AE1020" s="26">
        <v>1</v>
      </c>
      <c r="AF1020" s="26">
        <v>1</v>
      </c>
      <c r="AG1020" s="26">
        <v>1</v>
      </c>
      <c r="AH1020" s="28">
        <v>0.92</v>
      </c>
      <c r="AI1020" s="26">
        <v>0</v>
      </c>
      <c r="AJ1020" s="26">
        <v>0</v>
      </c>
      <c r="AK1020" s="26">
        <v>0</v>
      </c>
      <c r="AL1020" s="26">
        <v>0</v>
      </c>
      <c r="AM1020" s="25">
        <v>0.99</v>
      </c>
      <c r="AN1020" s="30">
        <v>0</v>
      </c>
      <c r="AO1020" s="30">
        <v>0</v>
      </c>
      <c r="AP1020" s="30">
        <v>0</v>
      </c>
      <c r="AQ1020" s="30">
        <v>0</v>
      </c>
      <c r="AR1020" s="50">
        <v>6.5641848892985799E-2</v>
      </c>
      <c r="AS1020" s="34">
        <v>0</v>
      </c>
      <c r="AT1020" s="34">
        <v>0</v>
      </c>
      <c r="AU1020" s="34">
        <v>0</v>
      </c>
      <c r="AV1020" s="34">
        <v>0</v>
      </c>
      <c r="AW1020" s="10"/>
      <c r="AX1020" s="8"/>
    </row>
    <row r="1021" spans="1:50">
      <c r="A1021" s="7"/>
      <c r="B1021" s="10"/>
      <c r="C1021" s="69" t="s">
        <v>944</v>
      </c>
      <c r="D1021" s="23" t="s">
        <v>23</v>
      </c>
      <c r="E1021" s="74" t="s">
        <v>1065</v>
      </c>
      <c r="F1021" s="75" t="s">
        <v>1065</v>
      </c>
      <c r="G1021" s="75" t="s">
        <v>1065</v>
      </c>
      <c r="H1021" s="75" t="s">
        <v>1065</v>
      </c>
      <c r="I1021" s="25">
        <v>0.9</v>
      </c>
      <c r="J1021" s="26">
        <v>1</v>
      </c>
      <c r="K1021" s="26">
        <v>1</v>
      </c>
      <c r="L1021" s="27">
        <v>1</v>
      </c>
      <c r="M1021" s="26">
        <v>0.97826086956521696</v>
      </c>
      <c r="N1021" s="28">
        <v>0.9</v>
      </c>
      <c r="O1021" s="26">
        <v>0.95828144458281495</v>
      </c>
      <c r="P1021" s="26">
        <v>0.97126760563380299</v>
      </c>
      <c r="Q1021" s="26">
        <v>0.96085011185682301</v>
      </c>
      <c r="R1021" s="26">
        <v>0.91266119577960103</v>
      </c>
      <c r="S1021" s="28">
        <v>0.9</v>
      </c>
      <c r="T1021" s="26">
        <v>0.89041095890411004</v>
      </c>
      <c r="U1021" s="26">
        <v>0.90478873239436597</v>
      </c>
      <c r="V1021" s="26">
        <v>0.93400447427293098</v>
      </c>
      <c r="W1021" s="26">
        <v>0.86389214536928505</v>
      </c>
      <c r="X1021" s="28">
        <v>0.92</v>
      </c>
      <c r="Y1021" s="28">
        <v>0.88323353293413198</v>
      </c>
      <c r="Z1021" s="28">
        <v>0.86975717439293598</v>
      </c>
      <c r="AA1021" s="28">
        <v>0.92253521126760596</v>
      </c>
      <c r="AB1021" s="28">
        <v>0.84071246819338397</v>
      </c>
      <c r="AC1021" s="28">
        <v>0.92</v>
      </c>
      <c r="AD1021" s="26">
        <v>0.99424210891432496</v>
      </c>
      <c r="AE1021" s="26">
        <v>0.99075336376029899</v>
      </c>
      <c r="AF1021" s="26">
        <v>0.98411392952991095</v>
      </c>
      <c r="AG1021" s="26">
        <v>0.985513789757827</v>
      </c>
      <c r="AH1021" s="28">
        <v>0.92</v>
      </c>
      <c r="AI1021" s="26">
        <v>0.938786008230453</v>
      </c>
      <c r="AJ1021" s="26">
        <v>0.93999104343931905</v>
      </c>
      <c r="AK1021" s="26">
        <v>0.95011337868480705</v>
      </c>
      <c r="AL1021" s="26">
        <v>0.91817145029462099</v>
      </c>
      <c r="AM1021" s="25">
        <v>0.99</v>
      </c>
      <c r="AN1021" s="30">
        <v>1</v>
      </c>
      <c r="AO1021" s="30">
        <v>1</v>
      </c>
      <c r="AP1021" s="30">
        <v>1</v>
      </c>
      <c r="AQ1021" s="30">
        <v>1</v>
      </c>
      <c r="AR1021" s="50">
        <v>6.5641848892985799E-2</v>
      </c>
      <c r="AS1021" s="34">
        <v>4.3478260869565202E-2</v>
      </c>
      <c r="AT1021" s="34">
        <v>0</v>
      </c>
      <c r="AU1021" s="34">
        <v>0</v>
      </c>
      <c r="AV1021" s="34">
        <v>4.0540540540540501E-2</v>
      </c>
      <c r="AW1021" s="10"/>
      <c r="AX1021" s="8"/>
    </row>
    <row r="1022" spans="1:50">
      <c r="A1022" s="7"/>
      <c r="B1022" s="10"/>
      <c r="C1022" s="69" t="s">
        <v>944</v>
      </c>
      <c r="D1022" s="23" t="s">
        <v>23</v>
      </c>
      <c r="E1022" s="72" t="s">
        <v>1066</v>
      </c>
      <c r="F1022" s="73" t="s">
        <v>1066</v>
      </c>
      <c r="G1022" s="73" t="s">
        <v>1066</v>
      </c>
      <c r="H1022" s="73" t="s">
        <v>1066</v>
      </c>
      <c r="I1022" s="25">
        <v>0.9</v>
      </c>
      <c r="J1022" s="26">
        <v>0</v>
      </c>
      <c r="K1022" s="26">
        <v>0</v>
      </c>
      <c r="L1022" s="27">
        <v>0</v>
      </c>
      <c r="M1022" s="26">
        <v>0</v>
      </c>
      <c r="N1022" s="28">
        <v>0.9</v>
      </c>
      <c r="O1022" s="26">
        <v>1</v>
      </c>
      <c r="P1022" s="26">
        <v>0</v>
      </c>
      <c r="Q1022" s="26">
        <v>0</v>
      </c>
      <c r="R1022" s="26">
        <v>0.5</v>
      </c>
      <c r="S1022" s="28">
        <v>0.9</v>
      </c>
      <c r="T1022" s="26">
        <v>1</v>
      </c>
      <c r="U1022" s="26">
        <v>0</v>
      </c>
      <c r="V1022" s="26">
        <v>0</v>
      </c>
      <c r="W1022" s="26">
        <v>0.5</v>
      </c>
      <c r="X1022" s="28">
        <v>0.92</v>
      </c>
      <c r="Y1022" s="28">
        <v>0</v>
      </c>
      <c r="Z1022" s="28">
        <v>0</v>
      </c>
      <c r="AA1022" s="28">
        <v>0</v>
      </c>
      <c r="AB1022" s="28">
        <v>0</v>
      </c>
      <c r="AC1022" s="28">
        <v>0.92</v>
      </c>
      <c r="AD1022" s="26">
        <v>0.99296482412060305</v>
      </c>
      <c r="AE1022" s="26">
        <v>0.99711815561959605</v>
      </c>
      <c r="AF1022" s="26">
        <v>0.99618902439024404</v>
      </c>
      <c r="AG1022" s="26">
        <v>0.997758565481908</v>
      </c>
      <c r="AH1022" s="28">
        <v>0.92</v>
      </c>
      <c r="AI1022" s="26">
        <v>1</v>
      </c>
      <c r="AJ1022" s="26">
        <v>0</v>
      </c>
      <c r="AK1022" s="26">
        <v>0</v>
      </c>
      <c r="AL1022" s="26">
        <v>0.5</v>
      </c>
      <c r="AM1022" s="25">
        <v>0.99</v>
      </c>
      <c r="AN1022" s="30">
        <v>1</v>
      </c>
      <c r="AO1022" s="30">
        <v>1</v>
      </c>
      <c r="AP1022" s="30">
        <v>1</v>
      </c>
      <c r="AQ1022" s="30">
        <v>1</v>
      </c>
      <c r="AR1022" s="50">
        <v>6.5641848892985799E-2</v>
      </c>
      <c r="AS1022" s="34">
        <v>0</v>
      </c>
      <c r="AT1022" s="34">
        <v>0</v>
      </c>
      <c r="AU1022" s="34">
        <v>1</v>
      </c>
      <c r="AV1022" s="34">
        <v>0.125</v>
      </c>
      <c r="AW1022" s="10"/>
      <c r="AX1022" s="8"/>
    </row>
    <row r="1023" spans="1:50">
      <c r="A1023" s="7"/>
      <c r="B1023" s="10"/>
      <c r="C1023" s="69" t="s">
        <v>944</v>
      </c>
      <c r="D1023" s="23" t="s">
        <v>23</v>
      </c>
      <c r="E1023" s="72" t="s">
        <v>1067</v>
      </c>
      <c r="F1023" s="73" t="s">
        <v>1067</v>
      </c>
      <c r="G1023" s="73" t="s">
        <v>1067</v>
      </c>
      <c r="H1023" s="73" t="s">
        <v>1067</v>
      </c>
      <c r="I1023" s="25">
        <v>0.9</v>
      </c>
      <c r="J1023" s="26">
        <v>0</v>
      </c>
      <c r="K1023" s="26">
        <v>0</v>
      </c>
      <c r="L1023" s="27">
        <v>0</v>
      </c>
      <c r="M1023" s="26">
        <v>0</v>
      </c>
      <c r="N1023" s="28">
        <v>0.9</v>
      </c>
      <c r="O1023" s="26">
        <v>0</v>
      </c>
      <c r="P1023" s="26">
        <v>0</v>
      </c>
      <c r="Q1023" s="26">
        <v>0</v>
      </c>
      <c r="R1023" s="26">
        <v>0</v>
      </c>
      <c r="S1023" s="28">
        <v>0.9</v>
      </c>
      <c r="T1023" s="26">
        <v>0</v>
      </c>
      <c r="U1023" s="26">
        <v>0</v>
      </c>
      <c r="V1023" s="26">
        <v>0</v>
      </c>
      <c r="W1023" s="26">
        <v>0</v>
      </c>
      <c r="X1023" s="28">
        <v>0.92</v>
      </c>
      <c r="Y1023" s="28">
        <v>0</v>
      </c>
      <c r="Z1023" s="28">
        <v>0</v>
      </c>
      <c r="AA1023" s="28">
        <v>0</v>
      </c>
      <c r="AB1023" s="28">
        <v>0</v>
      </c>
      <c r="AC1023" s="28">
        <v>0.92</v>
      </c>
      <c r="AD1023" s="26">
        <v>1</v>
      </c>
      <c r="AE1023" s="26">
        <v>0.99851190476190499</v>
      </c>
      <c r="AF1023" s="26">
        <v>1</v>
      </c>
      <c r="AG1023" s="26">
        <v>0.99948173101839899</v>
      </c>
      <c r="AH1023" s="28">
        <v>0.92</v>
      </c>
      <c r="AI1023" s="26">
        <v>0</v>
      </c>
      <c r="AJ1023" s="26">
        <v>0</v>
      </c>
      <c r="AK1023" s="26">
        <v>0</v>
      </c>
      <c r="AL1023" s="26">
        <v>0</v>
      </c>
      <c r="AM1023" s="25">
        <v>0.99</v>
      </c>
      <c r="AN1023" s="30">
        <v>1</v>
      </c>
      <c r="AO1023" s="30">
        <v>0</v>
      </c>
      <c r="AP1023" s="30">
        <v>1</v>
      </c>
      <c r="AQ1023" s="30">
        <v>1</v>
      </c>
      <c r="AR1023" s="50">
        <v>6.5641848892985799E-2</v>
      </c>
      <c r="AS1023" s="34">
        <v>0</v>
      </c>
      <c r="AT1023" s="34">
        <v>0</v>
      </c>
      <c r="AU1023" s="34">
        <v>0</v>
      </c>
      <c r="AV1023" s="34">
        <v>0</v>
      </c>
      <c r="AW1023" s="10"/>
      <c r="AX1023" s="8"/>
    </row>
    <row r="1024" spans="1:50">
      <c r="A1024" s="7"/>
      <c r="B1024" s="10"/>
      <c r="C1024" s="69" t="s">
        <v>944</v>
      </c>
      <c r="D1024" s="23" t="s">
        <v>23</v>
      </c>
      <c r="E1024" s="72" t="s">
        <v>1068</v>
      </c>
      <c r="F1024" s="73" t="s">
        <v>1068</v>
      </c>
      <c r="G1024" s="73" t="s">
        <v>1068</v>
      </c>
      <c r="H1024" s="73" t="s">
        <v>1068</v>
      </c>
      <c r="I1024" s="25">
        <v>0.9</v>
      </c>
      <c r="J1024" s="26">
        <v>0</v>
      </c>
      <c r="K1024" s="26">
        <v>0</v>
      </c>
      <c r="L1024" s="27">
        <v>0</v>
      </c>
      <c r="M1024" s="26">
        <v>0</v>
      </c>
      <c r="N1024" s="28">
        <v>0.9</v>
      </c>
      <c r="O1024" s="26">
        <v>0</v>
      </c>
      <c r="P1024" s="26">
        <v>0</v>
      </c>
      <c r="Q1024" s="26">
        <v>0</v>
      </c>
      <c r="R1024" s="26">
        <v>0</v>
      </c>
      <c r="S1024" s="28">
        <v>0.9</v>
      </c>
      <c r="T1024" s="26">
        <v>0</v>
      </c>
      <c r="U1024" s="26">
        <v>0</v>
      </c>
      <c r="V1024" s="26">
        <v>0</v>
      </c>
      <c r="W1024" s="26">
        <v>0</v>
      </c>
      <c r="X1024" s="28">
        <v>0.92</v>
      </c>
      <c r="Y1024" s="28">
        <v>0</v>
      </c>
      <c r="Z1024" s="28">
        <v>0</v>
      </c>
      <c r="AA1024" s="28">
        <v>0</v>
      </c>
      <c r="AB1024" s="28">
        <v>0</v>
      </c>
      <c r="AC1024" s="28">
        <v>0.92</v>
      </c>
      <c r="AD1024" s="26">
        <v>1</v>
      </c>
      <c r="AE1024" s="26">
        <v>1</v>
      </c>
      <c r="AF1024" s="26">
        <v>1</v>
      </c>
      <c r="AG1024" s="26">
        <v>1</v>
      </c>
      <c r="AH1024" s="28">
        <v>0.92</v>
      </c>
      <c r="AI1024" s="26">
        <v>0</v>
      </c>
      <c r="AJ1024" s="26">
        <v>0</v>
      </c>
      <c r="AK1024" s="26">
        <v>0</v>
      </c>
      <c r="AL1024" s="26">
        <v>0</v>
      </c>
      <c r="AM1024" s="25">
        <v>0.99</v>
      </c>
      <c r="AN1024" s="30">
        <v>1</v>
      </c>
      <c r="AO1024" s="30">
        <v>1</v>
      </c>
      <c r="AP1024" s="30">
        <v>1</v>
      </c>
      <c r="AQ1024" s="30">
        <v>1</v>
      </c>
      <c r="AR1024" s="50">
        <v>6.5641848892985799E-2</v>
      </c>
      <c r="AS1024" s="34">
        <v>0</v>
      </c>
      <c r="AT1024" s="34">
        <v>0</v>
      </c>
      <c r="AU1024" s="34">
        <v>0</v>
      </c>
      <c r="AV1024" s="34">
        <v>0</v>
      </c>
      <c r="AW1024" s="10"/>
      <c r="AX1024" s="8"/>
    </row>
    <row r="1025" spans="1:50">
      <c r="A1025" s="7"/>
      <c r="B1025" s="10"/>
      <c r="C1025" s="69" t="s">
        <v>944</v>
      </c>
      <c r="D1025" s="23" t="s">
        <v>23</v>
      </c>
      <c r="E1025" s="74" t="s">
        <v>1069</v>
      </c>
      <c r="F1025" s="75" t="s">
        <v>1069</v>
      </c>
      <c r="G1025" s="75" t="s">
        <v>1069</v>
      </c>
      <c r="H1025" s="75" t="s">
        <v>1069</v>
      </c>
      <c r="I1025" s="25">
        <v>0.9</v>
      </c>
      <c r="J1025" s="26">
        <v>0</v>
      </c>
      <c r="K1025" s="26">
        <v>0</v>
      </c>
      <c r="L1025" s="27">
        <v>0</v>
      </c>
      <c r="M1025" s="26">
        <v>0</v>
      </c>
      <c r="N1025" s="28">
        <v>0.9</v>
      </c>
      <c r="O1025" s="26">
        <v>0</v>
      </c>
      <c r="P1025" s="26">
        <v>0</v>
      </c>
      <c r="Q1025" s="26">
        <v>0</v>
      </c>
      <c r="R1025" s="26">
        <v>0</v>
      </c>
      <c r="S1025" s="28">
        <v>0.9</v>
      </c>
      <c r="T1025" s="26">
        <v>0</v>
      </c>
      <c r="U1025" s="26">
        <v>0</v>
      </c>
      <c r="V1025" s="26">
        <v>0</v>
      </c>
      <c r="W1025" s="26">
        <v>0</v>
      </c>
      <c r="X1025" s="28">
        <v>0.92</v>
      </c>
      <c r="Y1025" s="28">
        <v>0</v>
      </c>
      <c r="Z1025" s="28">
        <v>0</v>
      </c>
      <c r="AA1025" s="28">
        <v>0</v>
      </c>
      <c r="AB1025" s="28">
        <v>0</v>
      </c>
      <c r="AC1025" s="28">
        <v>0.92</v>
      </c>
      <c r="AD1025" s="26">
        <v>1</v>
      </c>
      <c r="AE1025" s="26">
        <v>1</v>
      </c>
      <c r="AF1025" s="26">
        <v>1</v>
      </c>
      <c r="AG1025" s="26">
        <v>1</v>
      </c>
      <c r="AH1025" s="28">
        <v>0.92</v>
      </c>
      <c r="AI1025" s="26">
        <v>0</v>
      </c>
      <c r="AJ1025" s="26">
        <v>0</v>
      </c>
      <c r="AK1025" s="26">
        <v>0</v>
      </c>
      <c r="AL1025" s="26">
        <v>0</v>
      </c>
      <c r="AM1025" s="25">
        <v>0.99</v>
      </c>
      <c r="AN1025" s="30">
        <v>0</v>
      </c>
      <c r="AO1025" s="30">
        <v>0</v>
      </c>
      <c r="AP1025" s="30">
        <v>0</v>
      </c>
      <c r="AQ1025" s="30">
        <v>0</v>
      </c>
      <c r="AR1025" s="50">
        <v>6.5641848892985799E-2</v>
      </c>
      <c r="AS1025" s="34">
        <v>0</v>
      </c>
      <c r="AT1025" s="34">
        <v>0</v>
      </c>
      <c r="AU1025" s="34">
        <v>0</v>
      </c>
      <c r="AV1025" s="34">
        <v>0</v>
      </c>
      <c r="AW1025" s="10"/>
      <c r="AX1025" s="8"/>
    </row>
    <row r="1026" spans="1:50">
      <c r="A1026" s="7"/>
      <c r="B1026" s="10"/>
      <c r="C1026" s="69" t="s">
        <v>944</v>
      </c>
      <c r="D1026" s="23" t="s">
        <v>23</v>
      </c>
      <c r="E1026" s="74" t="s">
        <v>1070</v>
      </c>
      <c r="F1026" s="75" t="s">
        <v>1070</v>
      </c>
      <c r="G1026" s="75" t="s">
        <v>1070</v>
      </c>
      <c r="H1026" s="75" t="s">
        <v>1070</v>
      </c>
      <c r="I1026" s="25">
        <v>0.9</v>
      </c>
      <c r="J1026" s="26">
        <v>1</v>
      </c>
      <c r="K1026" s="26">
        <v>0.952380952380952</v>
      </c>
      <c r="L1026" s="27">
        <v>1</v>
      </c>
      <c r="M1026" s="26">
        <v>0.93965517241379304</v>
      </c>
      <c r="N1026" s="28">
        <v>0.9</v>
      </c>
      <c r="O1026" s="26">
        <v>0.95998349834983498</v>
      </c>
      <c r="P1026" s="26">
        <v>0.97237775289286998</v>
      </c>
      <c r="Q1026" s="26">
        <v>0.98302783435166297</v>
      </c>
      <c r="R1026" s="26">
        <v>0.94658547864960696</v>
      </c>
      <c r="S1026" s="28">
        <v>0.9</v>
      </c>
      <c r="T1026" s="26">
        <v>0.90016501650165004</v>
      </c>
      <c r="U1026" s="26">
        <v>0.88988428518103802</v>
      </c>
      <c r="V1026" s="26">
        <v>0.91921249151391704</v>
      </c>
      <c r="W1026" s="26">
        <v>0.87313087713889304</v>
      </c>
      <c r="X1026" s="28">
        <v>0.92</v>
      </c>
      <c r="Y1026" s="28">
        <v>0.90513833992094905</v>
      </c>
      <c r="Z1026" s="28">
        <v>0.91162790697674401</v>
      </c>
      <c r="AA1026" s="28">
        <v>0.92857142857142905</v>
      </c>
      <c r="AB1026" s="28">
        <v>0.90450834220802301</v>
      </c>
      <c r="AC1026" s="28">
        <v>0.92</v>
      </c>
      <c r="AD1026" s="26">
        <v>0.97759634225996095</v>
      </c>
      <c r="AE1026" s="26">
        <v>0.97626373626373597</v>
      </c>
      <c r="AF1026" s="26">
        <v>0.97753292588448004</v>
      </c>
      <c r="AG1026" s="26">
        <v>0.97709705778254796</v>
      </c>
      <c r="AH1026" s="28">
        <v>0.92</v>
      </c>
      <c r="AI1026" s="26">
        <v>0.94338335607094104</v>
      </c>
      <c r="AJ1026" s="26">
        <v>0.94494584837545104</v>
      </c>
      <c r="AK1026" s="26">
        <v>0.95315487571701696</v>
      </c>
      <c r="AL1026" s="26">
        <v>0.93486929552503295</v>
      </c>
      <c r="AM1026" s="25">
        <v>0.99</v>
      </c>
      <c r="AN1026" s="30">
        <v>1</v>
      </c>
      <c r="AO1026" s="30">
        <v>1</v>
      </c>
      <c r="AP1026" s="30">
        <v>1</v>
      </c>
      <c r="AQ1026" s="30">
        <v>1</v>
      </c>
      <c r="AR1026" s="50">
        <v>6.5641848892985799E-2</v>
      </c>
      <c r="AS1026" s="34">
        <v>0</v>
      </c>
      <c r="AT1026" s="34">
        <v>0.214285714285714</v>
      </c>
      <c r="AU1026" s="34">
        <v>0.15384615384615399</v>
      </c>
      <c r="AV1026" s="34">
        <v>6.5217391304347797E-2</v>
      </c>
      <c r="AW1026" s="10"/>
      <c r="AX1026" s="8"/>
    </row>
    <row r="1027" spans="1:50">
      <c r="A1027" s="7"/>
      <c r="B1027" s="10"/>
      <c r="C1027" s="69" t="s">
        <v>944</v>
      </c>
      <c r="D1027" s="23" t="s">
        <v>23</v>
      </c>
      <c r="E1027" s="72" t="s">
        <v>1071</v>
      </c>
      <c r="F1027" s="73" t="s">
        <v>1071</v>
      </c>
      <c r="G1027" s="73" t="s">
        <v>1071</v>
      </c>
      <c r="H1027" s="73" t="s">
        <v>1071</v>
      </c>
      <c r="I1027" s="25">
        <v>0.9</v>
      </c>
      <c r="J1027" s="26">
        <v>1</v>
      </c>
      <c r="K1027" s="26">
        <v>1</v>
      </c>
      <c r="L1027" s="27">
        <v>0.92</v>
      </c>
      <c r="M1027" s="26">
        <v>0.97222222222222199</v>
      </c>
      <c r="N1027" s="28">
        <v>0.9</v>
      </c>
      <c r="O1027" s="26">
        <v>0.984639016897081</v>
      </c>
      <c r="P1027" s="26">
        <v>0.98332030231952094</v>
      </c>
      <c r="Q1027" s="26">
        <v>0.97944803288314697</v>
      </c>
      <c r="R1027" s="26">
        <v>0.98050393341694198</v>
      </c>
      <c r="S1027" s="28">
        <v>0.9</v>
      </c>
      <c r="T1027" s="26">
        <v>0.93579109062980004</v>
      </c>
      <c r="U1027" s="26">
        <v>0.92832942402918905</v>
      </c>
      <c r="V1027" s="26">
        <v>0.93071051086318302</v>
      </c>
      <c r="W1027" s="26">
        <v>0.92389693307490595</v>
      </c>
      <c r="X1027" s="28">
        <v>0.92</v>
      </c>
      <c r="Y1027" s="28">
        <v>0.92222222222222205</v>
      </c>
      <c r="Z1027" s="28">
        <v>0.93552631578947398</v>
      </c>
      <c r="AA1027" s="28">
        <v>0.91883614088820798</v>
      </c>
      <c r="AB1027" s="28">
        <v>0.92865707434052802</v>
      </c>
      <c r="AC1027" s="28">
        <v>0.92</v>
      </c>
      <c r="AD1027" s="26">
        <v>0.99758162031438902</v>
      </c>
      <c r="AE1027" s="26">
        <v>0.99067381674049904</v>
      </c>
      <c r="AF1027" s="26">
        <v>0.99961006044063205</v>
      </c>
      <c r="AG1027" s="26">
        <v>0.99581627603580902</v>
      </c>
      <c r="AH1027" s="28">
        <v>0.92</v>
      </c>
      <c r="AI1027" s="26">
        <v>0.96527777777777801</v>
      </c>
      <c r="AJ1027" s="26">
        <v>0.972173913043478</v>
      </c>
      <c r="AK1027" s="26">
        <v>0.96095076400679103</v>
      </c>
      <c r="AL1027" s="26">
        <v>0.963801771606416</v>
      </c>
      <c r="AM1027" s="25">
        <v>0.99</v>
      </c>
      <c r="AN1027" s="30">
        <v>1</v>
      </c>
      <c r="AO1027" s="30">
        <v>1</v>
      </c>
      <c r="AP1027" s="30">
        <v>1</v>
      </c>
      <c r="AQ1027" s="30">
        <v>1</v>
      </c>
      <c r="AR1027" s="50">
        <v>6.5641848892985799E-2</v>
      </c>
      <c r="AS1027" s="34">
        <v>0.05</v>
      </c>
      <c r="AT1027" s="34">
        <v>0</v>
      </c>
      <c r="AU1027" s="34">
        <v>0</v>
      </c>
      <c r="AV1027" s="34">
        <v>3.6036036036036001E-2</v>
      </c>
      <c r="AW1027" s="10"/>
      <c r="AX1027" s="8"/>
    </row>
    <row r="1028" spans="1:50">
      <c r="A1028" s="7"/>
      <c r="B1028" s="10"/>
      <c r="C1028" s="69" t="s">
        <v>944</v>
      </c>
      <c r="D1028" s="23" t="s">
        <v>23</v>
      </c>
      <c r="E1028" s="72" t="s">
        <v>1072</v>
      </c>
      <c r="F1028" s="73" t="s">
        <v>1072</v>
      </c>
      <c r="G1028" s="73" t="s">
        <v>1072</v>
      </c>
      <c r="H1028" s="73" t="s">
        <v>1072</v>
      </c>
      <c r="I1028" s="25">
        <v>0.9</v>
      </c>
      <c r="J1028" s="26">
        <v>0.92307692307692302</v>
      </c>
      <c r="K1028" s="26">
        <v>0.88461538461538503</v>
      </c>
      <c r="L1028" s="27">
        <v>0.69230769230769196</v>
      </c>
      <c r="M1028" s="26">
        <v>0.74838709677419402</v>
      </c>
      <c r="N1028" s="28">
        <v>0.9</v>
      </c>
      <c r="O1028" s="26">
        <v>0.401330885727398</v>
      </c>
      <c r="P1028" s="26">
        <v>0.29373456097013301</v>
      </c>
      <c r="Q1028" s="26">
        <v>0.53082352941176503</v>
      </c>
      <c r="R1028" s="26">
        <v>0.36518095588912403</v>
      </c>
      <c r="S1028" s="28">
        <v>0.9</v>
      </c>
      <c r="T1028" s="26">
        <v>0.545663148233134</v>
      </c>
      <c r="U1028" s="26">
        <v>0.52930608578486404</v>
      </c>
      <c r="V1028" s="26">
        <v>0.63811764705882401</v>
      </c>
      <c r="W1028" s="26">
        <v>0.53131043374159703</v>
      </c>
      <c r="X1028" s="28">
        <v>0.92</v>
      </c>
      <c r="Y1028" s="28">
        <v>0.62145110410094595</v>
      </c>
      <c r="Z1028" s="28">
        <v>0.62489270386266105</v>
      </c>
      <c r="AA1028" s="28">
        <v>0.61839863713799004</v>
      </c>
      <c r="AB1028" s="28">
        <v>0.60567071717893695</v>
      </c>
      <c r="AC1028" s="28">
        <v>0.92</v>
      </c>
      <c r="AD1028" s="26">
        <v>0.99821312540610796</v>
      </c>
      <c r="AE1028" s="26">
        <v>0.99797570850202399</v>
      </c>
      <c r="AF1028" s="26">
        <v>0.99549549549549599</v>
      </c>
      <c r="AG1028" s="26">
        <v>0.99389372095794104</v>
      </c>
      <c r="AH1028" s="28">
        <v>0.92</v>
      </c>
      <c r="AI1028" s="26">
        <v>0.84177848988584003</v>
      </c>
      <c r="AJ1028" s="26">
        <v>0.81847303790710102</v>
      </c>
      <c r="AK1028" s="26">
        <v>0.80973451327433599</v>
      </c>
      <c r="AL1028" s="26">
        <v>0.81155953391465396</v>
      </c>
      <c r="AM1028" s="25">
        <v>0.99</v>
      </c>
      <c r="AN1028" s="30">
        <v>1</v>
      </c>
      <c r="AO1028" s="30">
        <v>1</v>
      </c>
      <c r="AP1028" s="30">
        <v>1</v>
      </c>
      <c r="AQ1028" s="30">
        <v>1</v>
      </c>
      <c r="AR1028" s="50">
        <v>6.5641848892985799E-2</v>
      </c>
      <c r="AS1028" s="34">
        <v>0.1</v>
      </c>
      <c r="AT1028" s="34">
        <v>0</v>
      </c>
      <c r="AU1028" s="34">
        <v>0</v>
      </c>
      <c r="AV1028" s="34">
        <v>5.63380281690141E-2</v>
      </c>
      <c r="AW1028" s="10"/>
      <c r="AX1028" s="8"/>
    </row>
    <row r="1029" spans="1:50">
      <c r="A1029" s="7"/>
      <c r="B1029" s="10"/>
      <c r="C1029" s="69" t="s">
        <v>944</v>
      </c>
      <c r="D1029" s="23" t="s">
        <v>23</v>
      </c>
      <c r="E1029" s="72" t="s">
        <v>1073</v>
      </c>
      <c r="F1029" s="73" t="s">
        <v>1073</v>
      </c>
      <c r="G1029" s="73" t="s">
        <v>1073</v>
      </c>
      <c r="H1029" s="73" t="s">
        <v>1073</v>
      </c>
      <c r="I1029" s="25">
        <v>0.9</v>
      </c>
      <c r="J1029" s="26">
        <v>0.96153846153846201</v>
      </c>
      <c r="K1029" s="26">
        <v>0.96428571428571397</v>
      </c>
      <c r="L1029" s="27">
        <v>0.88</v>
      </c>
      <c r="M1029" s="26">
        <v>0.917721518987342</v>
      </c>
      <c r="N1029" s="28">
        <v>0.9</v>
      </c>
      <c r="O1029" s="26">
        <v>0.87077217613273805</v>
      </c>
      <c r="P1029" s="26">
        <v>0.90344271113501895</v>
      </c>
      <c r="Q1029" s="26">
        <v>0.95497311827956999</v>
      </c>
      <c r="R1029" s="26">
        <v>0.90827338129496404</v>
      </c>
      <c r="S1029" s="28">
        <v>0.9</v>
      </c>
      <c r="T1029" s="26">
        <v>0.84365028717294199</v>
      </c>
      <c r="U1029" s="26">
        <v>0.82033351264120502</v>
      </c>
      <c r="V1029" s="26">
        <v>0.90255376344086002</v>
      </c>
      <c r="W1029" s="26">
        <v>0.85029976019184605</v>
      </c>
      <c r="X1029" s="28">
        <v>0.92</v>
      </c>
      <c r="Y1029" s="28">
        <v>0.89735099337748303</v>
      </c>
      <c r="Z1029" s="28">
        <v>0.90126582278481004</v>
      </c>
      <c r="AA1029" s="28">
        <v>0.87847730600292795</v>
      </c>
      <c r="AB1029" s="28">
        <v>0.88422619047619</v>
      </c>
      <c r="AC1029" s="28">
        <v>0.92</v>
      </c>
      <c r="AD1029" s="26">
        <v>0.99866702212743297</v>
      </c>
      <c r="AE1029" s="26">
        <v>0.99804578447794501</v>
      </c>
      <c r="AF1029" s="26">
        <v>0.98956414978514395</v>
      </c>
      <c r="AG1029" s="26">
        <v>0.995995398969028</v>
      </c>
      <c r="AH1029" s="28">
        <v>0.92</v>
      </c>
      <c r="AI1029" s="26">
        <v>0.95426584648301704</v>
      </c>
      <c r="AJ1029" s="26">
        <v>0.96273291925465798</v>
      </c>
      <c r="AK1029" s="26">
        <v>0.93827729157070505</v>
      </c>
      <c r="AL1029" s="26">
        <v>0.95559103837133896</v>
      </c>
      <c r="AM1029" s="25">
        <v>0.99</v>
      </c>
      <c r="AN1029" s="30">
        <v>1</v>
      </c>
      <c r="AO1029" s="30">
        <v>1</v>
      </c>
      <c r="AP1029" s="30">
        <v>1</v>
      </c>
      <c r="AQ1029" s="30">
        <v>1</v>
      </c>
      <c r="AR1029" s="50">
        <v>6.5641848892985799E-2</v>
      </c>
      <c r="AS1029" s="34">
        <v>0</v>
      </c>
      <c r="AT1029" s="34">
        <v>0</v>
      </c>
      <c r="AU1029" s="34">
        <v>0</v>
      </c>
      <c r="AV1029" s="34">
        <v>0</v>
      </c>
      <c r="AW1029" s="10"/>
      <c r="AX1029" s="8"/>
    </row>
    <row r="1030" spans="1:50">
      <c r="A1030" s="7"/>
      <c r="B1030" s="10"/>
      <c r="C1030" s="69" t="s">
        <v>944</v>
      </c>
      <c r="D1030" s="23" t="s">
        <v>23</v>
      </c>
      <c r="E1030" s="72" t="s">
        <v>1074</v>
      </c>
      <c r="F1030" s="73" t="s">
        <v>1074</v>
      </c>
      <c r="G1030" s="73" t="s">
        <v>1074</v>
      </c>
      <c r="H1030" s="73" t="s">
        <v>1074</v>
      </c>
      <c r="I1030" s="25">
        <v>0.9</v>
      </c>
      <c r="J1030" s="26">
        <v>1</v>
      </c>
      <c r="K1030" s="26">
        <v>1</v>
      </c>
      <c r="L1030" s="27">
        <v>0.93548387096774199</v>
      </c>
      <c r="M1030" s="26">
        <v>0.96499999999999997</v>
      </c>
      <c r="N1030" s="28">
        <v>0.9</v>
      </c>
      <c r="O1030" s="26">
        <v>0.95761178599121199</v>
      </c>
      <c r="P1030" s="26">
        <v>0.90566037735849103</v>
      </c>
      <c r="Q1030" s="26">
        <v>0.97233606557377095</v>
      </c>
      <c r="R1030" s="26">
        <v>0.946339981775843</v>
      </c>
      <c r="S1030" s="28">
        <v>0.9</v>
      </c>
      <c r="T1030" s="26">
        <v>0.89609718273455696</v>
      </c>
      <c r="U1030" s="26">
        <v>0.85908765225698602</v>
      </c>
      <c r="V1030" s="26">
        <v>0.911885245901639</v>
      </c>
      <c r="W1030" s="26">
        <v>0.89232560494077195</v>
      </c>
      <c r="X1030" s="28">
        <v>0.92</v>
      </c>
      <c r="Y1030" s="28">
        <v>0.93965517241379304</v>
      </c>
      <c r="Z1030" s="28">
        <v>0.94475138121546998</v>
      </c>
      <c r="AA1030" s="28">
        <v>0.92233009708737901</v>
      </c>
      <c r="AB1030" s="28">
        <v>0.93862815884476503</v>
      </c>
      <c r="AC1030" s="28">
        <v>0.92</v>
      </c>
      <c r="AD1030" s="26">
        <v>1</v>
      </c>
      <c r="AE1030" s="26">
        <v>0.96871378910776396</v>
      </c>
      <c r="AF1030" s="26">
        <v>0.99734278122232101</v>
      </c>
      <c r="AG1030" s="26">
        <v>0.99230480480480499</v>
      </c>
      <c r="AH1030" s="28">
        <v>0.92</v>
      </c>
      <c r="AI1030" s="26">
        <v>0.97415149471791396</v>
      </c>
      <c r="AJ1030" s="26">
        <v>0.97458752133510296</v>
      </c>
      <c r="AK1030" s="26">
        <v>0.967977300364816</v>
      </c>
      <c r="AL1030" s="26">
        <v>0.97164861205145603</v>
      </c>
      <c r="AM1030" s="25">
        <v>0.99</v>
      </c>
      <c r="AN1030" s="30">
        <v>1</v>
      </c>
      <c r="AO1030" s="30">
        <v>1</v>
      </c>
      <c r="AP1030" s="30">
        <v>1</v>
      </c>
      <c r="AQ1030" s="30">
        <v>1</v>
      </c>
      <c r="AR1030" s="50">
        <v>6.5641848892985799E-2</v>
      </c>
      <c r="AS1030" s="34">
        <v>6.25E-2</v>
      </c>
      <c r="AT1030" s="34">
        <v>0.05</v>
      </c>
      <c r="AU1030" s="34">
        <v>0.125</v>
      </c>
      <c r="AV1030" s="34">
        <v>5.95238095238095E-2</v>
      </c>
      <c r="AW1030" s="10"/>
      <c r="AX1030" s="8"/>
    </row>
    <row r="1031" spans="1:50">
      <c r="A1031" s="7"/>
      <c r="B1031" s="10"/>
      <c r="C1031" s="69" t="s">
        <v>944</v>
      </c>
      <c r="D1031" s="23" t="s">
        <v>23</v>
      </c>
      <c r="E1031" s="72" t="s">
        <v>1075</v>
      </c>
      <c r="F1031" s="73" t="s">
        <v>1075</v>
      </c>
      <c r="G1031" s="73" t="s">
        <v>1075</v>
      </c>
      <c r="H1031" s="73" t="s">
        <v>1075</v>
      </c>
      <c r="I1031" s="25">
        <v>0.9</v>
      </c>
      <c r="J1031" s="26">
        <v>0.95652173913043503</v>
      </c>
      <c r="K1031" s="26">
        <v>0.98</v>
      </c>
      <c r="L1031" s="27">
        <v>0.89473684210526305</v>
      </c>
      <c r="M1031" s="26">
        <v>0.78358208955223896</v>
      </c>
      <c r="N1031" s="28">
        <v>0.9</v>
      </c>
      <c r="O1031" s="26">
        <v>0.93882737338900002</v>
      </c>
      <c r="P1031" s="26">
        <v>0.97167755991285398</v>
      </c>
      <c r="Q1031" s="26">
        <v>0.98967170785687897</v>
      </c>
      <c r="R1031" s="26">
        <v>0.97263401833486696</v>
      </c>
      <c r="S1031" s="28">
        <v>0.9</v>
      </c>
      <c r="T1031" s="26">
        <v>0.93156652750045399</v>
      </c>
      <c r="U1031" s="26">
        <v>0.93277310924369705</v>
      </c>
      <c r="V1031" s="26">
        <v>0.96495758022869804</v>
      </c>
      <c r="W1031" s="26">
        <v>0.942405343693556</v>
      </c>
      <c r="X1031" s="28">
        <v>0.92</v>
      </c>
      <c r="Y1031" s="28">
        <v>0</v>
      </c>
      <c r="Z1031" s="28">
        <v>0</v>
      </c>
      <c r="AA1031" s="28">
        <v>0</v>
      </c>
      <c r="AB1031" s="28">
        <v>0</v>
      </c>
      <c r="AC1031" s="28">
        <v>0.92</v>
      </c>
      <c r="AD1031" s="26">
        <v>0.99940047961630696</v>
      </c>
      <c r="AE1031" s="26">
        <v>0.99901748870111995</v>
      </c>
      <c r="AF1031" s="26">
        <v>0.99889278464661402</v>
      </c>
      <c r="AG1031" s="26">
        <v>0.99882262040545999</v>
      </c>
      <c r="AH1031" s="28">
        <v>0.92</v>
      </c>
      <c r="AI1031" s="26">
        <v>0.98222060957909996</v>
      </c>
      <c r="AJ1031" s="26">
        <v>0.98055382700684501</v>
      </c>
      <c r="AK1031" s="26">
        <v>0.98782736997417897</v>
      </c>
      <c r="AL1031" s="26">
        <v>0.98497598201206005</v>
      </c>
      <c r="AM1031" s="25">
        <v>0.99</v>
      </c>
      <c r="AN1031" s="30">
        <v>1</v>
      </c>
      <c r="AO1031" s="30">
        <v>1</v>
      </c>
      <c r="AP1031" s="30">
        <v>1</v>
      </c>
      <c r="AQ1031" s="30">
        <v>1</v>
      </c>
      <c r="AR1031" s="50">
        <v>6.5641848892985799E-2</v>
      </c>
      <c r="AS1031" s="34">
        <v>0</v>
      </c>
      <c r="AT1031" s="34">
        <v>9.5238095238095205E-2</v>
      </c>
      <c r="AU1031" s="34">
        <v>0.11764705882352899</v>
      </c>
      <c r="AV1031" s="34">
        <v>0.119266055045872</v>
      </c>
      <c r="AW1031" s="10"/>
      <c r="AX1031" s="8"/>
    </row>
    <row r="1032" spans="1:50">
      <c r="A1032" s="7"/>
      <c r="B1032" s="10"/>
      <c r="C1032" s="69" t="s">
        <v>944</v>
      </c>
      <c r="D1032" s="23" t="s">
        <v>23</v>
      </c>
      <c r="E1032" s="72" t="s">
        <v>1076</v>
      </c>
      <c r="F1032" s="73" t="s">
        <v>1076</v>
      </c>
      <c r="G1032" s="73" t="s">
        <v>1076</v>
      </c>
      <c r="H1032" s="73" t="s">
        <v>1076</v>
      </c>
      <c r="I1032" s="25">
        <v>0.9</v>
      </c>
      <c r="J1032" s="26">
        <v>0.97058823529411797</v>
      </c>
      <c r="K1032" s="26">
        <v>0.94594594594594605</v>
      </c>
      <c r="L1032" s="27">
        <v>0.75</v>
      </c>
      <c r="M1032" s="26">
        <v>0.88780487804878006</v>
      </c>
      <c r="N1032" s="28">
        <v>0.9</v>
      </c>
      <c r="O1032" s="26">
        <v>0.91755319148936199</v>
      </c>
      <c r="P1032" s="26">
        <v>0.92032551097653303</v>
      </c>
      <c r="Q1032" s="26">
        <v>0.91880920162381596</v>
      </c>
      <c r="R1032" s="26">
        <v>0.90849141089310403</v>
      </c>
      <c r="S1032" s="28">
        <v>0.9</v>
      </c>
      <c r="T1032" s="26">
        <v>0.75347790507364998</v>
      </c>
      <c r="U1032" s="26">
        <v>0.77857683573050696</v>
      </c>
      <c r="V1032" s="26">
        <v>0.84844384303112297</v>
      </c>
      <c r="W1032" s="26">
        <v>0.79097126109256699</v>
      </c>
      <c r="X1032" s="28">
        <v>0.92</v>
      </c>
      <c r="Y1032" s="28">
        <v>0</v>
      </c>
      <c r="Z1032" s="28">
        <v>0</v>
      </c>
      <c r="AA1032" s="28">
        <v>0</v>
      </c>
      <c r="AB1032" s="28">
        <v>0</v>
      </c>
      <c r="AC1032" s="28">
        <v>0.92</v>
      </c>
      <c r="AD1032" s="26">
        <v>0.99901477832512298</v>
      </c>
      <c r="AE1032" s="26">
        <v>0.97346036066689301</v>
      </c>
      <c r="AF1032" s="26">
        <v>0.98461179762182305</v>
      </c>
      <c r="AG1032" s="26">
        <v>0.98489409141583095</v>
      </c>
      <c r="AH1032" s="28">
        <v>0.92</v>
      </c>
      <c r="AI1032" s="26">
        <v>0.94312602291325698</v>
      </c>
      <c r="AJ1032" s="26">
        <v>0.96539334341906202</v>
      </c>
      <c r="AK1032" s="26">
        <v>0.96120884077582303</v>
      </c>
      <c r="AL1032" s="26">
        <v>0.95592185592185597</v>
      </c>
      <c r="AM1032" s="25">
        <v>0.99</v>
      </c>
      <c r="AN1032" s="30">
        <v>1</v>
      </c>
      <c r="AO1032" s="30">
        <v>1</v>
      </c>
      <c r="AP1032" s="30">
        <v>1</v>
      </c>
      <c r="AQ1032" s="30">
        <v>1</v>
      </c>
      <c r="AR1032" s="50">
        <v>6.5641848892985799E-2</v>
      </c>
      <c r="AS1032" s="34">
        <v>0</v>
      </c>
      <c r="AT1032" s="34">
        <v>0</v>
      </c>
      <c r="AU1032" s="34">
        <v>0.05</v>
      </c>
      <c r="AV1032" s="34">
        <v>2.5000000000000001E-2</v>
      </c>
      <c r="AW1032" s="10"/>
      <c r="AX1032" s="8"/>
    </row>
    <row r="1033" spans="1:50">
      <c r="A1033" s="7"/>
      <c r="B1033" s="10"/>
      <c r="C1033" s="69" t="s">
        <v>944</v>
      </c>
      <c r="D1033" s="23" t="s">
        <v>23</v>
      </c>
      <c r="E1033" s="76" t="s">
        <v>1077</v>
      </c>
      <c r="F1033" s="77" t="s">
        <v>1077</v>
      </c>
      <c r="G1033" s="77" t="s">
        <v>1077</v>
      </c>
      <c r="H1033" s="77" t="s">
        <v>1077</v>
      </c>
      <c r="I1033" s="25">
        <v>0.9</v>
      </c>
      <c r="J1033" s="26">
        <v>0.88461538461538503</v>
      </c>
      <c r="K1033" s="26">
        <v>1</v>
      </c>
      <c r="L1033" s="27">
        <v>1</v>
      </c>
      <c r="M1033" s="26">
        <v>0.95620437956204396</v>
      </c>
      <c r="N1033" s="28">
        <v>0.9</v>
      </c>
      <c r="O1033" s="26">
        <v>0.87988739443228003</v>
      </c>
      <c r="P1033" s="26">
        <v>0.96154917804402296</v>
      </c>
      <c r="Q1033" s="26">
        <v>0.953908984830805</v>
      </c>
      <c r="R1033" s="26">
        <v>0.94330625220770004</v>
      </c>
      <c r="S1033" s="28">
        <v>0.9</v>
      </c>
      <c r="T1033" s="26">
        <v>0.84391617141069797</v>
      </c>
      <c r="U1033" s="26">
        <v>0.90526609083310094</v>
      </c>
      <c r="V1033" s="26">
        <v>0.92065344224037304</v>
      </c>
      <c r="W1033" s="26">
        <v>0.89314729777463797</v>
      </c>
      <c r="X1033" s="28">
        <v>0.92</v>
      </c>
      <c r="Y1033" s="28">
        <v>0.904522613065327</v>
      </c>
      <c r="Z1033" s="28">
        <v>0.94065656565656597</v>
      </c>
      <c r="AA1033" s="28">
        <v>0.88651535380507296</v>
      </c>
      <c r="AB1033" s="28">
        <v>0.90395809080325995</v>
      </c>
      <c r="AC1033" s="28">
        <v>0.92</v>
      </c>
      <c r="AD1033" s="26">
        <v>0.99877250409165297</v>
      </c>
      <c r="AE1033" s="26">
        <v>0.98184390473944805</v>
      </c>
      <c r="AF1033" s="26">
        <v>0.82720510095642896</v>
      </c>
      <c r="AG1033" s="26">
        <v>0.91940649715667699</v>
      </c>
      <c r="AH1033" s="28">
        <v>0.92</v>
      </c>
      <c r="AI1033" s="26">
        <v>0.960737812911726</v>
      </c>
      <c r="AJ1033" s="26">
        <v>0.958456973293769</v>
      </c>
      <c r="AK1033" s="26">
        <v>0.94356475842468501</v>
      </c>
      <c r="AL1033" s="26">
        <v>0.95642381511946695</v>
      </c>
      <c r="AM1033" s="25">
        <v>0.99</v>
      </c>
      <c r="AN1033" s="30">
        <v>1</v>
      </c>
      <c r="AO1033" s="30">
        <v>1</v>
      </c>
      <c r="AP1033" s="30">
        <v>1</v>
      </c>
      <c r="AQ1033" s="30">
        <v>1</v>
      </c>
      <c r="AR1033" s="50">
        <v>6.5641848892985799E-2</v>
      </c>
      <c r="AS1033" s="34">
        <v>0</v>
      </c>
      <c r="AT1033" s="34">
        <v>0</v>
      </c>
      <c r="AU1033" s="34">
        <v>0</v>
      </c>
      <c r="AV1033" s="34">
        <v>0</v>
      </c>
      <c r="AW1033" s="10"/>
      <c r="AX1033" s="8"/>
    </row>
    <row r="1034" spans="1:50">
      <c r="A1034" s="7"/>
      <c r="B1034" s="10"/>
      <c r="C1034" s="69" t="s">
        <v>944</v>
      </c>
      <c r="D1034" s="23" t="s">
        <v>23</v>
      </c>
      <c r="E1034" s="72" t="s">
        <v>1078</v>
      </c>
      <c r="F1034" s="73" t="s">
        <v>1078</v>
      </c>
      <c r="G1034" s="73" t="s">
        <v>1078</v>
      </c>
      <c r="H1034" s="73" t="s">
        <v>1078</v>
      </c>
      <c r="I1034" s="25">
        <v>0.9</v>
      </c>
      <c r="J1034" s="26">
        <v>0.97619047619047605</v>
      </c>
      <c r="K1034" s="26">
        <v>1</v>
      </c>
      <c r="L1034" s="27">
        <v>0.97368421052631604</v>
      </c>
      <c r="M1034" s="26">
        <v>0.98755186721991695</v>
      </c>
      <c r="N1034" s="28">
        <v>0.9</v>
      </c>
      <c r="O1034" s="26">
        <v>0.93513818386914804</v>
      </c>
      <c r="P1034" s="26">
        <v>0.89826041117554001</v>
      </c>
      <c r="Q1034" s="26">
        <v>0.94983686786296895</v>
      </c>
      <c r="R1034" s="26">
        <v>0.929836460923958</v>
      </c>
      <c r="S1034" s="28">
        <v>0.9</v>
      </c>
      <c r="T1034" s="26">
        <v>0.90092122579432199</v>
      </c>
      <c r="U1034" s="26">
        <v>0.88508170795993701</v>
      </c>
      <c r="V1034" s="26">
        <v>0.93189233278955996</v>
      </c>
      <c r="W1034" s="26">
        <v>0.90353455422413098</v>
      </c>
      <c r="X1034" s="28">
        <v>0.92</v>
      </c>
      <c r="Y1034" s="28">
        <v>0</v>
      </c>
      <c r="Z1034" s="28">
        <v>0</v>
      </c>
      <c r="AA1034" s="28">
        <v>0</v>
      </c>
      <c r="AB1034" s="28">
        <v>0</v>
      </c>
      <c r="AC1034" s="28">
        <v>0.92</v>
      </c>
      <c r="AD1034" s="26">
        <v>0.99734513274336301</v>
      </c>
      <c r="AE1034" s="26">
        <v>0.99935275080906105</v>
      </c>
      <c r="AF1034" s="26">
        <v>0.99973808276584597</v>
      </c>
      <c r="AG1034" s="26">
        <v>0.99673680109097995</v>
      </c>
      <c r="AH1034" s="28">
        <v>0.92</v>
      </c>
      <c r="AI1034" s="26">
        <v>0.96935514194397399</v>
      </c>
      <c r="AJ1034" s="26">
        <v>0.97138342696629199</v>
      </c>
      <c r="AK1034" s="26">
        <v>0.96778140293637804</v>
      </c>
      <c r="AL1034" s="26">
        <v>0.96805785746572204</v>
      </c>
      <c r="AM1034" s="25">
        <v>0.99</v>
      </c>
      <c r="AN1034" s="30">
        <v>1</v>
      </c>
      <c r="AO1034" s="30">
        <v>1</v>
      </c>
      <c r="AP1034" s="30">
        <v>1</v>
      </c>
      <c r="AQ1034" s="30">
        <v>1</v>
      </c>
      <c r="AR1034" s="50">
        <v>6.5641848892985799E-2</v>
      </c>
      <c r="AS1034" s="34">
        <v>0</v>
      </c>
      <c r="AT1034" s="34">
        <v>5.8823529411764698E-2</v>
      </c>
      <c r="AU1034" s="34">
        <v>0</v>
      </c>
      <c r="AV1034" s="34">
        <v>6.1224489795918401E-2</v>
      </c>
      <c r="AW1034" s="10"/>
      <c r="AX1034" s="8"/>
    </row>
    <row r="1035" spans="1:50">
      <c r="A1035" s="7"/>
      <c r="B1035" s="10"/>
      <c r="C1035" s="69" t="s">
        <v>944</v>
      </c>
      <c r="D1035" s="23" t="s">
        <v>23</v>
      </c>
      <c r="E1035" s="72" t="s">
        <v>1079</v>
      </c>
      <c r="F1035" s="73" t="s">
        <v>1079</v>
      </c>
      <c r="G1035" s="73" t="s">
        <v>1079</v>
      </c>
      <c r="H1035" s="73" t="s">
        <v>1079</v>
      </c>
      <c r="I1035" s="25">
        <v>0.9</v>
      </c>
      <c r="J1035" s="26">
        <v>0</v>
      </c>
      <c r="K1035" s="26">
        <v>0</v>
      </c>
      <c r="L1035" s="27">
        <v>0</v>
      </c>
      <c r="M1035" s="26">
        <v>0</v>
      </c>
      <c r="N1035" s="28">
        <v>0.9</v>
      </c>
      <c r="O1035" s="26">
        <v>0</v>
      </c>
      <c r="P1035" s="26">
        <v>0</v>
      </c>
      <c r="Q1035" s="26">
        <v>0</v>
      </c>
      <c r="R1035" s="26">
        <v>0</v>
      </c>
      <c r="S1035" s="28">
        <v>0.9</v>
      </c>
      <c r="T1035" s="26">
        <v>0</v>
      </c>
      <c r="U1035" s="26">
        <v>0</v>
      </c>
      <c r="V1035" s="26">
        <v>0</v>
      </c>
      <c r="W1035" s="26">
        <v>0</v>
      </c>
      <c r="X1035" s="28">
        <v>0.92</v>
      </c>
      <c r="Y1035" s="28">
        <v>0</v>
      </c>
      <c r="Z1035" s="28">
        <v>0</v>
      </c>
      <c r="AA1035" s="28">
        <v>0</v>
      </c>
      <c r="AB1035" s="28">
        <v>0</v>
      </c>
      <c r="AC1035" s="28">
        <v>0.92</v>
      </c>
      <c r="AD1035" s="26">
        <v>0.99895615866388299</v>
      </c>
      <c r="AE1035" s="26">
        <v>1</v>
      </c>
      <c r="AF1035" s="26">
        <v>0.99933862433862397</v>
      </c>
      <c r="AG1035" s="26">
        <v>0.998655462184874</v>
      </c>
      <c r="AH1035" s="28">
        <v>0.92</v>
      </c>
      <c r="AI1035" s="26">
        <v>0</v>
      </c>
      <c r="AJ1035" s="26">
        <v>0</v>
      </c>
      <c r="AK1035" s="26">
        <v>0</v>
      </c>
      <c r="AL1035" s="26">
        <v>0</v>
      </c>
      <c r="AM1035" s="25">
        <v>0.99</v>
      </c>
      <c r="AN1035" s="30">
        <v>0</v>
      </c>
      <c r="AO1035" s="30">
        <v>1</v>
      </c>
      <c r="AP1035" s="30">
        <v>1</v>
      </c>
      <c r="AQ1035" s="30">
        <v>1</v>
      </c>
      <c r="AR1035" s="50">
        <v>6.5641848892985799E-2</v>
      </c>
      <c r="AS1035" s="34">
        <v>0</v>
      </c>
      <c r="AT1035" s="34">
        <v>0</v>
      </c>
      <c r="AU1035" s="34">
        <v>0</v>
      </c>
      <c r="AV1035" s="34">
        <v>0</v>
      </c>
      <c r="AW1035" s="10"/>
      <c r="AX1035" s="8"/>
    </row>
    <row r="1036" spans="1:50">
      <c r="A1036" s="7"/>
      <c r="B1036" s="10"/>
      <c r="C1036" s="69" t="s">
        <v>944</v>
      </c>
      <c r="D1036" s="23" t="s">
        <v>23</v>
      </c>
      <c r="E1036" s="72" t="s">
        <v>1080</v>
      </c>
      <c r="F1036" s="73" t="s">
        <v>1080</v>
      </c>
      <c r="G1036" s="73" t="s">
        <v>1080</v>
      </c>
      <c r="H1036" s="73" t="s">
        <v>1080</v>
      </c>
      <c r="I1036" s="25">
        <v>0.9</v>
      </c>
      <c r="J1036" s="26">
        <v>1</v>
      </c>
      <c r="K1036" s="26">
        <v>0.90909090909090895</v>
      </c>
      <c r="L1036" s="27">
        <v>1</v>
      </c>
      <c r="M1036" s="26">
        <v>0.95522388059701502</v>
      </c>
      <c r="N1036" s="28">
        <v>0.9</v>
      </c>
      <c r="O1036" s="26">
        <v>0.99532710280373804</v>
      </c>
      <c r="P1036" s="26">
        <v>0.99280920421859997</v>
      </c>
      <c r="Q1036" s="26">
        <v>0.99304174950298196</v>
      </c>
      <c r="R1036" s="26">
        <v>0.99360860302323195</v>
      </c>
      <c r="S1036" s="28">
        <v>0.9</v>
      </c>
      <c r="T1036" s="26">
        <v>0.91225337487019698</v>
      </c>
      <c r="U1036" s="26">
        <v>0.93480345158197498</v>
      </c>
      <c r="V1036" s="26">
        <v>0.95427435387673998</v>
      </c>
      <c r="W1036" s="26">
        <v>0.93131784518616201</v>
      </c>
      <c r="X1036" s="28">
        <v>0.92</v>
      </c>
      <c r="Y1036" s="28">
        <v>0.96741854636591496</v>
      </c>
      <c r="Z1036" s="28">
        <v>0.94787644787644798</v>
      </c>
      <c r="AA1036" s="28">
        <v>0.92477064220183502</v>
      </c>
      <c r="AB1036" s="28">
        <v>0.948474855729596</v>
      </c>
      <c r="AC1036" s="28">
        <v>0.92</v>
      </c>
      <c r="AD1036" s="26">
        <v>0.99932111337406604</v>
      </c>
      <c r="AE1036" s="26">
        <v>0.999489431226386</v>
      </c>
      <c r="AF1036" s="26">
        <v>0.99891373223499602</v>
      </c>
      <c r="AG1036" s="26">
        <v>0.99918693438913997</v>
      </c>
      <c r="AH1036" s="28">
        <v>0.92</v>
      </c>
      <c r="AI1036" s="26">
        <v>0.97419354838709704</v>
      </c>
      <c r="AJ1036" s="26">
        <v>0.96850998463901705</v>
      </c>
      <c r="AK1036" s="26">
        <v>0.95680206318504202</v>
      </c>
      <c r="AL1036" s="26">
        <v>0.969396060556731</v>
      </c>
      <c r="AM1036" s="25">
        <v>0.99</v>
      </c>
      <c r="AN1036" s="30">
        <v>1</v>
      </c>
      <c r="AO1036" s="30">
        <v>1</v>
      </c>
      <c r="AP1036" s="30">
        <v>1</v>
      </c>
      <c r="AQ1036" s="30">
        <v>1</v>
      </c>
      <c r="AR1036" s="50">
        <v>6.5641848892985799E-2</v>
      </c>
      <c r="AS1036" s="34">
        <v>6.25E-2</v>
      </c>
      <c r="AT1036" s="34">
        <v>0</v>
      </c>
      <c r="AU1036" s="34">
        <v>0</v>
      </c>
      <c r="AV1036" s="34">
        <v>3.3333333333333298E-2</v>
      </c>
      <c r="AW1036" s="10"/>
      <c r="AX1036" s="8"/>
    </row>
    <row r="1037" spans="1:50">
      <c r="A1037" s="7"/>
      <c r="B1037" s="10"/>
      <c r="C1037" s="69" t="s">
        <v>944</v>
      </c>
      <c r="D1037" s="23" t="s">
        <v>23</v>
      </c>
      <c r="E1037" s="72" t="s">
        <v>1081</v>
      </c>
      <c r="F1037" s="73" t="s">
        <v>1081</v>
      </c>
      <c r="G1037" s="73" t="s">
        <v>1081</v>
      </c>
      <c r="H1037" s="73" t="s">
        <v>1081</v>
      </c>
      <c r="I1037" s="25">
        <v>0.9</v>
      </c>
      <c r="J1037" s="26">
        <v>0.96875</v>
      </c>
      <c r="K1037" s="26">
        <v>0.9375</v>
      </c>
      <c r="L1037" s="27">
        <v>0.86206896551724099</v>
      </c>
      <c r="M1037" s="26">
        <v>0.90163934426229497</v>
      </c>
      <c r="N1037" s="28">
        <v>0.9</v>
      </c>
      <c r="O1037" s="26">
        <v>0.76907109496626902</v>
      </c>
      <c r="P1037" s="26">
        <v>0.76007368178678303</v>
      </c>
      <c r="Q1037" s="26">
        <v>0.83668212261720798</v>
      </c>
      <c r="R1037" s="26">
        <v>0.79669345344730502</v>
      </c>
      <c r="S1037" s="28">
        <v>0.9</v>
      </c>
      <c r="T1037" s="26">
        <v>0.86170212765957399</v>
      </c>
      <c r="U1037" s="26">
        <v>0.83030163481464403</v>
      </c>
      <c r="V1037" s="26">
        <v>0.92478104070067002</v>
      </c>
      <c r="W1037" s="26">
        <v>0.83876746685775705</v>
      </c>
      <c r="X1037" s="28">
        <v>0.92</v>
      </c>
      <c r="Y1037" s="28">
        <v>0.87801608579088497</v>
      </c>
      <c r="Z1037" s="28">
        <v>0.89629629629629604</v>
      </c>
      <c r="AA1037" s="28">
        <v>0.94983642311886596</v>
      </c>
      <c r="AB1037" s="28">
        <v>0.89237983587338798</v>
      </c>
      <c r="AC1037" s="28">
        <v>0.92</v>
      </c>
      <c r="AD1037" s="26">
        <v>0.95169385194479295</v>
      </c>
      <c r="AE1037" s="26">
        <v>0.96537552655912895</v>
      </c>
      <c r="AF1037" s="26">
        <v>0.71553053670573696</v>
      </c>
      <c r="AG1037" s="26">
        <v>0.89987302405182101</v>
      </c>
      <c r="AH1037" s="28">
        <v>0.92</v>
      </c>
      <c r="AI1037" s="26">
        <v>0.955078125</v>
      </c>
      <c r="AJ1037" s="26">
        <v>0.94931921331316205</v>
      </c>
      <c r="AK1037" s="26">
        <v>0.96961229479566902</v>
      </c>
      <c r="AL1037" s="26">
        <v>0.94428349498257502</v>
      </c>
      <c r="AM1037" s="25">
        <v>0.99</v>
      </c>
      <c r="AN1037" s="30">
        <v>1</v>
      </c>
      <c r="AO1037" s="30">
        <v>1</v>
      </c>
      <c r="AP1037" s="30">
        <v>1</v>
      </c>
      <c r="AQ1037" s="30">
        <v>1</v>
      </c>
      <c r="AR1037" s="50">
        <v>6.5641848892985799E-2</v>
      </c>
      <c r="AS1037" s="34">
        <v>-3.5714285714285698E-2</v>
      </c>
      <c r="AT1037" s="34">
        <v>3.4482758620689703E-2</v>
      </c>
      <c r="AU1037" s="34">
        <v>0</v>
      </c>
      <c r="AV1037" s="34">
        <v>1.27388535031847E-2</v>
      </c>
      <c r="AW1037" s="10"/>
      <c r="AX1037" s="8"/>
    </row>
    <row r="1038" spans="1:50">
      <c r="A1038" s="7"/>
      <c r="B1038" s="10"/>
      <c r="C1038" s="69" t="s">
        <v>944</v>
      </c>
      <c r="D1038" s="23" t="s">
        <v>23</v>
      </c>
      <c r="E1038" s="72" t="s">
        <v>1082</v>
      </c>
      <c r="F1038" s="73" t="s">
        <v>1082</v>
      </c>
      <c r="G1038" s="73" t="s">
        <v>1082</v>
      </c>
      <c r="H1038" s="73" t="s">
        <v>1082</v>
      </c>
      <c r="I1038" s="25">
        <v>0.9</v>
      </c>
      <c r="J1038" s="26">
        <v>0.85714285714285698</v>
      </c>
      <c r="K1038" s="26">
        <v>0.96428571428571397</v>
      </c>
      <c r="L1038" s="27">
        <v>0.92592592592592604</v>
      </c>
      <c r="M1038" s="26">
        <v>0.93373493975903599</v>
      </c>
      <c r="N1038" s="28">
        <v>0.9</v>
      </c>
      <c r="O1038" s="26">
        <v>0.95826086956521705</v>
      </c>
      <c r="P1038" s="26">
        <v>0.96048265460030202</v>
      </c>
      <c r="Q1038" s="26">
        <v>0.91344956413449596</v>
      </c>
      <c r="R1038" s="26">
        <v>0.95697051803109501</v>
      </c>
      <c r="S1038" s="28">
        <v>0.9</v>
      </c>
      <c r="T1038" s="26">
        <v>0.87860869565217403</v>
      </c>
      <c r="U1038" s="26">
        <v>0.91794871794871802</v>
      </c>
      <c r="V1038" s="26">
        <v>0.90535491905354903</v>
      </c>
      <c r="W1038" s="26">
        <v>0.89026514418424596</v>
      </c>
      <c r="X1038" s="28">
        <v>0.92</v>
      </c>
      <c r="Y1038" s="28">
        <v>0.9296875</v>
      </c>
      <c r="Z1038" s="28">
        <v>0.95411605937921695</v>
      </c>
      <c r="AA1038" s="28">
        <v>0.94656488549618301</v>
      </c>
      <c r="AB1038" s="28">
        <v>0.92559863169897405</v>
      </c>
      <c r="AC1038" s="28">
        <v>0.92</v>
      </c>
      <c r="AD1038" s="26">
        <v>0.99760244115082797</v>
      </c>
      <c r="AE1038" s="26">
        <v>0.98997750051135203</v>
      </c>
      <c r="AF1038" s="26">
        <v>0.96504735716468104</v>
      </c>
      <c r="AG1038" s="26">
        <v>0.96555944738863797</v>
      </c>
      <c r="AH1038" s="28">
        <v>0.92</v>
      </c>
      <c r="AI1038" s="26">
        <v>0.96273115220483596</v>
      </c>
      <c r="AJ1038" s="26">
        <v>0.967471660916708</v>
      </c>
      <c r="AK1038" s="26">
        <v>0.96446488294314403</v>
      </c>
      <c r="AL1038" s="26">
        <v>0.96107721439091098</v>
      </c>
      <c r="AM1038" s="25">
        <v>0.99</v>
      </c>
      <c r="AN1038" s="30">
        <v>1</v>
      </c>
      <c r="AO1038" s="30">
        <v>1</v>
      </c>
      <c r="AP1038" s="30">
        <v>1</v>
      </c>
      <c r="AQ1038" s="30">
        <v>1</v>
      </c>
      <c r="AR1038" s="50">
        <v>6.5641848892985799E-2</v>
      </c>
      <c r="AS1038" s="34">
        <v>0</v>
      </c>
      <c r="AT1038" s="34">
        <v>4.3478260869565202E-2</v>
      </c>
      <c r="AU1038" s="34">
        <v>0</v>
      </c>
      <c r="AV1038" s="34">
        <v>2.27272727272727E-2</v>
      </c>
      <c r="AW1038" s="10"/>
      <c r="AX1038" s="8"/>
    </row>
    <row r="1039" spans="1:50">
      <c r="A1039" s="7"/>
      <c r="B1039" s="10"/>
      <c r="C1039" s="69" t="s">
        <v>944</v>
      </c>
      <c r="D1039" s="23" t="s">
        <v>23</v>
      </c>
      <c r="E1039" s="72" t="s">
        <v>1083</v>
      </c>
      <c r="F1039" s="73" t="s">
        <v>1083</v>
      </c>
      <c r="G1039" s="73" t="s">
        <v>1083</v>
      </c>
      <c r="H1039" s="73" t="s">
        <v>1083</v>
      </c>
      <c r="I1039" s="25">
        <v>0.9</v>
      </c>
      <c r="J1039" s="26">
        <v>0</v>
      </c>
      <c r="K1039" s="26">
        <v>0</v>
      </c>
      <c r="L1039" s="27">
        <v>0</v>
      </c>
      <c r="M1039" s="26">
        <v>0</v>
      </c>
      <c r="N1039" s="28">
        <v>0.9</v>
      </c>
      <c r="O1039" s="26">
        <v>0</v>
      </c>
      <c r="P1039" s="26">
        <v>0</v>
      </c>
      <c r="Q1039" s="26">
        <v>0</v>
      </c>
      <c r="R1039" s="26">
        <v>0</v>
      </c>
      <c r="S1039" s="28">
        <v>0.9</v>
      </c>
      <c r="T1039" s="26">
        <v>0</v>
      </c>
      <c r="U1039" s="26">
        <v>0</v>
      </c>
      <c r="V1039" s="26">
        <v>0</v>
      </c>
      <c r="W1039" s="26">
        <v>0</v>
      </c>
      <c r="X1039" s="28">
        <v>0.92</v>
      </c>
      <c r="Y1039" s="28">
        <v>0</v>
      </c>
      <c r="Z1039" s="28">
        <v>0</v>
      </c>
      <c r="AA1039" s="28">
        <v>0</v>
      </c>
      <c r="AB1039" s="28">
        <v>0</v>
      </c>
      <c r="AC1039" s="28">
        <v>0.92</v>
      </c>
      <c r="AD1039" s="26">
        <v>1</v>
      </c>
      <c r="AE1039" s="26">
        <v>1</v>
      </c>
      <c r="AF1039" s="26">
        <v>0.99830795262267302</v>
      </c>
      <c r="AG1039" s="26">
        <v>0.99933730947647403</v>
      </c>
      <c r="AH1039" s="28">
        <v>0.92</v>
      </c>
      <c r="AI1039" s="26">
        <v>0</v>
      </c>
      <c r="AJ1039" s="26">
        <v>0</v>
      </c>
      <c r="AK1039" s="26">
        <v>0</v>
      </c>
      <c r="AL1039" s="26">
        <v>0</v>
      </c>
      <c r="AM1039" s="25">
        <v>0.99</v>
      </c>
      <c r="AN1039" s="30">
        <v>1</v>
      </c>
      <c r="AO1039" s="30">
        <v>1</v>
      </c>
      <c r="AP1039" s="30">
        <v>1</v>
      </c>
      <c r="AQ1039" s="30">
        <v>1</v>
      </c>
      <c r="AR1039" s="50">
        <v>6.5641848892985799E-2</v>
      </c>
      <c r="AS1039" s="34">
        <v>0</v>
      </c>
      <c r="AT1039" s="34">
        <v>0</v>
      </c>
      <c r="AU1039" s="34">
        <v>0</v>
      </c>
      <c r="AV1039" s="34">
        <v>0</v>
      </c>
      <c r="AW1039" s="10"/>
      <c r="AX1039" s="8"/>
    </row>
    <row r="1040" spans="1:50">
      <c r="A1040" s="7"/>
      <c r="B1040" s="10"/>
      <c r="C1040" s="69" t="s">
        <v>944</v>
      </c>
      <c r="D1040" s="23" t="s">
        <v>23</v>
      </c>
      <c r="E1040" s="72" t="s">
        <v>1084</v>
      </c>
      <c r="F1040" s="73" t="s">
        <v>1084</v>
      </c>
      <c r="G1040" s="73" t="s">
        <v>1084</v>
      </c>
      <c r="H1040" s="73" t="s">
        <v>1084</v>
      </c>
      <c r="I1040" s="25">
        <v>0.9</v>
      </c>
      <c r="J1040" s="26">
        <v>0.8</v>
      </c>
      <c r="K1040" s="26">
        <v>0.94594594594594605</v>
      </c>
      <c r="L1040" s="27">
        <v>0.86111111111111105</v>
      </c>
      <c r="M1040" s="26">
        <v>0.85446009389671396</v>
      </c>
      <c r="N1040" s="28">
        <v>0.9</v>
      </c>
      <c r="O1040" s="26">
        <v>0.76917930419268499</v>
      </c>
      <c r="P1040" s="26">
        <v>0.729557157569516</v>
      </c>
      <c r="Q1040" s="26">
        <v>0.91112065264061803</v>
      </c>
      <c r="R1040" s="26">
        <v>0.79278188746917699</v>
      </c>
      <c r="S1040" s="28">
        <v>0.9</v>
      </c>
      <c r="T1040" s="26">
        <v>0.83407671721677101</v>
      </c>
      <c r="U1040" s="26">
        <v>0.79217301750772395</v>
      </c>
      <c r="V1040" s="26">
        <v>0.88707599828252504</v>
      </c>
      <c r="W1040" s="26">
        <v>0.81927818874691805</v>
      </c>
      <c r="X1040" s="28">
        <v>0.92</v>
      </c>
      <c r="Y1040" s="28">
        <v>0.92009987515605496</v>
      </c>
      <c r="Z1040" s="28">
        <v>0.92619926199262004</v>
      </c>
      <c r="AA1040" s="28">
        <v>0.910873440285205</v>
      </c>
      <c r="AB1040" s="28">
        <v>0.89404376012966003</v>
      </c>
      <c r="AC1040" s="28">
        <v>0.92</v>
      </c>
      <c r="AD1040" s="26">
        <v>0.99717980464988298</v>
      </c>
      <c r="AE1040" s="26">
        <v>0.98202313853455903</v>
      </c>
      <c r="AF1040" s="26">
        <v>0.99449404761904803</v>
      </c>
      <c r="AG1040" s="26">
        <v>0.97359304963754101</v>
      </c>
      <c r="AH1040" s="28">
        <v>0.92</v>
      </c>
      <c r="AI1040" s="26">
        <v>0.95594630364908295</v>
      </c>
      <c r="AJ1040" s="26">
        <v>0.95101834707961597</v>
      </c>
      <c r="AK1040" s="26">
        <v>0.95018824210831199</v>
      </c>
      <c r="AL1040" s="26">
        <v>0.94320099801863899</v>
      </c>
      <c r="AM1040" s="25">
        <v>0.99</v>
      </c>
      <c r="AN1040" s="30">
        <v>1</v>
      </c>
      <c r="AO1040" s="30">
        <v>1</v>
      </c>
      <c r="AP1040" s="30">
        <v>1</v>
      </c>
      <c r="AQ1040" s="30">
        <v>1</v>
      </c>
      <c r="AR1040" s="50">
        <v>6.5641848892985799E-2</v>
      </c>
      <c r="AS1040" s="34">
        <v>0</v>
      </c>
      <c r="AT1040" s="34">
        <v>5.8823529411764698E-2</v>
      </c>
      <c r="AU1040" s="34">
        <v>0</v>
      </c>
      <c r="AV1040" s="34">
        <v>4.4585987261146501E-2</v>
      </c>
      <c r="AW1040" s="10"/>
      <c r="AX1040" s="8"/>
    </row>
    <row r="1041" spans="1:50">
      <c r="A1041" s="7"/>
      <c r="B1041" s="10"/>
      <c r="C1041" s="69" t="s">
        <v>944</v>
      </c>
      <c r="D1041" s="23" t="s">
        <v>23</v>
      </c>
      <c r="E1041" s="72" t="s">
        <v>1085</v>
      </c>
      <c r="F1041" s="73" t="s">
        <v>1085</v>
      </c>
      <c r="G1041" s="73" t="s">
        <v>1085</v>
      </c>
      <c r="H1041" s="73" t="s">
        <v>1085</v>
      </c>
      <c r="I1041" s="25">
        <v>0.9</v>
      </c>
      <c r="J1041" s="26">
        <v>1</v>
      </c>
      <c r="K1041" s="26">
        <v>0.95454545454545503</v>
      </c>
      <c r="L1041" s="27">
        <v>0.94444444444444398</v>
      </c>
      <c r="M1041" s="26">
        <v>0.94399999999999995</v>
      </c>
      <c r="N1041" s="28">
        <v>0.9</v>
      </c>
      <c r="O1041" s="26">
        <v>0.991125453812021</v>
      </c>
      <c r="P1041" s="26">
        <v>0.97352194414218396</v>
      </c>
      <c r="Q1041" s="26">
        <v>0.99521912350597597</v>
      </c>
      <c r="R1041" s="26">
        <v>0.98835937500000004</v>
      </c>
      <c r="S1041" s="28">
        <v>0.9</v>
      </c>
      <c r="T1041" s="26">
        <v>0.89269866881807203</v>
      </c>
      <c r="U1041" s="26">
        <v>0.89771490750816096</v>
      </c>
      <c r="V1041" s="26">
        <v>0.93227091633466097</v>
      </c>
      <c r="W1041" s="26">
        <v>0.88679687500000004</v>
      </c>
      <c r="X1041" s="28">
        <v>0.92</v>
      </c>
      <c r="Y1041" s="28">
        <v>0.91115311909262797</v>
      </c>
      <c r="Z1041" s="28">
        <v>0.93057851239669398</v>
      </c>
      <c r="AA1041" s="28">
        <v>0.92127303182579601</v>
      </c>
      <c r="AB1041" s="28">
        <v>0.92103448275862099</v>
      </c>
      <c r="AC1041" s="28">
        <v>0.92</v>
      </c>
      <c r="AD1041" s="26">
        <v>0.99207957266531599</v>
      </c>
      <c r="AE1041" s="26">
        <v>0.98971399899648804</v>
      </c>
      <c r="AF1041" s="26">
        <v>0.95280898876404496</v>
      </c>
      <c r="AG1041" s="26">
        <v>0.91050030752264</v>
      </c>
      <c r="AH1041" s="28">
        <v>0.92</v>
      </c>
      <c r="AI1041" s="26">
        <v>0.96876038551013599</v>
      </c>
      <c r="AJ1041" s="26">
        <v>0.96490184414039304</v>
      </c>
      <c r="AK1041" s="26">
        <v>0.95302375809935203</v>
      </c>
      <c r="AL1041" s="26">
        <v>0.95949302592191599</v>
      </c>
      <c r="AM1041" s="25">
        <v>0.99</v>
      </c>
      <c r="AN1041" s="30">
        <v>1</v>
      </c>
      <c r="AO1041" s="30">
        <v>1</v>
      </c>
      <c r="AP1041" s="30">
        <v>1</v>
      </c>
      <c r="AQ1041" s="30">
        <v>1</v>
      </c>
      <c r="AR1041" s="50">
        <v>6.5641848892985799E-2</v>
      </c>
      <c r="AS1041" s="34">
        <v>0</v>
      </c>
      <c r="AT1041" s="34">
        <v>0</v>
      </c>
      <c r="AU1041" s="34">
        <v>0</v>
      </c>
      <c r="AV1041" s="34">
        <v>2.5641025641025599E-2</v>
      </c>
      <c r="AW1041" s="10"/>
      <c r="AX1041" s="8"/>
    </row>
    <row r="1042" spans="1:50">
      <c r="A1042" s="7"/>
      <c r="B1042" s="10"/>
      <c r="C1042" s="69" t="s">
        <v>944</v>
      </c>
      <c r="D1042" s="23" t="s">
        <v>23</v>
      </c>
      <c r="E1042" s="72" t="s">
        <v>1086</v>
      </c>
      <c r="F1042" s="73" t="s">
        <v>1086</v>
      </c>
      <c r="G1042" s="73" t="s">
        <v>1086</v>
      </c>
      <c r="H1042" s="73" t="s">
        <v>1086</v>
      </c>
      <c r="I1042" s="25">
        <v>0.9</v>
      </c>
      <c r="J1042" s="26">
        <v>0.97619047619047605</v>
      </c>
      <c r="K1042" s="26">
        <v>0.97619047619047605</v>
      </c>
      <c r="L1042" s="27">
        <v>1</v>
      </c>
      <c r="M1042" s="26">
        <v>0.96566523605150201</v>
      </c>
      <c r="N1042" s="28">
        <v>0.9</v>
      </c>
      <c r="O1042" s="26">
        <v>0.85121503897294803</v>
      </c>
      <c r="P1042" s="26">
        <v>0.81418624891209701</v>
      </c>
      <c r="Q1042" s="26">
        <v>0.954995499549955</v>
      </c>
      <c r="R1042" s="26">
        <v>0.84398062208539004</v>
      </c>
      <c r="S1042" s="28">
        <v>0.9</v>
      </c>
      <c r="T1042" s="26">
        <v>0.87070151306739996</v>
      </c>
      <c r="U1042" s="26">
        <v>0.850957354221062</v>
      </c>
      <c r="V1042" s="26">
        <v>0.905490549054905</v>
      </c>
      <c r="W1042" s="26">
        <v>0.83986055145560701</v>
      </c>
      <c r="X1042" s="28">
        <v>0.92</v>
      </c>
      <c r="Y1042" s="28">
        <v>0.89425287356321803</v>
      </c>
      <c r="Z1042" s="28">
        <v>0.91938405797101497</v>
      </c>
      <c r="AA1042" s="28">
        <v>0.872268907563025</v>
      </c>
      <c r="AB1042" s="28">
        <v>0.882376081825334</v>
      </c>
      <c r="AC1042" s="28">
        <v>0.92</v>
      </c>
      <c r="AD1042" s="26">
        <v>0.99857052096569299</v>
      </c>
      <c r="AE1042" s="26">
        <v>0.99569220828173</v>
      </c>
      <c r="AF1042" s="26">
        <v>0.94074102633303802</v>
      </c>
      <c r="AG1042" s="26">
        <v>0.96720394522182596</v>
      </c>
      <c r="AH1042" s="28">
        <v>0.92</v>
      </c>
      <c r="AI1042" s="26">
        <v>0.96139881521116</v>
      </c>
      <c r="AJ1042" s="26">
        <v>0.96631578947368402</v>
      </c>
      <c r="AK1042" s="26">
        <v>0.92936694021101995</v>
      </c>
      <c r="AL1042" s="26">
        <v>0.94181510378330602</v>
      </c>
      <c r="AM1042" s="25">
        <v>0.99</v>
      </c>
      <c r="AN1042" s="30">
        <v>1</v>
      </c>
      <c r="AO1042" s="30">
        <v>1</v>
      </c>
      <c r="AP1042" s="30">
        <v>1</v>
      </c>
      <c r="AQ1042" s="30">
        <v>1</v>
      </c>
      <c r="AR1042" s="50">
        <v>6.5641848892985799E-2</v>
      </c>
      <c r="AS1042" s="34">
        <v>-9.375E-2</v>
      </c>
      <c r="AT1042" s="34">
        <v>0</v>
      </c>
      <c r="AU1042" s="34">
        <v>-3.7037037037037E-2</v>
      </c>
      <c r="AV1042" s="34">
        <v>1.53061224489796E-2</v>
      </c>
      <c r="AW1042" s="10"/>
      <c r="AX1042" s="8"/>
    </row>
    <row r="1043" spans="1:50">
      <c r="A1043" s="7"/>
      <c r="B1043" s="10"/>
      <c r="C1043" s="69" t="s">
        <v>944</v>
      </c>
      <c r="D1043" s="23" t="s">
        <v>23</v>
      </c>
      <c r="E1043" s="72" t="s">
        <v>1087</v>
      </c>
      <c r="F1043" s="73" t="s">
        <v>1087</v>
      </c>
      <c r="G1043" s="73" t="s">
        <v>1087</v>
      </c>
      <c r="H1043" s="73" t="s">
        <v>1087</v>
      </c>
      <c r="I1043" s="25">
        <v>0.9</v>
      </c>
      <c r="J1043" s="26">
        <v>1</v>
      </c>
      <c r="K1043" s="26">
        <v>0.97674418604651203</v>
      </c>
      <c r="L1043" s="27">
        <v>1</v>
      </c>
      <c r="M1043" s="26">
        <v>0.97188755020080297</v>
      </c>
      <c r="N1043" s="28">
        <v>0.9</v>
      </c>
      <c r="O1043" s="26">
        <v>0.93674211802748597</v>
      </c>
      <c r="P1043" s="26">
        <v>0.95260925686889197</v>
      </c>
      <c r="Q1043" s="26">
        <v>0.94782954998008795</v>
      </c>
      <c r="R1043" s="26">
        <v>0.92508731783692599</v>
      </c>
      <c r="S1043" s="28">
        <v>0.9</v>
      </c>
      <c r="T1043" s="26">
        <v>0.78294260307194796</v>
      </c>
      <c r="U1043" s="26">
        <v>0.762861884565739</v>
      </c>
      <c r="V1043" s="26">
        <v>0.911589008363202</v>
      </c>
      <c r="W1043" s="26">
        <v>0.80705768999156902</v>
      </c>
      <c r="X1043" s="28">
        <v>0.92</v>
      </c>
      <c r="Y1043" s="28">
        <v>0.91100000000000003</v>
      </c>
      <c r="Z1043" s="28">
        <v>0.95189873417721504</v>
      </c>
      <c r="AA1043" s="28">
        <v>0.874904067536454</v>
      </c>
      <c r="AB1043" s="28">
        <v>0.86644079885877301</v>
      </c>
      <c r="AC1043" s="28">
        <v>0.92</v>
      </c>
      <c r="AD1043" s="26">
        <v>0.99950452124365197</v>
      </c>
      <c r="AE1043" s="26">
        <v>0.97493232905731397</v>
      </c>
      <c r="AF1043" s="26">
        <v>0.982868975903614</v>
      </c>
      <c r="AG1043" s="26">
        <v>0.97181665166164299</v>
      </c>
      <c r="AH1043" s="28">
        <v>0.92</v>
      </c>
      <c r="AI1043" s="26">
        <v>0.96032279757901795</v>
      </c>
      <c r="AJ1043" s="26">
        <v>0.97231048570131595</v>
      </c>
      <c r="AK1043" s="26">
        <v>0.93787680209698598</v>
      </c>
      <c r="AL1043" s="26">
        <v>0.94489040332885599</v>
      </c>
      <c r="AM1043" s="25">
        <v>0.99</v>
      </c>
      <c r="AN1043" s="30">
        <v>1</v>
      </c>
      <c r="AO1043" s="30">
        <v>1</v>
      </c>
      <c r="AP1043" s="30">
        <v>1</v>
      </c>
      <c r="AQ1043" s="30">
        <v>1</v>
      </c>
      <c r="AR1043" s="50">
        <v>6.5641848892985799E-2</v>
      </c>
      <c r="AS1043" s="34">
        <v>3.2258064516128997E-2</v>
      </c>
      <c r="AT1043" s="34">
        <v>3.5714285714285698E-2</v>
      </c>
      <c r="AU1043" s="34">
        <v>0</v>
      </c>
      <c r="AV1043" s="34">
        <v>2.66666666666667E-2</v>
      </c>
      <c r="AW1043" s="10"/>
      <c r="AX1043" s="8"/>
    </row>
    <row r="1044" spans="1:50">
      <c r="A1044" s="7"/>
      <c r="B1044" s="10"/>
      <c r="C1044" s="69" t="s">
        <v>944</v>
      </c>
      <c r="D1044" s="23" t="s">
        <v>23</v>
      </c>
      <c r="E1044" s="72" t="s">
        <v>1088</v>
      </c>
      <c r="F1044" s="73" t="s">
        <v>1088</v>
      </c>
      <c r="G1044" s="73" t="s">
        <v>1088</v>
      </c>
      <c r="H1044" s="73" t="s">
        <v>1088</v>
      </c>
      <c r="I1044" s="25">
        <v>0.9</v>
      </c>
      <c r="J1044" s="26">
        <v>1</v>
      </c>
      <c r="K1044" s="26">
        <v>0.88888888888888895</v>
      </c>
      <c r="L1044" s="27">
        <v>0.8125</v>
      </c>
      <c r="M1044" s="26">
        <v>0.88679245283018904</v>
      </c>
      <c r="N1044" s="28">
        <v>0.9</v>
      </c>
      <c r="O1044" s="26">
        <v>0.88021778584391996</v>
      </c>
      <c r="P1044" s="26">
        <v>0.86216125794580101</v>
      </c>
      <c r="Q1044" s="26">
        <v>0.84102141680395404</v>
      </c>
      <c r="R1044" s="26">
        <v>0.89131689023510696</v>
      </c>
      <c r="S1044" s="28">
        <v>0.9</v>
      </c>
      <c r="T1044" s="26">
        <v>0.82141560798548097</v>
      </c>
      <c r="U1044" s="26">
        <v>0.76580796252927397</v>
      </c>
      <c r="V1044" s="26">
        <v>0.73970345963756201</v>
      </c>
      <c r="W1044" s="26">
        <v>0.79381220250973605</v>
      </c>
      <c r="X1044" s="28">
        <v>0.92</v>
      </c>
      <c r="Y1044" s="28">
        <v>0</v>
      </c>
      <c r="Z1044" s="28">
        <v>0</v>
      </c>
      <c r="AA1044" s="28">
        <v>0</v>
      </c>
      <c r="AB1044" s="28">
        <v>0</v>
      </c>
      <c r="AC1044" s="28">
        <v>0.92</v>
      </c>
      <c r="AD1044" s="26">
        <v>0.98901098901098905</v>
      </c>
      <c r="AE1044" s="26">
        <v>0.99273607748184001</v>
      </c>
      <c r="AF1044" s="26">
        <v>0.98703703703703705</v>
      </c>
      <c r="AG1044" s="26">
        <v>0.99370574350904795</v>
      </c>
      <c r="AH1044" s="28">
        <v>0.92</v>
      </c>
      <c r="AI1044" s="26">
        <v>0.90961887477313996</v>
      </c>
      <c r="AJ1044" s="26">
        <v>0.95717631314820995</v>
      </c>
      <c r="AK1044" s="26">
        <v>0.91522633744855997</v>
      </c>
      <c r="AL1044" s="26">
        <v>0.93812648734405402</v>
      </c>
      <c r="AM1044" s="25">
        <v>0.99</v>
      </c>
      <c r="AN1044" s="30">
        <v>1</v>
      </c>
      <c r="AO1044" s="30">
        <v>1</v>
      </c>
      <c r="AP1044" s="30">
        <v>1</v>
      </c>
      <c r="AQ1044" s="30">
        <v>1</v>
      </c>
      <c r="AR1044" s="50">
        <v>6.5641848892985799E-2</v>
      </c>
      <c r="AS1044" s="34">
        <v>0</v>
      </c>
      <c r="AT1044" s="34">
        <v>0.11111111111111099</v>
      </c>
      <c r="AU1044" s="34">
        <v>0</v>
      </c>
      <c r="AV1044" s="34">
        <v>5.5555555555555601E-2</v>
      </c>
      <c r="AW1044" s="10"/>
      <c r="AX1044" s="8"/>
    </row>
    <row r="1045" spans="1:50">
      <c r="A1045" s="7"/>
      <c r="B1045" s="10"/>
      <c r="C1045" s="69" t="s">
        <v>944</v>
      </c>
      <c r="D1045" s="23" t="s">
        <v>23</v>
      </c>
      <c r="E1045" s="72" t="s">
        <v>1089</v>
      </c>
      <c r="F1045" s="73" t="s">
        <v>1089</v>
      </c>
      <c r="G1045" s="73" t="s">
        <v>1089</v>
      </c>
      <c r="H1045" s="73" t="s">
        <v>1089</v>
      </c>
      <c r="I1045" s="25">
        <v>0.9</v>
      </c>
      <c r="J1045" s="26">
        <v>0.92857142857142905</v>
      </c>
      <c r="K1045" s="26">
        <v>0.96428571428571397</v>
      </c>
      <c r="L1045" s="27">
        <v>0.952380952380952</v>
      </c>
      <c r="M1045" s="26">
        <v>0.95424836601307195</v>
      </c>
      <c r="N1045" s="28">
        <v>0.9</v>
      </c>
      <c r="O1045" s="26">
        <v>0.94782126006106004</v>
      </c>
      <c r="P1045" s="26">
        <v>0.94063034449059402</v>
      </c>
      <c r="Q1045" s="26">
        <v>0.91488162344983104</v>
      </c>
      <c r="R1045" s="26">
        <v>0.93756380635108305</v>
      </c>
      <c r="S1045" s="28">
        <v>0.9</v>
      </c>
      <c r="T1045" s="26">
        <v>0.913127948931446</v>
      </c>
      <c r="U1045" s="26">
        <v>0.92230637674077698</v>
      </c>
      <c r="V1045" s="26">
        <v>0.91206313416008999</v>
      </c>
      <c r="W1045" s="26">
        <v>0.90881736607382702</v>
      </c>
      <c r="X1045" s="28">
        <v>0.92</v>
      </c>
      <c r="Y1045" s="28">
        <v>0</v>
      </c>
      <c r="Z1045" s="28">
        <v>0</v>
      </c>
      <c r="AA1045" s="28">
        <v>0</v>
      </c>
      <c r="AB1045" s="28">
        <v>0</v>
      </c>
      <c r="AC1045" s="28">
        <v>0.92</v>
      </c>
      <c r="AD1045" s="26">
        <v>0.99709864603481602</v>
      </c>
      <c r="AE1045" s="26">
        <v>0.98153277931671301</v>
      </c>
      <c r="AF1045" s="26">
        <v>0.98951965065502201</v>
      </c>
      <c r="AG1045" s="26">
        <v>0.99066751028155597</v>
      </c>
      <c r="AH1045" s="28">
        <v>0.92</v>
      </c>
      <c r="AI1045" s="26">
        <v>0.96641687482653305</v>
      </c>
      <c r="AJ1045" s="26">
        <v>0.96042022966039597</v>
      </c>
      <c r="AK1045" s="26">
        <v>0.95546786922209703</v>
      </c>
      <c r="AL1045" s="26">
        <v>0.96007951859015705</v>
      </c>
      <c r="AM1045" s="25">
        <v>0.99</v>
      </c>
      <c r="AN1045" s="30">
        <v>1</v>
      </c>
      <c r="AO1045" s="30">
        <v>1</v>
      </c>
      <c r="AP1045" s="30">
        <v>1</v>
      </c>
      <c r="AQ1045" s="30">
        <v>1</v>
      </c>
      <c r="AR1045" s="50">
        <v>6.5641848892985799E-2</v>
      </c>
      <c r="AS1045" s="34">
        <v>0.44444444444444398</v>
      </c>
      <c r="AT1045" s="34">
        <v>0</v>
      </c>
      <c r="AU1045" s="34">
        <v>0.2</v>
      </c>
      <c r="AV1045" s="34">
        <v>0.12765957446808501</v>
      </c>
      <c r="AW1045" s="10"/>
      <c r="AX1045" s="8"/>
    </row>
    <row r="1046" spans="1:50">
      <c r="A1046" s="7"/>
      <c r="B1046" s="10"/>
      <c r="C1046" s="69" t="s">
        <v>944</v>
      </c>
      <c r="D1046" s="23" t="s">
        <v>23</v>
      </c>
      <c r="E1046" s="76" t="s">
        <v>1090</v>
      </c>
      <c r="F1046" s="77" t="s">
        <v>1090</v>
      </c>
      <c r="G1046" s="77" t="s">
        <v>1090</v>
      </c>
      <c r="H1046" s="77" t="s">
        <v>1090</v>
      </c>
      <c r="I1046" s="25">
        <v>0.9</v>
      </c>
      <c r="J1046" s="26">
        <v>0.96551724137931005</v>
      </c>
      <c r="K1046" s="26">
        <v>0.96666666666666701</v>
      </c>
      <c r="L1046" s="27">
        <v>1</v>
      </c>
      <c r="M1046" s="26">
        <v>0.97674418604651203</v>
      </c>
      <c r="N1046" s="28">
        <v>0.9</v>
      </c>
      <c r="O1046" s="26">
        <v>0.94699722162855304</v>
      </c>
      <c r="P1046" s="26">
        <v>0.90979576399394901</v>
      </c>
      <c r="Q1046" s="26">
        <v>0.95467032967033005</v>
      </c>
      <c r="R1046" s="26">
        <v>0.94315377414688095</v>
      </c>
      <c r="S1046" s="28">
        <v>0.9</v>
      </c>
      <c r="T1046" s="26">
        <v>0.90852746313314803</v>
      </c>
      <c r="U1046" s="26">
        <v>0.90374432677760996</v>
      </c>
      <c r="V1046" s="26">
        <v>0.94230769230769196</v>
      </c>
      <c r="W1046" s="26">
        <v>0.91026295634414101</v>
      </c>
      <c r="X1046" s="28">
        <v>0.92</v>
      </c>
      <c r="Y1046" s="28">
        <v>0</v>
      </c>
      <c r="Z1046" s="28">
        <v>1</v>
      </c>
      <c r="AA1046" s="28">
        <v>0</v>
      </c>
      <c r="AB1046" s="28">
        <v>1</v>
      </c>
      <c r="AC1046" s="28">
        <v>0.92</v>
      </c>
      <c r="AD1046" s="26">
        <v>0.998450813323005</v>
      </c>
      <c r="AE1046" s="26">
        <v>0.98915569326103803</v>
      </c>
      <c r="AF1046" s="26">
        <v>0.99674267100977199</v>
      </c>
      <c r="AG1046" s="26">
        <v>0.99661733615222003</v>
      </c>
      <c r="AH1046" s="28">
        <v>0.92</v>
      </c>
      <c r="AI1046" s="26">
        <v>0.97007907672579596</v>
      </c>
      <c r="AJ1046" s="26">
        <v>0.973908111174135</v>
      </c>
      <c r="AK1046" s="26">
        <v>0.96978021978022</v>
      </c>
      <c r="AL1046" s="26">
        <v>0.96945200816882204</v>
      </c>
      <c r="AM1046" s="25">
        <v>0.99</v>
      </c>
      <c r="AN1046" s="30">
        <v>1</v>
      </c>
      <c r="AO1046" s="30">
        <v>1</v>
      </c>
      <c r="AP1046" s="30">
        <v>1</v>
      </c>
      <c r="AQ1046" s="30">
        <v>1</v>
      </c>
      <c r="AR1046" s="50">
        <v>6.5641848892985799E-2</v>
      </c>
      <c r="AS1046" s="34">
        <v>7.1428571428571397E-2</v>
      </c>
      <c r="AT1046" s="34">
        <v>0</v>
      </c>
      <c r="AU1046" s="34">
        <v>0.14285714285714299</v>
      </c>
      <c r="AV1046" s="34">
        <v>2.7777777777777801E-2</v>
      </c>
      <c r="AW1046" s="10"/>
      <c r="AX1046" s="8"/>
    </row>
    <row r="1047" spans="1:50">
      <c r="A1047" s="7"/>
      <c r="B1047" s="10"/>
      <c r="C1047" s="69" t="s">
        <v>944</v>
      </c>
      <c r="D1047" s="23" t="s">
        <v>23</v>
      </c>
      <c r="E1047" s="72" t="s">
        <v>1091</v>
      </c>
      <c r="F1047" s="73" t="s">
        <v>1091</v>
      </c>
      <c r="G1047" s="73" t="s">
        <v>1091</v>
      </c>
      <c r="H1047" s="73" t="s">
        <v>1091</v>
      </c>
      <c r="I1047" s="25">
        <v>0.9</v>
      </c>
      <c r="J1047" s="26">
        <v>0.9375</v>
      </c>
      <c r="K1047" s="26">
        <v>1</v>
      </c>
      <c r="L1047" s="27">
        <v>0.73333333333333295</v>
      </c>
      <c r="M1047" s="26">
        <v>0.80851063829787195</v>
      </c>
      <c r="N1047" s="28">
        <v>0.9</v>
      </c>
      <c r="O1047" s="26">
        <v>0.95062193742932499</v>
      </c>
      <c r="P1047" s="26">
        <v>0.95830461750516904</v>
      </c>
      <c r="Q1047" s="26">
        <v>0.91869918699187003</v>
      </c>
      <c r="R1047" s="26">
        <v>0.92896134001345998</v>
      </c>
      <c r="S1047" s="28">
        <v>0.9</v>
      </c>
      <c r="T1047" s="26">
        <v>0.89672069355446704</v>
      </c>
      <c r="U1047" s="26">
        <v>0.901791867677464</v>
      </c>
      <c r="V1047" s="26">
        <v>0.86910569105691104</v>
      </c>
      <c r="W1047" s="26">
        <v>0.88686158677933102</v>
      </c>
      <c r="X1047" s="28">
        <v>0.92</v>
      </c>
      <c r="Y1047" s="28">
        <v>0</v>
      </c>
      <c r="Z1047" s="28">
        <v>0</v>
      </c>
      <c r="AA1047" s="28">
        <v>0</v>
      </c>
      <c r="AB1047" s="28">
        <v>0</v>
      </c>
      <c r="AC1047" s="28">
        <v>0.92</v>
      </c>
      <c r="AD1047" s="26">
        <v>1</v>
      </c>
      <c r="AE1047" s="26">
        <v>0.99358974358974395</v>
      </c>
      <c r="AF1047" s="26">
        <v>1</v>
      </c>
      <c r="AG1047" s="26">
        <v>0.99070487993803302</v>
      </c>
      <c r="AH1047" s="28">
        <v>0.92</v>
      </c>
      <c r="AI1047" s="26">
        <v>0.97964568413117203</v>
      </c>
      <c r="AJ1047" s="26">
        <v>0.97243280496209505</v>
      </c>
      <c r="AK1047" s="26">
        <v>0.93739837398374004</v>
      </c>
      <c r="AL1047" s="26">
        <v>0.95782546922904399</v>
      </c>
      <c r="AM1047" s="25">
        <v>0.99</v>
      </c>
      <c r="AN1047" s="30">
        <v>1</v>
      </c>
      <c r="AO1047" s="30">
        <v>1</v>
      </c>
      <c r="AP1047" s="30">
        <v>1</v>
      </c>
      <c r="AQ1047" s="30">
        <v>1</v>
      </c>
      <c r="AR1047" s="50">
        <v>6.5641848892985799E-2</v>
      </c>
      <c r="AS1047" s="34">
        <v>0</v>
      </c>
      <c r="AT1047" s="34">
        <v>0.14285714285714299</v>
      </c>
      <c r="AU1047" s="34">
        <v>0</v>
      </c>
      <c r="AV1047" s="34">
        <v>3.2258064516128997E-2</v>
      </c>
      <c r="AW1047" s="10"/>
      <c r="AX1047" s="8"/>
    </row>
    <row r="1048" spans="1:50">
      <c r="A1048" s="7"/>
      <c r="B1048" s="10"/>
      <c r="C1048" s="69" t="s">
        <v>944</v>
      </c>
      <c r="D1048" s="23" t="s">
        <v>23</v>
      </c>
      <c r="E1048" s="72" t="s">
        <v>1092</v>
      </c>
      <c r="F1048" s="73" t="s">
        <v>1092</v>
      </c>
      <c r="G1048" s="73" t="s">
        <v>1092</v>
      </c>
      <c r="H1048" s="73" t="s">
        <v>1092</v>
      </c>
      <c r="I1048" s="25">
        <v>0.9</v>
      </c>
      <c r="J1048" s="26">
        <v>1</v>
      </c>
      <c r="K1048" s="26">
        <v>1</v>
      </c>
      <c r="L1048" s="27">
        <v>1</v>
      </c>
      <c r="M1048" s="26">
        <v>1</v>
      </c>
      <c r="N1048" s="28">
        <v>0.9</v>
      </c>
      <c r="O1048" s="26">
        <v>0.920743268866136</v>
      </c>
      <c r="P1048" s="26">
        <v>0.92141110723017805</v>
      </c>
      <c r="Q1048" s="26">
        <v>0.92483660130719003</v>
      </c>
      <c r="R1048" s="26">
        <v>0.93219188414542198</v>
      </c>
      <c r="S1048" s="28">
        <v>0.9</v>
      </c>
      <c r="T1048" s="26">
        <v>0.90329920364050098</v>
      </c>
      <c r="U1048" s="26">
        <v>0.90848760041914101</v>
      </c>
      <c r="V1048" s="26">
        <v>0.927287581699346</v>
      </c>
      <c r="W1048" s="26">
        <v>0.910997133806004</v>
      </c>
      <c r="X1048" s="28">
        <v>0.92</v>
      </c>
      <c r="Y1048" s="28">
        <v>0</v>
      </c>
      <c r="Z1048" s="28">
        <v>0</v>
      </c>
      <c r="AA1048" s="28">
        <v>0</v>
      </c>
      <c r="AB1048" s="28">
        <v>0</v>
      </c>
      <c r="AC1048" s="28">
        <v>0.92</v>
      </c>
      <c r="AD1048" s="26">
        <v>0.99626485568760603</v>
      </c>
      <c r="AE1048" s="26">
        <v>0.99570673712021096</v>
      </c>
      <c r="AF1048" s="26">
        <v>0.99090685672155299</v>
      </c>
      <c r="AG1048" s="26">
        <v>0.99534693460142198</v>
      </c>
      <c r="AH1048" s="28">
        <v>0.92</v>
      </c>
      <c r="AI1048" s="26">
        <v>0.95905989385898405</v>
      </c>
      <c r="AJ1048" s="26">
        <v>0.95705307262569805</v>
      </c>
      <c r="AK1048" s="26">
        <v>0.95833333333333304</v>
      </c>
      <c r="AL1048" s="26">
        <v>0.96214177978883897</v>
      </c>
      <c r="AM1048" s="25">
        <v>0.99</v>
      </c>
      <c r="AN1048" s="30">
        <v>1</v>
      </c>
      <c r="AO1048" s="30">
        <v>1</v>
      </c>
      <c r="AP1048" s="30">
        <v>1</v>
      </c>
      <c r="AQ1048" s="30">
        <v>1</v>
      </c>
      <c r="AR1048" s="50">
        <v>6.5641848892985799E-2</v>
      </c>
      <c r="AS1048" s="34">
        <v>0</v>
      </c>
      <c r="AT1048" s="34">
        <v>0</v>
      </c>
      <c r="AU1048" s="34">
        <v>0</v>
      </c>
      <c r="AV1048" s="34">
        <v>2.9411764705882401E-2</v>
      </c>
      <c r="AW1048" s="10"/>
      <c r="AX1048" s="8"/>
    </row>
    <row r="1049" spans="1:50">
      <c r="A1049" s="7"/>
      <c r="B1049" s="10"/>
      <c r="C1049" s="69" t="s">
        <v>944</v>
      </c>
      <c r="D1049" s="23" t="s">
        <v>23</v>
      </c>
      <c r="E1049" s="72" t="s">
        <v>1093</v>
      </c>
      <c r="F1049" s="73" t="s">
        <v>1093</v>
      </c>
      <c r="G1049" s="73" t="s">
        <v>1093</v>
      </c>
      <c r="H1049" s="73" t="s">
        <v>1093</v>
      </c>
      <c r="I1049" s="25">
        <v>0.9</v>
      </c>
      <c r="J1049" s="26">
        <v>0.94117647058823495</v>
      </c>
      <c r="K1049" s="26">
        <v>1</v>
      </c>
      <c r="L1049" s="27">
        <v>0.96296296296296302</v>
      </c>
      <c r="M1049" s="26">
        <v>0.93782383419689097</v>
      </c>
      <c r="N1049" s="28">
        <v>0.9</v>
      </c>
      <c r="O1049" s="26">
        <v>0.96209485442226705</v>
      </c>
      <c r="P1049" s="26">
        <v>0.95938234306814396</v>
      </c>
      <c r="Q1049" s="26">
        <v>0.94660194174757295</v>
      </c>
      <c r="R1049" s="26">
        <v>0.95273209940269898</v>
      </c>
      <c r="S1049" s="28">
        <v>0.9</v>
      </c>
      <c r="T1049" s="26">
        <v>0.90972349386559204</v>
      </c>
      <c r="U1049" s="26">
        <v>0.91524001342732497</v>
      </c>
      <c r="V1049" s="26">
        <v>0.92799352750809105</v>
      </c>
      <c r="W1049" s="26">
        <v>0.90786077722881797</v>
      </c>
      <c r="X1049" s="28">
        <v>0.92</v>
      </c>
      <c r="Y1049" s="28">
        <v>0</v>
      </c>
      <c r="Z1049" s="28">
        <v>0</v>
      </c>
      <c r="AA1049" s="28">
        <v>0</v>
      </c>
      <c r="AB1049" s="28">
        <v>0</v>
      </c>
      <c r="AC1049" s="28">
        <v>0.92</v>
      </c>
      <c r="AD1049" s="26">
        <v>0.99917627677100496</v>
      </c>
      <c r="AE1049" s="26">
        <v>0.98368456832087003</v>
      </c>
      <c r="AF1049" s="26">
        <v>0.99525657611039198</v>
      </c>
      <c r="AG1049" s="26">
        <v>0.99401637623346595</v>
      </c>
      <c r="AH1049" s="28">
        <v>0.92</v>
      </c>
      <c r="AI1049" s="26">
        <v>0.96576345660930096</v>
      </c>
      <c r="AJ1049" s="26">
        <v>0.96911715340718396</v>
      </c>
      <c r="AK1049" s="26">
        <v>0.96077638495754103</v>
      </c>
      <c r="AL1049" s="26">
        <v>0.95918743548149199</v>
      </c>
      <c r="AM1049" s="25">
        <v>0.99</v>
      </c>
      <c r="AN1049" s="30">
        <v>1</v>
      </c>
      <c r="AO1049" s="30">
        <v>1</v>
      </c>
      <c r="AP1049" s="30">
        <v>1</v>
      </c>
      <c r="AQ1049" s="30">
        <v>1</v>
      </c>
      <c r="AR1049" s="50">
        <v>6.5641848892985799E-2</v>
      </c>
      <c r="AS1049" s="34">
        <v>0.125</v>
      </c>
      <c r="AT1049" s="34">
        <v>-4.7619047619047603E-2</v>
      </c>
      <c r="AU1049" s="34">
        <v>0.35714285714285698</v>
      </c>
      <c r="AV1049" s="34">
        <v>9.2783505154639206E-2</v>
      </c>
      <c r="AW1049" s="10"/>
      <c r="AX1049" s="8"/>
    </row>
    <row r="1050" spans="1:50">
      <c r="A1050" s="7"/>
      <c r="B1050" s="10"/>
      <c r="C1050" s="69" t="s">
        <v>944</v>
      </c>
      <c r="D1050" s="23" t="s">
        <v>23</v>
      </c>
      <c r="E1050" s="72" t="s">
        <v>1094</v>
      </c>
      <c r="F1050" s="73" t="s">
        <v>1094</v>
      </c>
      <c r="G1050" s="73" t="s">
        <v>1094</v>
      </c>
      <c r="H1050" s="73" t="s">
        <v>1094</v>
      </c>
      <c r="I1050" s="25">
        <v>0.9</v>
      </c>
      <c r="J1050" s="26">
        <v>1</v>
      </c>
      <c r="K1050" s="26">
        <v>0.96551724137931005</v>
      </c>
      <c r="L1050" s="27">
        <v>0.95</v>
      </c>
      <c r="M1050" s="26">
        <v>0.98701298701298701</v>
      </c>
      <c r="N1050" s="28">
        <v>0.9</v>
      </c>
      <c r="O1050" s="26">
        <v>0.94953717527620196</v>
      </c>
      <c r="P1050" s="26">
        <v>0.95847479759728405</v>
      </c>
      <c r="Q1050" s="26">
        <v>0.939873417721519</v>
      </c>
      <c r="R1050" s="26">
        <v>0.95063610247992003</v>
      </c>
      <c r="S1050" s="28">
        <v>0.9</v>
      </c>
      <c r="T1050" s="26">
        <v>0.93371155568826503</v>
      </c>
      <c r="U1050" s="26">
        <v>0.91512144162966802</v>
      </c>
      <c r="V1050" s="26">
        <v>0.89113924050632898</v>
      </c>
      <c r="W1050" s="26">
        <v>0.91891891891891897</v>
      </c>
      <c r="X1050" s="28">
        <v>0.92</v>
      </c>
      <c r="Y1050" s="28">
        <v>0</v>
      </c>
      <c r="Z1050" s="28">
        <v>0</v>
      </c>
      <c r="AA1050" s="28">
        <v>0</v>
      </c>
      <c r="AB1050" s="28">
        <v>0</v>
      </c>
      <c r="AC1050" s="28">
        <v>0.92</v>
      </c>
      <c r="AD1050" s="26">
        <v>0.99954254345837101</v>
      </c>
      <c r="AE1050" s="26">
        <v>0.997805413313826</v>
      </c>
      <c r="AF1050" s="26">
        <v>0.99507194953676303</v>
      </c>
      <c r="AG1050" s="26">
        <v>0.995260101907809</v>
      </c>
      <c r="AH1050" s="28">
        <v>0.92</v>
      </c>
      <c r="AI1050" s="26">
        <v>0.96625858465213499</v>
      </c>
      <c r="AJ1050" s="26">
        <v>0.95899712718725505</v>
      </c>
      <c r="AK1050" s="26">
        <v>0.93607594936708904</v>
      </c>
      <c r="AL1050" s="26">
        <v>0.96154071642141103</v>
      </c>
      <c r="AM1050" s="25">
        <v>0.99</v>
      </c>
      <c r="AN1050" s="30">
        <v>1</v>
      </c>
      <c r="AO1050" s="30">
        <v>1</v>
      </c>
      <c r="AP1050" s="30">
        <v>1</v>
      </c>
      <c r="AQ1050" s="30">
        <v>1</v>
      </c>
      <c r="AR1050" s="50">
        <v>6.5641848892985799E-2</v>
      </c>
      <c r="AS1050" s="34">
        <v>0</v>
      </c>
      <c r="AT1050" s="34">
        <v>0.1</v>
      </c>
      <c r="AU1050" s="34">
        <v>0.16666666666666699</v>
      </c>
      <c r="AV1050" s="34">
        <v>9.7560975609756101E-2</v>
      </c>
      <c r="AW1050" s="10"/>
      <c r="AX1050" s="8"/>
    </row>
    <row r="1051" spans="1:50">
      <c r="A1051" s="7"/>
      <c r="B1051" s="10"/>
      <c r="C1051" s="69" t="s">
        <v>944</v>
      </c>
      <c r="D1051" s="23" t="s">
        <v>23</v>
      </c>
      <c r="E1051" s="76" t="s">
        <v>1095</v>
      </c>
      <c r="F1051" s="77" t="s">
        <v>1095</v>
      </c>
      <c r="G1051" s="77" t="s">
        <v>1095</v>
      </c>
      <c r="H1051" s="77" t="s">
        <v>1095</v>
      </c>
      <c r="I1051" s="25">
        <v>0.9</v>
      </c>
      <c r="J1051" s="26">
        <v>0.89473684210526305</v>
      </c>
      <c r="K1051" s="26">
        <v>0.95</v>
      </c>
      <c r="L1051" s="27">
        <v>0.875</v>
      </c>
      <c r="M1051" s="26">
        <v>0.87850467289719603</v>
      </c>
      <c r="N1051" s="28">
        <v>0.9</v>
      </c>
      <c r="O1051" s="26">
        <v>0.95383236216943101</v>
      </c>
      <c r="P1051" s="26">
        <v>0.90856031128404702</v>
      </c>
      <c r="Q1051" s="26">
        <v>0.92449177153920603</v>
      </c>
      <c r="R1051" s="26">
        <v>0.92912255517674502</v>
      </c>
      <c r="S1051" s="28">
        <v>0.9</v>
      </c>
      <c r="T1051" s="26">
        <v>0.91931869116987897</v>
      </c>
      <c r="U1051" s="26">
        <v>0.88910505836575904</v>
      </c>
      <c r="V1051" s="26">
        <v>0.91481122942884796</v>
      </c>
      <c r="W1051" s="26">
        <v>0.87367665530235095</v>
      </c>
      <c r="X1051" s="28">
        <v>0.92</v>
      </c>
      <c r="Y1051" s="28">
        <v>0</v>
      </c>
      <c r="Z1051" s="28">
        <v>0</v>
      </c>
      <c r="AA1051" s="28">
        <v>0</v>
      </c>
      <c r="AB1051" s="28">
        <v>0</v>
      </c>
      <c r="AC1051" s="28">
        <v>0.92</v>
      </c>
      <c r="AD1051" s="26">
        <v>0.97173144876325102</v>
      </c>
      <c r="AE1051" s="26">
        <v>0.98975409836065598</v>
      </c>
      <c r="AF1051" s="26">
        <v>0.97452229299363102</v>
      </c>
      <c r="AG1051" s="26">
        <v>0.97870370370370396</v>
      </c>
      <c r="AH1051" s="28">
        <v>0.92</v>
      </c>
      <c r="AI1051" s="26">
        <v>0.95562528014343295</v>
      </c>
      <c r="AJ1051" s="26">
        <v>0.96108949416342404</v>
      </c>
      <c r="AK1051" s="26">
        <v>0.96030977734753098</v>
      </c>
      <c r="AL1051" s="26">
        <v>0.93109635743764596</v>
      </c>
      <c r="AM1051" s="25">
        <v>0.99</v>
      </c>
      <c r="AN1051" s="30">
        <v>1</v>
      </c>
      <c r="AO1051" s="30">
        <v>1</v>
      </c>
      <c r="AP1051" s="30">
        <v>1</v>
      </c>
      <c r="AQ1051" s="30">
        <v>1</v>
      </c>
      <c r="AR1051" s="50">
        <v>6.5641848892985799E-2</v>
      </c>
      <c r="AS1051" s="34">
        <v>0</v>
      </c>
      <c r="AT1051" s="34">
        <v>0</v>
      </c>
      <c r="AU1051" s="34">
        <v>0</v>
      </c>
      <c r="AV1051" s="34">
        <v>6.6666666666666693E-2</v>
      </c>
      <c r="AW1051" s="10"/>
      <c r="AX1051" s="8"/>
    </row>
    <row r="1052" spans="1:50">
      <c r="A1052" s="7"/>
      <c r="B1052" s="10"/>
      <c r="C1052" s="69" t="s">
        <v>944</v>
      </c>
      <c r="D1052" s="23" t="s">
        <v>23</v>
      </c>
      <c r="E1052" s="74" t="s">
        <v>1096</v>
      </c>
      <c r="F1052" s="75" t="s">
        <v>1096</v>
      </c>
      <c r="G1052" s="75" t="s">
        <v>1096</v>
      </c>
      <c r="H1052" s="75" t="s">
        <v>1096</v>
      </c>
      <c r="I1052" s="25">
        <v>0.9</v>
      </c>
      <c r="J1052" s="26">
        <v>1</v>
      </c>
      <c r="K1052" s="26">
        <v>1</v>
      </c>
      <c r="L1052" s="27">
        <v>0.94444444444444398</v>
      </c>
      <c r="M1052" s="26">
        <v>0.99199999999999999</v>
      </c>
      <c r="N1052" s="28">
        <v>0.9</v>
      </c>
      <c r="O1052" s="26">
        <v>0.94234693877551001</v>
      </c>
      <c r="P1052" s="26">
        <v>0.96201364558362501</v>
      </c>
      <c r="Q1052" s="26">
        <v>0.89983022071307295</v>
      </c>
      <c r="R1052" s="26">
        <v>0.95090175489767104</v>
      </c>
      <c r="S1052" s="28">
        <v>0.9</v>
      </c>
      <c r="T1052" s="26">
        <v>0.89540816326530603</v>
      </c>
      <c r="U1052" s="26">
        <v>0.85819657016411599</v>
      </c>
      <c r="V1052" s="26">
        <v>0.88030560271646896</v>
      </c>
      <c r="W1052" s="26">
        <v>0.88240727237372996</v>
      </c>
      <c r="X1052" s="28">
        <v>0.92</v>
      </c>
      <c r="Y1052" s="28">
        <v>0</v>
      </c>
      <c r="Z1052" s="28">
        <v>0</v>
      </c>
      <c r="AA1052" s="28">
        <v>0</v>
      </c>
      <c r="AB1052" s="28">
        <v>0</v>
      </c>
      <c r="AC1052" s="28">
        <v>0.92</v>
      </c>
      <c r="AD1052" s="26">
        <v>0.99923214742769395</v>
      </c>
      <c r="AE1052" s="26">
        <v>0.99793014230271704</v>
      </c>
      <c r="AF1052" s="26">
        <v>0.74960000000000004</v>
      </c>
      <c r="AG1052" s="26">
        <v>0.93345338805595102</v>
      </c>
      <c r="AH1052" s="28">
        <v>0.92</v>
      </c>
      <c r="AI1052" s="26">
        <v>0.97959183673469397</v>
      </c>
      <c r="AJ1052" s="26">
        <v>0.97436843075788304</v>
      </c>
      <c r="AK1052" s="26">
        <v>0.967741935483871</v>
      </c>
      <c r="AL1052" s="26">
        <v>0.97302027125565105</v>
      </c>
      <c r="AM1052" s="25">
        <v>0.99</v>
      </c>
      <c r="AN1052" s="30">
        <v>1</v>
      </c>
      <c r="AO1052" s="30">
        <v>1</v>
      </c>
      <c r="AP1052" s="30">
        <v>1</v>
      </c>
      <c r="AQ1052" s="30">
        <v>1</v>
      </c>
      <c r="AR1052" s="50">
        <v>6.5641848892985799E-2</v>
      </c>
      <c r="AS1052" s="34">
        <v>0</v>
      </c>
      <c r="AT1052" s="34">
        <v>0</v>
      </c>
      <c r="AU1052" s="34">
        <v>0</v>
      </c>
      <c r="AV1052" s="34">
        <v>0</v>
      </c>
      <c r="AW1052" s="10"/>
      <c r="AX1052" s="8"/>
    </row>
    <row r="1053" spans="1:50">
      <c r="A1053" s="7"/>
      <c r="B1053" s="10"/>
      <c r="C1053" s="69" t="s">
        <v>944</v>
      </c>
      <c r="D1053" s="23" t="s">
        <v>23</v>
      </c>
      <c r="E1053" s="72" t="s">
        <v>1097</v>
      </c>
      <c r="F1053" s="73" t="s">
        <v>1097</v>
      </c>
      <c r="G1053" s="73" t="s">
        <v>1097</v>
      </c>
      <c r="H1053" s="73" t="s">
        <v>1097</v>
      </c>
      <c r="I1053" s="25">
        <v>0.9</v>
      </c>
      <c r="J1053" s="26">
        <v>0.81690140845070403</v>
      </c>
      <c r="K1053" s="26">
        <v>0.85714285714285698</v>
      </c>
      <c r="L1053" s="27">
        <v>0.84375</v>
      </c>
      <c r="M1053" s="26">
        <v>0.82456140350877205</v>
      </c>
      <c r="N1053" s="28">
        <v>0.9</v>
      </c>
      <c r="O1053" s="26">
        <v>0.91347142647274904</v>
      </c>
      <c r="P1053" s="26">
        <v>0.94199785177228801</v>
      </c>
      <c r="Q1053" s="26">
        <v>0.96240082787168002</v>
      </c>
      <c r="R1053" s="26">
        <v>0.93406383992377295</v>
      </c>
      <c r="S1053" s="28">
        <v>0.9</v>
      </c>
      <c r="T1053" s="26">
        <v>0.83854855296018804</v>
      </c>
      <c r="U1053" s="26">
        <v>0.84532760472610102</v>
      </c>
      <c r="V1053" s="26">
        <v>0.90755432907899303</v>
      </c>
      <c r="W1053" s="26">
        <v>0.85545497856121999</v>
      </c>
      <c r="X1053" s="28">
        <v>0.92</v>
      </c>
      <c r="Y1053" s="28">
        <v>0</v>
      </c>
      <c r="Z1053" s="28">
        <v>0</v>
      </c>
      <c r="AA1053" s="28">
        <v>0</v>
      </c>
      <c r="AB1053" s="28">
        <v>1</v>
      </c>
      <c r="AC1053" s="28">
        <v>0.92</v>
      </c>
      <c r="AD1053" s="26">
        <v>0.93907156673114101</v>
      </c>
      <c r="AE1053" s="26">
        <v>0.98905723905723897</v>
      </c>
      <c r="AF1053" s="26">
        <v>0.98137535816618904</v>
      </c>
      <c r="AG1053" s="26">
        <v>0.96492063492063496</v>
      </c>
      <c r="AH1053" s="28">
        <v>0.92</v>
      </c>
      <c r="AI1053" s="26">
        <v>0.93021889231673305</v>
      </c>
      <c r="AJ1053" s="26">
        <v>0.92266380236305001</v>
      </c>
      <c r="AK1053" s="26">
        <v>0.94825802000689896</v>
      </c>
      <c r="AL1053" s="26">
        <v>0.93803988821138196</v>
      </c>
      <c r="AM1053" s="25">
        <v>0.99</v>
      </c>
      <c r="AN1053" s="30">
        <v>1</v>
      </c>
      <c r="AO1053" s="30">
        <v>1</v>
      </c>
      <c r="AP1053" s="30">
        <v>1</v>
      </c>
      <c r="AQ1053" s="30">
        <v>1</v>
      </c>
      <c r="AR1053" s="50">
        <v>6.5641848892985799E-2</v>
      </c>
      <c r="AS1053" s="34">
        <v>3.4482758620689703E-2</v>
      </c>
      <c r="AT1053" s="34">
        <v>4.3478260869565202E-2</v>
      </c>
      <c r="AU1053" s="34">
        <v>0</v>
      </c>
      <c r="AV1053" s="34">
        <v>2.6490066225165601E-2</v>
      </c>
      <c r="AW1053" s="10"/>
      <c r="AX1053" s="8"/>
    </row>
    <row r="1054" spans="1:50">
      <c r="A1054" s="7"/>
      <c r="B1054" s="10"/>
      <c r="C1054" s="69" t="s">
        <v>944</v>
      </c>
      <c r="D1054" s="23" t="s">
        <v>23</v>
      </c>
      <c r="E1054" s="72" t="s">
        <v>1098</v>
      </c>
      <c r="F1054" s="73" t="s">
        <v>1098</v>
      </c>
      <c r="G1054" s="73" t="s">
        <v>1098</v>
      </c>
      <c r="H1054" s="73" t="s">
        <v>1098</v>
      </c>
      <c r="I1054" s="25">
        <v>0.9</v>
      </c>
      <c r="J1054" s="26">
        <v>0.97959183673469397</v>
      </c>
      <c r="K1054" s="26">
        <v>0.97826086956521696</v>
      </c>
      <c r="L1054" s="27">
        <v>1</v>
      </c>
      <c r="M1054" s="26">
        <v>0.98490566037735805</v>
      </c>
      <c r="N1054" s="28">
        <v>0.9</v>
      </c>
      <c r="O1054" s="26">
        <v>0.96811805429039899</v>
      </c>
      <c r="P1054" s="26">
        <v>0.95943708609271505</v>
      </c>
      <c r="Q1054" s="26">
        <v>0.93564563309653204</v>
      </c>
      <c r="R1054" s="26">
        <v>0.95671148855862198</v>
      </c>
      <c r="S1054" s="28">
        <v>0.9</v>
      </c>
      <c r="T1054" s="26">
        <v>0.93496083075241398</v>
      </c>
      <c r="U1054" s="26">
        <v>0.93108443708609301</v>
      </c>
      <c r="V1054" s="26">
        <v>0.91558712912661899</v>
      </c>
      <c r="W1054" s="26">
        <v>0.92973971848706505</v>
      </c>
      <c r="X1054" s="28">
        <v>0.92</v>
      </c>
      <c r="Y1054" s="28">
        <v>0</v>
      </c>
      <c r="Z1054" s="28">
        <v>0</v>
      </c>
      <c r="AA1054" s="28">
        <v>0</v>
      </c>
      <c r="AB1054" s="28">
        <v>0</v>
      </c>
      <c r="AC1054" s="28">
        <v>0.92</v>
      </c>
      <c r="AD1054" s="26">
        <v>0.98876404494381998</v>
      </c>
      <c r="AE1054" s="26">
        <v>0.99468791500664</v>
      </c>
      <c r="AF1054" s="26">
        <v>0.99702380952380998</v>
      </c>
      <c r="AG1054" s="26">
        <v>0.99479336153595799</v>
      </c>
      <c r="AH1054" s="28">
        <v>0.92</v>
      </c>
      <c r="AI1054" s="26">
        <v>0.95919110949171105</v>
      </c>
      <c r="AJ1054" s="26">
        <v>0.95654872749844799</v>
      </c>
      <c r="AK1054" s="26">
        <v>0.93898871709151699</v>
      </c>
      <c r="AL1054" s="26">
        <v>0.95620552738137399</v>
      </c>
      <c r="AM1054" s="25">
        <v>0.99</v>
      </c>
      <c r="AN1054" s="30">
        <v>1</v>
      </c>
      <c r="AO1054" s="30">
        <v>1</v>
      </c>
      <c r="AP1054" s="30">
        <v>1</v>
      </c>
      <c r="AQ1054" s="30">
        <v>1</v>
      </c>
      <c r="AR1054" s="50">
        <v>6.5641848892985799E-2</v>
      </c>
      <c r="AS1054" s="34">
        <v>2.7027027027027001E-2</v>
      </c>
      <c r="AT1054" s="34">
        <v>0.133333333333333</v>
      </c>
      <c r="AU1054" s="34">
        <v>0</v>
      </c>
      <c r="AV1054" s="34">
        <v>4.5112781954887202E-2</v>
      </c>
      <c r="AW1054" s="10"/>
      <c r="AX1054" s="8"/>
    </row>
    <row r="1055" spans="1:50">
      <c r="A1055" s="7"/>
      <c r="B1055" s="10"/>
      <c r="C1055" s="69" t="s">
        <v>944</v>
      </c>
      <c r="D1055" s="23" t="s">
        <v>23</v>
      </c>
      <c r="E1055" s="72" t="s">
        <v>1099</v>
      </c>
      <c r="F1055" s="73" t="s">
        <v>1099</v>
      </c>
      <c r="G1055" s="73" t="s">
        <v>1099</v>
      </c>
      <c r="H1055" s="73" t="s">
        <v>1099</v>
      </c>
      <c r="I1055" s="25">
        <v>0.9</v>
      </c>
      <c r="J1055" s="26">
        <v>0.967741935483871</v>
      </c>
      <c r="K1055" s="26">
        <v>0.939393939393939</v>
      </c>
      <c r="L1055" s="27">
        <v>0.9</v>
      </c>
      <c r="M1055" s="26">
        <v>0.91847826086956497</v>
      </c>
      <c r="N1055" s="28">
        <v>0.9</v>
      </c>
      <c r="O1055" s="26">
        <v>0.981985044187627</v>
      </c>
      <c r="P1055" s="26">
        <v>0.97632684230622402</v>
      </c>
      <c r="Q1055" s="26">
        <v>0.97173414820473603</v>
      </c>
      <c r="R1055" s="26">
        <v>0.97252670039347899</v>
      </c>
      <c r="S1055" s="28">
        <v>0.9</v>
      </c>
      <c r="T1055" s="26">
        <v>0.86233854520734199</v>
      </c>
      <c r="U1055" s="26">
        <v>0.873997709049255</v>
      </c>
      <c r="V1055" s="26">
        <v>0.90374331550802101</v>
      </c>
      <c r="W1055" s="26">
        <v>0.86333614390106805</v>
      </c>
      <c r="X1055" s="28">
        <v>0.92</v>
      </c>
      <c r="Y1055" s="28">
        <v>0</v>
      </c>
      <c r="Z1055" s="28">
        <v>0</v>
      </c>
      <c r="AA1055" s="28">
        <v>0</v>
      </c>
      <c r="AB1055" s="28">
        <v>0</v>
      </c>
      <c r="AC1055" s="28">
        <v>0.92</v>
      </c>
      <c r="AD1055" s="26">
        <v>0.985200845665962</v>
      </c>
      <c r="AE1055" s="26">
        <v>0.99726775956284197</v>
      </c>
      <c r="AF1055" s="26">
        <v>1</v>
      </c>
      <c r="AG1055" s="26">
        <v>0.99526270456502997</v>
      </c>
      <c r="AH1055" s="28">
        <v>0.92</v>
      </c>
      <c r="AI1055" s="26">
        <v>0.95309313392250194</v>
      </c>
      <c r="AJ1055" s="26">
        <v>0.96181748759068297</v>
      </c>
      <c r="AK1055" s="26">
        <v>0.95339954163483598</v>
      </c>
      <c r="AL1055" s="26">
        <v>0.95791174817313096</v>
      </c>
      <c r="AM1055" s="25">
        <v>0.99</v>
      </c>
      <c r="AN1055" s="30">
        <v>1</v>
      </c>
      <c r="AO1055" s="30">
        <v>1</v>
      </c>
      <c r="AP1055" s="30">
        <v>1</v>
      </c>
      <c r="AQ1055" s="30">
        <v>1</v>
      </c>
      <c r="AR1055" s="50">
        <v>6.5641848892985799E-2</v>
      </c>
      <c r="AS1055" s="34">
        <v>0.1</v>
      </c>
      <c r="AT1055" s="34">
        <v>0</v>
      </c>
      <c r="AU1055" s="34">
        <v>0.14285714285714299</v>
      </c>
      <c r="AV1055" s="34">
        <v>5.6818181818181802E-2</v>
      </c>
      <c r="AW1055" s="10"/>
      <c r="AX1055" s="8"/>
    </row>
    <row r="1056" spans="1:50">
      <c r="A1056" s="7"/>
      <c r="B1056" s="10"/>
      <c r="C1056" s="47"/>
      <c r="D1056" s="48"/>
      <c r="E1056" s="48"/>
      <c r="F1056" s="48"/>
      <c r="G1056" s="48"/>
      <c r="H1056" s="48"/>
      <c r="I1056" s="39"/>
      <c r="J1056" s="82"/>
      <c r="K1056" s="82"/>
      <c r="L1056" s="82"/>
      <c r="M1056" s="82"/>
      <c r="N1056" s="43"/>
      <c r="O1056" s="40"/>
      <c r="P1056" s="40"/>
      <c r="Q1056" s="26"/>
      <c r="R1056" s="40"/>
      <c r="S1056" s="43"/>
      <c r="T1056" s="40"/>
      <c r="U1056" s="40"/>
      <c r="V1056" s="26"/>
      <c r="W1056" s="40"/>
      <c r="X1056" s="43"/>
      <c r="Y1056" s="43"/>
      <c r="Z1056" s="43"/>
      <c r="AA1056" s="28"/>
      <c r="AB1056" s="43"/>
      <c r="AC1056" s="40"/>
      <c r="AD1056" s="40"/>
      <c r="AE1056" s="40"/>
      <c r="AF1056" s="26"/>
      <c r="AG1056" s="40"/>
      <c r="AH1056" s="40"/>
      <c r="AI1056" s="40"/>
      <c r="AJ1056" s="40"/>
      <c r="AK1056" s="26"/>
      <c r="AL1056" s="40"/>
      <c r="AM1056" s="39"/>
      <c r="AN1056" s="39"/>
      <c r="AO1056" s="39"/>
      <c r="AP1056" s="30"/>
      <c r="AQ1056" s="39"/>
      <c r="AR1056" s="40"/>
      <c r="AS1056" s="39"/>
      <c r="AT1056" s="39"/>
      <c r="AU1056" s="34"/>
      <c r="AV1056" s="39"/>
      <c r="AW1056" s="10"/>
      <c r="AX1056" s="8"/>
    </row>
    <row r="1057" spans="1:50">
      <c r="A1057" s="7"/>
      <c r="B1057" s="10"/>
      <c r="C1057" s="45" t="s">
        <v>1100</v>
      </c>
      <c r="D1057" s="23" t="s">
        <v>25</v>
      </c>
      <c r="E1057" s="83" t="s">
        <v>1101</v>
      </c>
      <c r="F1057" s="83" t="s">
        <v>1101</v>
      </c>
      <c r="G1057" s="83" t="s">
        <v>1101</v>
      </c>
      <c r="H1057" s="83" t="s">
        <v>1101</v>
      </c>
      <c r="I1057" s="25">
        <v>0.9</v>
      </c>
      <c r="J1057" s="26">
        <v>0.96551724137931005</v>
      </c>
      <c r="K1057" s="26">
        <v>0.9</v>
      </c>
      <c r="L1057" s="27">
        <v>0.88461538461538503</v>
      </c>
      <c r="M1057" s="26">
        <v>0.95321637426900596</v>
      </c>
      <c r="N1057" s="28">
        <v>0.9</v>
      </c>
      <c r="O1057" s="26">
        <v>0.98559932232104996</v>
      </c>
      <c r="P1057" s="26">
        <v>0.96534873389604603</v>
      </c>
      <c r="Q1057" s="26">
        <v>0.95499618611746795</v>
      </c>
      <c r="R1057" s="26">
        <v>0.96746336357292395</v>
      </c>
      <c r="S1057" s="28">
        <v>0.9</v>
      </c>
      <c r="T1057" s="26">
        <v>0.91867852604828504</v>
      </c>
      <c r="U1057" s="26">
        <v>0.92758773878276302</v>
      </c>
      <c r="V1057" s="26">
        <v>0.92677345537757405</v>
      </c>
      <c r="W1057" s="26">
        <v>0.92428471737613405</v>
      </c>
      <c r="X1057" s="28">
        <v>0.92</v>
      </c>
      <c r="Y1057" s="28">
        <v>0.95537065052950099</v>
      </c>
      <c r="Z1057" s="28">
        <v>0.95996797437950399</v>
      </c>
      <c r="AA1057" s="28">
        <v>0.95255041518386696</v>
      </c>
      <c r="AB1057" s="28">
        <v>0.95270169136356797</v>
      </c>
      <c r="AC1057" s="28">
        <v>0.92</v>
      </c>
      <c r="AD1057" s="26">
        <v>0.99470899470899499</v>
      </c>
      <c r="AE1057" s="26">
        <v>0.95216907675194695</v>
      </c>
      <c r="AF1057" s="26">
        <v>0.99809433063363495</v>
      </c>
      <c r="AG1057" s="26">
        <v>0.99163713678242404</v>
      </c>
      <c r="AH1057" s="28">
        <v>0.92</v>
      </c>
      <c r="AI1057" s="26">
        <v>0.96959000814553398</v>
      </c>
      <c r="AJ1057" s="26">
        <v>0.97257142857142898</v>
      </c>
      <c r="AK1057" s="26">
        <v>0.96935933147632303</v>
      </c>
      <c r="AL1057" s="26">
        <v>0.96869833572137098</v>
      </c>
      <c r="AM1057" s="25">
        <v>0.99</v>
      </c>
      <c r="AN1057" s="30">
        <v>1</v>
      </c>
      <c r="AO1057" s="30">
        <v>1</v>
      </c>
      <c r="AP1057" s="30">
        <v>1</v>
      </c>
      <c r="AQ1057" s="30">
        <v>1</v>
      </c>
      <c r="AR1057" s="50">
        <v>7.2186152540827803E-2</v>
      </c>
      <c r="AS1057" s="34">
        <v>0.2</v>
      </c>
      <c r="AT1057" s="34">
        <v>0</v>
      </c>
      <c r="AU1057" s="34">
        <v>0</v>
      </c>
      <c r="AV1057" s="34">
        <v>0.11111111111111099</v>
      </c>
      <c r="AW1057" s="10"/>
      <c r="AX1057" s="8"/>
    </row>
    <row r="1058" spans="1:50">
      <c r="A1058" s="7"/>
      <c r="B1058" s="10"/>
      <c r="C1058" s="45" t="s">
        <v>1100</v>
      </c>
      <c r="D1058" s="23" t="s">
        <v>25</v>
      </c>
      <c r="E1058" s="83" t="s">
        <v>1102</v>
      </c>
      <c r="F1058" s="83" t="s">
        <v>1102</v>
      </c>
      <c r="G1058" s="83" t="s">
        <v>1102</v>
      </c>
      <c r="H1058" s="83" t="s">
        <v>1102</v>
      </c>
      <c r="I1058" s="25">
        <v>0.9</v>
      </c>
      <c r="J1058" s="26">
        <v>0.93181818181818199</v>
      </c>
      <c r="K1058" s="26">
        <v>1</v>
      </c>
      <c r="L1058" s="27">
        <v>0.9</v>
      </c>
      <c r="M1058" s="26">
        <v>0.952380952380952</v>
      </c>
      <c r="N1058" s="28">
        <v>0.9</v>
      </c>
      <c r="O1058" s="26">
        <v>0.93161180476730998</v>
      </c>
      <c r="P1058" s="26">
        <v>0.98994082840236697</v>
      </c>
      <c r="Q1058" s="26">
        <v>0.99269311064718202</v>
      </c>
      <c r="R1058" s="26">
        <v>0.97663300065738401</v>
      </c>
      <c r="S1058" s="28">
        <v>0.9</v>
      </c>
      <c r="T1058" s="26">
        <v>0.83200908059023804</v>
      </c>
      <c r="U1058" s="26">
        <v>0.92011834319526598</v>
      </c>
      <c r="V1058" s="26">
        <v>0.91231732776618002</v>
      </c>
      <c r="W1058" s="26">
        <v>0.90157174445706101</v>
      </c>
      <c r="X1058" s="28">
        <v>0.92</v>
      </c>
      <c r="Y1058" s="28">
        <v>0.90337191746351297</v>
      </c>
      <c r="Z1058" s="28">
        <v>0.95801104972375695</v>
      </c>
      <c r="AA1058" s="28">
        <v>0.93012422360248403</v>
      </c>
      <c r="AB1058" s="28">
        <v>0.94114102049015702</v>
      </c>
      <c r="AC1058" s="28">
        <v>0.92</v>
      </c>
      <c r="AD1058" s="26">
        <v>0.94367497691597402</v>
      </c>
      <c r="AE1058" s="26">
        <v>0.9156223893066</v>
      </c>
      <c r="AF1058" s="26">
        <v>0.98866396761133601</v>
      </c>
      <c r="AG1058" s="26">
        <v>0.87800090593386704</v>
      </c>
      <c r="AH1058" s="28">
        <v>0.92</v>
      </c>
      <c r="AI1058" s="26">
        <v>0.92433315187806198</v>
      </c>
      <c r="AJ1058" s="26">
        <v>0.975722543352601</v>
      </c>
      <c r="AK1058" s="26">
        <v>0.96379525593008697</v>
      </c>
      <c r="AL1058" s="26">
        <v>0.96148225860841496</v>
      </c>
      <c r="AM1058" s="25">
        <v>0.99</v>
      </c>
      <c r="AN1058" s="30">
        <v>1</v>
      </c>
      <c r="AO1058" s="30">
        <v>1</v>
      </c>
      <c r="AP1058" s="30">
        <v>1</v>
      </c>
      <c r="AQ1058" s="30">
        <v>1</v>
      </c>
      <c r="AR1058" s="50">
        <v>7.2186152540827803E-2</v>
      </c>
      <c r="AS1058" s="34">
        <v>6.6666666666666693E-2</v>
      </c>
      <c r="AT1058" s="34">
        <v>7.69230769230769E-2</v>
      </c>
      <c r="AU1058" s="34">
        <v>0</v>
      </c>
      <c r="AV1058" s="34">
        <v>6.3291139240506306E-2</v>
      </c>
      <c r="AW1058" s="10"/>
      <c r="AX1058" s="8"/>
    </row>
    <row r="1059" spans="1:50">
      <c r="A1059" s="7"/>
      <c r="B1059" s="10"/>
      <c r="C1059" s="45" t="s">
        <v>1100</v>
      </c>
      <c r="D1059" s="23" t="s">
        <v>25</v>
      </c>
      <c r="E1059" s="83" t="s">
        <v>1103</v>
      </c>
      <c r="F1059" s="83" t="s">
        <v>1103</v>
      </c>
      <c r="G1059" s="83" t="s">
        <v>1103</v>
      </c>
      <c r="H1059" s="83" t="s">
        <v>1103</v>
      </c>
      <c r="I1059" s="25">
        <v>0.9</v>
      </c>
      <c r="J1059" s="26">
        <v>0.86538461538461497</v>
      </c>
      <c r="K1059" s="26">
        <v>0.85714285714285698</v>
      </c>
      <c r="L1059" s="27">
        <v>0.83333333333333304</v>
      </c>
      <c r="M1059" s="26">
        <v>0.82978723404255295</v>
      </c>
      <c r="N1059" s="28">
        <v>0.9</v>
      </c>
      <c r="O1059" s="26">
        <v>0.97345399698340895</v>
      </c>
      <c r="P1059" s="26">
        <v>0.96861991674671799</v>
      </c>
      <c r="Q1059" s="26">
        <v>0.97543271915131202</v>
      </c>
      <c r="R1059" s="26">
        <v>0.96129481819333595</v>
      </c>
      <c r="S1059" s="28">
        <v>0.9</v>
      </c>
      <c r="T1059" s="26">
        <v>0.94087481146304697</v>
      </c>
      <c r="U1059" s="26">
        <v>0.92891450528338104</v>
      </c>
      <c r="V1059" s="26">
        <v>0.92685650474595205</v>
      </c>
      <c r="W1059" s="26">
        <v>0.93741289750411805</v>
      </c>
      <c r="X1059" s="28">
        <v>0.92</v>
      </c>
      <c r="Y1059" s="28">
        <v>0.950838635049161</v>
      </c>
      <c r="Z1059" s="28">
        <v>0.94386574074074103</v>
      </c>
      <c r="AA1059" s="28">
        <v>0.95601659751037305</v>
      </c>
      <c r="AB1059" s="28">
        <v>0.95485078735822004</v>
      </c>
      <c r="AC1059" s="28">
        <v>0.92</v>
      </c>
      <c r="AD1059" s="26">
        <v>0.99378881987577605</v>
      </c>
      <c r="AE1059" s="26">
        <v>0.996009122006842</v>
      </c>
      <c r="AF1059" s="26">
        <v>0.90544412607449898</v>
      </c>
      <c r="AG1059" s="26">
        <v>0.95470355731225298</v>
      </c>
      <c r="AH1059" s="28">
        <v>0.92</v>
      </c>
      <c r="AI1059" s="26">
        <v>0.97125297383029296</v>
      </c>
      <c r="AJ1059" s="26">
        <v>0.968047825190682</v>
      </c>
      <c r="AK1059" s="26">
        <v>0.96695594125500695</v>
      </c>
      <c r="AL1059" s="26">
        <v>0.97108617846945799</v>
      </c>
      <c r="AM1059" s="25">
        <v>0.99</v>
      </c>
      <c r="AN1059" s="30">
        <v>1</v>
      </c>
      <c r="AO1059" s="30">
        <v>1</v>
      </c>
      <c r="AP1059" s="30">
        <v>1</v>
      </c>
      <c r="AQ1059" s="30">
        <v>1</v>
      </c>
      <c r="AR1059" s="50">
        <v>7.2186152540827803E-2</v>
      </c>
      <c r="AS1059" s="34">
        <v>0</v>
      </c>
      <c r="AT1059" s="34">
        <v>0.11111111111111099</v>
      </c>
      <c r="AU1059" s="34">
        <v>7.69230769230769E-2</v>
      </c>
      <c r="AV1059" s="34">
        <v>2.8571428571428598E-2</v>
      </c>
      <c r="AW1059" s="10"/>
      <c r="AX1059" s="8"/>
    </row>
    <row r="1060" spans="1:50">
      <c r="A1060" s="7"/>
      <c r="B1060" s="10"/>
      <c r="C1060" s="45" t="s">
        <v>1100</v>
      </c>
      <c r="D1060" s="23" t="s">
        <v>25</v>
      </c>
      <c r="E1060" s="83" t="s">
        <v>1104</v>
      </c>
      <c r="F1060" s="83" t="s">
        <v>1104</v>
      </c>
      <c r="G1060" s="83" t="s">
        <v>1104</v>
      </c>
      <c r="H1060" s="83" t="s">
        <v>1104</v>
      </c>
      <c r="I1060" s="25">
        <v>0.9</v>
      </c>
      <c r="J1060" s="26">
        <v>0.93877551020408201</v>
      </c>
      <c r="K1060" s="26">
        <v>0.89795918367346905</v>
      </c>
      <c r="L1060" s="27">
        <v>0.90909090909090895</v>
      </c>
      <c r="M1060" s="26">
        <v>0.93050193050193097</v>
      </c>
      <c r="N1060" s="28">
        <v>0.9</v>
      </c>
      <c r="O1060" s="26">
        <v>0.93119959677419395</v>
      </c>
      <c r="P1060" s="26">
        <v>0.97244303126656095</v>
      </c>
      <c r="Q1060" s="26">
        <v>0.96099128040385495</v>
      </c>
      <c r="R1060" s="26">
        <v>0.96166728693710501</v>
      </c>
      <c r="S1060" s="28">
        <v>0.9</v>
      </c>
      <c r="T1060" s="26">
        <v>0.91532258064516103</v>
      </c>
      <c r="U1060" s="26">
        <v>0.92183359830418699</v>
      </c>
      <c r="V1060" s="26">
        <v>0.94722349701698005</v>
      </c>
      <c r="W1060" s="26">
        <v>0.93184113987984496</v>
      </c>
      <c r="X1060" s="28">
        <v>0.92</v>
      </c>
      <c r="Y1060" s="28">
        <v>0.95568400770712902</v>
      </c>
      <c r="Z1060" s="28">
        <v>0.94703285924472802</v>
      </c>
      <c r="AA1060" s="28">
        <v>0.96571428571428597</v>
      </c>
      <c r="AB1060" s="28">
        <v>0.953436601428439</v>
      </c>
      <c r="AC1060" s="28">
        <v>0.92</v>
      </c>
      <c r="AD1060" s="26">
        <v>0.987631416202845</v>
      </c>
      <c r="AE1060" s="26">
        <v>0.98567193675889297</v>
      </c>
      <c r="AF1060" s="26">
        <v>0.992489270386266</v>
      </c>
      <c r="AG1060" s="26">
        <v>0.98937511255177402</v>
      </c>
      <c r="AH1060" s="28">
        <v>0.92</v>
      </c>
      <c r="AI1060" s="26">
        <v>0.96310390469887497</v>
      </c>
      <c r="AJ1060" s="26">
        <v>0.97023911921555095</v>
      </c>
      <c r="AK1060" s="26">
        <v>0.97876501816149797</v>
      </c>
      <c r="AL1060" s="26">
        <v>0.97056437985805999</v>
      </c>
      <c r="AM1060" s="25">
        <v>0.99</v>
      </c>
      <c r="AN1060" s="30">
        <v>1</v>
      </c>
      <c r="AO1060" s="30">
        <v>1</v>
      </c>
      <c r="AP1060" s="30">
        <v>1</v>
      </c>
      <c r="AQ1060" s="30">
        <v>1</v>
      </c>
      <c r="AR1060" s="50">
        <v>7.2186152540827803E-2</v>
      </c>
      <c r="AS1060" s="34">
        <v>0</v>
      </c>
      <c r="AT1060" s="34">
        <v>0</v>
      </c>
      <c r="AU1060" s="34">
        <v>0</v>
      </c>
      <c r="AV1060" s="34">
        <v>2.40963855421687E-2</v>
      </c>
      <c r="AW1060" s="10"/>
      <c r="AX1060" s="8"/>
    </row>
    <row r="1061" spans="1:50">
      <c r="A1061" s="7"/>
      <c r="B1061" s="10"/>
      <c r="C1061" s="45" t="s">
        <v>1100</v>
      </c>
      <c r="D1061" s="23" t="s">
        <v>25</v>
      </c>
      <c r="E1061" s="83" t="s">
        <v>1105</v>
      </c>
      <c r="F1061" s="83" t="s">
        <v>1105</v>
      </c>
      <c r="G1061" s="83" t="s">
        <v>1105</v>
      </c>
      <c r="H1061" s="83" t="s">
        <v>1105</v>
      </c>
      <c r="I1061" s="25">
        <v>0.9</v>
      </c>
      <c r="J1061" s="26">
        <v>0.93877551020408201</v>
      </c>
      <c r="K1061" s="26">
        <v>0.91836734693877597</v>
      </c>
      <c r="L1061" s="27">
        <v>0.97619047619047605</v>
      </c>
      <c r="M1061" s="26">
        <v>0.93862815884476503</v>
      </c>
      <c r="N1061" s="28">
        <v>0.9</v>
      </c>
      <c r="O1061" s="26">
        <v>0.974219536757301</v>
      </c>
      <c r="P1061" s="26">
        <v>0.96478405315614602</v>
      </c>
      <c r="Q1061" s="26">
        <v>0.98197460057353503</v>
      </c>
      <c r="R1061" s="26">
        <v>0.97575459903554196</v>
      </c>
      <c r="S1061" s="28">
        <v>0.9</v>
      </c>
      <c r="T1061" s="26">
        <v>0.88580060422960705</v>
      </c>
      <c r="U1061" s="26">
        <v>0.92004429678848298</v>
      </c>
      <c r="V1061" s="26">
        <v>0.91110200737402702</v>
      </c>
      <c r="W1061" s="26">
        <v>0.910296481514556</v>
      </c>
      <c r="X1061" s="28">
        <v>0.92</v>
      </c>
      <c r="Y1061" s="28">
        <v>0.94015748031496105</v>
      </c>
      <c r="Z1061" s="28">
        <v>0.92534381139489197</v>
      </c>
      <c r="AA1061" s="28">
        <v>0.93742690058479505</v>
      </c>
      <c r="AB1061" s="28">
        <v>0.93313046785850096</v>
      </c>
      <c r="AC1061" s="28">
        <v>0.92</v>
      </c>
      <c r="AD1061" s="26">
        <v>0.94228187919463102</v>
      </c>
      <c r="AE1061" s="26">
        <v>0.97972630511910797</v>
      </c>
      <c r="AF1061" s="26">
        <v>0.99324038867765096</v>
      </c>
      <c r="AG1061" s="26">
        <v>0.98169396513970397</v>
      </c>
      <c r="AH1061" s="28">
        <v>0.92</v>
      </c>
      <c r="AI1061" s="26">
        <v>0.95803357314148696</v>
      </c>
      <c r="AJ1061" s="26">
        <v>0.953682719546742</v>
      </c>
      <c r="AK1061" s="26">
        <v>0.95472061657032803</v>
      </c>
      <c r="AL1061" s="26">
        <v>0.95611320542395795</v>
      </c>
      <c r="AM1061" s="25">
        <v>0.99</v>
      </c>
      <c r="AN1061" s="30">
        <v>1</v>
      </c>
      <c r="AO1061" s="30">
        <v>1</v>
      </c>
      <c r="AP1061" s="30">
        <v>1</v>
      </c>
      <c r="AQ1061" s="30">
        <v>1</v>
      </c>
      <c r="AR1061" s="50">
        <v>7.2186152540827803E-2</v>
      </c>
      <c r="AS1061" s="34">
        <v>-7.1428571428571397E-2</v>
      </c>
      <c r="AT1061" s="34">
        <v>0</v>
      </c>
      <c r="AU1061" s="34">
        <v>0</v>
      </c>
      <c r="AV1061" s="34">
        <v>1.26582278481013E-2</v>
      </c>
      <c r="AW1061" s="10"/>
      <c r="AX1061" s="8"/>
    </row>
    <row r="1062" spans="1:50">
      <c r="A1062" s="7"/>
      <c r="B1062" s="10"/>
      <c r="C1062" s="45" t="s">
        <v>1100</v>
      </c>
      <c r="D1062" s="23" t="s">
        <v>25</v>
      </c>
      <c r="E1062" s="83" t="s">
        <v>1106</v>
      </c>
      <c r="F1062" s="83" t="s">
        <v>1106</v>
      </c>
      <c r="G1062" s="83" t="s">
        <v>1106</v>
      </c>
      <c r="H1062" s="83" t="s">
        <v>1106</v>
      </c>
      <c r="I1062" s="25">
        <v>0.9</v>
      </c>
      <c r="J1062" s="26">
        <v>1</v>
      </c>
      <c r="K1062" s="26">
        <v>1</v>
      </c>
      <c r="L1062" s="27">
        <v>1</v>
      </c>
      <c r="M1062" s="26">
        <v>0.99173553719008301</v>
      </c>
      <c r="N1062" s="28">
        <v>0.9</v>
      </c>
      <c r="O1062" s="26">
        <v>0.94639769452449596</v>
      </c>
      <c r="P1062" s="26">
        <v>0.97951807228915699</v>
      </c>
      <c r="Q1062" s="26">
        <v>0.95906432748537995</v>
      </c>
      <c r="R1062" s="26">
        <v>0.96776077561032603</v>
      </c>
      <c r="S1062" s="28">
        <v>0.9</v>
      </c>
      <c r="T1062" s="26">
        <v>0.94178674351585001</v>
      </c>
      <c r="U1062" s="26">
        <v>0.94638554216867499</v>
      </c>
      <c r="V1062" s="26">
        <v>0.94639376218323601</v>
      </c>
      <c r="W1062" s="26">
        <v>0.94837051746291301</v>
      </c>
      <c r="X1062" s="28">
        <v>0.92</v>
      </c>
      <c r="Y1062" s="28">
        <v>0.95348837209302295</v>
      </c>
      <c r="Z1062" s="28">
        <v>0.96729957805907196</v>
      </c>
      <c r="AA1062" s="28">
        <v>0.95912408759124101</v>
      </c>
      <c r="AB1062" s="28">
        <v>0.95920398009950203</v>
      </c>
      <c r="AC1062" s="28">
        <v>0.92</v>
      </c>
      <c r="AD1062" s="26">
        <v>1</v>
      </c>
      <c r="AE1062" s="26">
        <v>0.86772486772486801</v>
      </c>
      <c r="AF1062" s="26">
        <v>1</v>
      </c>
      <c r="AG1062" s="26">
        <v>0.96335877862595398</v>
      </c>
      <c r="AH1062" s="28">
        <v>0.92</v>
      </c>
      <c r="AI1062" s="26">
        <v>0.97503671071953002</v>
      </c>
      <c r="AJ1062" s="26">
        <v>0.98121165644171804</v>
      </c>
      <c r="AK1062" s="26">
        <v>0.97720631209818798</v>
      </c>
      <c r="AL1062" s="26">
        <v>0.97585750036802599</v>
      </c>
      <c r="AM1062" s="25">
        <v>0.99</v>
      </c>
      <c r="AN1062" s="30">
        <v>1</v>
      </c>
      <c r="AO1062" s="30">
        <v>1</v>
      </c>
      <c r="AP1062" s="30">
        <v>1</v>
      </c>
      <c r="AQ1062" s="30">
        <v>1</v>
      </c>
      <c r="AR1062" s="50">
        <v>7.2186152540827803E-2</v>
      </c>
      <c r="AS1062" s="34">
        <v>0</v>
      </c>
      <c r="AT1062" s="34">
        <v>0</v>
      </c>
      <c r="AU1062" s="34">
        <v>0.16666666666666699</v>
      </c>
      <c r="AV1062" s="34">
        <v>4.3478260869565202E-2</v>
      </c>
      <c r="AW1062" s="10"/>
      <c r="AX1062" s="8"/>
    </row>
    <row r="1063" spans="1:50">
      <c r="A1063" s="7"/>
      <c r="B1063" s="10"/>
      <c r="C1063" s="45" t="s">
        <v>1100</v>
      </c>
      <c r="D1063" s="23" t="s">
        <v>25</v>
      </c>
      <c r="E1063" s="83" t="s">
        <v>1107</v>
      </c>
      <c r="F1063" s="83" t="s">
        <v>1107</v>
      </c>
      <c r="G1063" s="83" t="s">
        <v>1107</v>
      </c>
      <c r="H1063" s="83" t="s">
        <v>1107</v>
      </c>
      <c r="I1063" s="25">
        <v>0.9</v>
      </c>
      <c r="J1063" s="26">
        <v>0.97826086956521696</v>
      </c>
      <c r="K1063" s="26">
        <v>0.97777777777777797</v>
      </c>
      <c r="L1063" s="27">
        <v>0.94285714285714295</v>
      </c>
      <c r="M1063" s="26">
        <v>0.96525096525096499</v>
      </c>
      <c r="N1063" s="28">
        <v>0.9</v>
      </c>
      <c r="O1063" s="26">
        <v>0.94878314565928101</v>
      </c>
      <c r="P1063" s="26">
        <v>0.88257016248153597</v>
      </c>
      <c r="Q1063" s="26">
        <v>0.89065479974570905</v>
      </c>
      <c r="R1063" s="26">
        <v>0.92920353982300896</v>
      </c>
      <c r="S1063" s="28">
        <v>0.9</v>
      </c>
      <c r="T1063" s="26">
        <v>0.90882673447148599</v>
      </c>
      <c r="U1063" s="26">
        <v>0.918389955686854</v>
      </c>
      <c r="V1063" s="26">
        <v>0.88620470438652299</v>
      </c>
      <c r="W1063" s="26">
        <v>0.90420353982300905</v>
      </c>
      <c r="X1063" s="28">
        <v>0.92</v>
      </c>
      <c r="Y1063" s="28">
        <v>0.96222791293213805</v>
      </c>
      <c r="Z1063" s="28">
        <v>0.98275862068965503</v>
      </c>
      <c r="AA1063" s="28">
        <v>0.97261567516525005</v>
      </c>
      <c r="AB1063" s="28">
        <v>0.97581883316274298</v>
      </c>
      <c r="AC1063" s="28">
        <v>0.92</v>
      </c>
      <c r="AD1063" s="26">
        <v>0.99719887955182096</v>
      </c>
      <c r="AE1063" s="26">
        <v>0.76377952755905498</v>
      </c>
      <c r="AF1063" s="26">
        <v>0.959514170040486</v>
      </c>
      <c r="AG1063" s="26">
        <v>0.94834103317933605</v>
      </c>
      <c r="AH1063" s="28">
        <v>0.92</v>
      </c>
      <c r="AI1063" s="26">
        <v>0.97589803012746201</v>
      </c>
      <c r="AJ1063" s="26">
        <v>0.98821548821548799</v>
      </c>
      <c r="AK1063" s="26">
        <v>0.97873148499810103</v>
      </c>
      <c r="AL1063" s="26">
        <v>0.983420268256334</v>
      </c>
      <c r="AM1063" s="25">
        <v>0.99</v>
      </c>
      <c r="AN1063" s="30">
        <v>1</v>
      </c>
      <c r="AO1063" s="30">
        <v>1</v>
      </c>
      <c r="AP1063" s="30">
        <v>1</v>
      </c>
      <c r="AQ1063" s="30">
        <v>1</v>
      </c>
      <c r="AR1063" s="50">
        <v>7.2186152540827803E-2</v>
      </c>
      <c r="AS1063" s="34">
        <v>-9.0909090909090898E-2</v>
      </c>
      <c r="AT1063" s="34">
        <v>0</v>
      </c>
      <c r="AU1063" s="34">
        <v>0</v>
      </c>
      <c r="AV1063" s="34">
        <v>0</v>
      </c>
      <c r="AW1063" s="10"/>
      <c r="AX1063" s="8"/>
    </row>
    <row r="1064" spans="1:50">
      <c r="A1064" s="7"/>
      <c r="B1064" s="10"/>
      <c r="C1064" s="45" t="s">
        <v>1100</v>
      </c>
      <c r="D1064" s="23" t="s">
        <v>25</v>
      </c>
      <c r="E1064" s="83" t="s">
        <v>1108</v>
      </c>
      <c r="F1064" s="83" t="s">
        <v>1108</v>
      </c>
      <c r="G1064" s="83" t="s">
        <v>1108</v>
      </c>
      <c r="H1064" s="83" t="s">
        <v>1108</v>
      </c>
      <c r="I1064" s="25">
        <v>0.9</v>
      </c>
      <c r="J1064" s="26">
        <v>0.91463414634146301</v>
      </c>
      <c r="K1064" s="26">
        <v>0.88888888888888895</v>
      </c>
      <c r="L1064" s="27">
        <v>0.88235294117647101</v>
      </c>
      <c r="M1064" s="26">
        <v>0.87420042643923201</v>
      </c>
      <c r="N1064" s="28">
        <v>0.9</v>
      </c>
      <c r="O1064" s="26">
        <v>0.96963123644251603</v>
      </c>
      <c r="P1064" s="26">
        <v>0.97783897193810598</v>
      </c>
      <c r="Q1064" s="26">
        <v>0.98062432723358495</v>
      </c>
      <c r="R1064" s="26">
        <v>0.96373549306608197</v>
      </c>
      <c r="S1064" s="28">
        <v>0.9</v>
      </c>
      <c r="T1064" s="26">
        <v>0.79284164859002204</v>
      </c>
      <c r="U1064" s="26">
        <v>0.79779701022816696</v>
      </c>
      <c r="V1064" s="26">
        <v>0.83387154646573403</v>
      </c>
      <c r="W1064" s="26">
        <v>0.79648440151121003</v>
      </c>
      <c r="X1064" s="28">
        <v>0.92</v>
      </c>
      <c r="Y1064" s="28">
        <v>0.6</v>
      </c>
      <c r="Z1064" s="28">
        <v>0</v>
      </c>
      <c r="AA1064" s="28">
        <v>0</v>
      </c>
      <c r="AB1064" s="28">
        <v>0.5</v>
      </c>
      <c r="AC1064" s="28">
        <v>0.92</v>
      </c>
      <c r="AD1064" s="26">
        <v>0.99973009446693695</v>
      </c>
      <c r="AE1064" s="26">
        <v>0.99364303178484104</v>
      </c>
      <c r="AF1064" s="26">
        <v>0.95417383820998303</v>
      </c>
      <c r="AG1064" s="26">
        <v>0.76382338742619504</v>
      </c>
      <c r="AH1064" s="28">
        <v>0.92</v>
      </c>
      <c r="AI1064" s="26">
        <v>0.95783197831978295</v>
      </c>
      <c r="AJ1064" s="26">
        <v>0.95935492329880701</v>
      </c>
      <c r="AK1064" s="26">
        <v>0.94617868675995698</v>
      </c>
      <c r="AL1064" s="26">
        <v>0.95195548417743003</v>
      </c>
      <c r="AM1064" s="25">
        <v>0.99</v>
      </c>
      <c r="AN1064" s="30">
        <v>1</v>
      </c>
      <c r="AO1064" s="30">
        <v>1</v>
      </c>
      <c r="AP1064" s="30">
        <v>1</v>
      </c>
      <c r="AQ1064" s="30">
        <v>1</v>
      </c>
      <c r="AR1064" s="50">
        <v>7.2186152540827803E-2</v>
      </c>
      <c r="AS1064" s="34">
        <v>0</v>
      </c>
      <c r="AT1064" s="34">
        <v>0.15</v>
      </c>
      <c r="AU1064" s="34">
        <v>5.5555555555555601E-2</v>
      </c>
      <c r="AV1064" s="34">
        <v>5.3571428571428603E-2</v>
      </c>
      <c r="AW1064" s="10"/>
      <c r="AX1064" s="8"/>
    </row>
    <row r="1065" spans="1:50">
      <c r="A1065" s="7"/>
      <c r="B1065" s="10"/>
      <c r="C1065" s="45" t="s">
        <v>1100</v>
      </c>
      <c r="D1065" s="23" t="s">
        <v>25</v>
      </c>
      <c r="E1065" s="83" t="s">
        <v>1109</v>
      </c>
      <c r="F1065" s="83" t="s">
        <v>1109</v>
      </c>
      <c r="G1065" s="83" t="s">
        <v>1109</v>
      </c>
      <c r="H1065" s="83" t="s">
        <v>1109</v>
      </c>
      <c r="I1065" s="25">
        <v>0.9</v>
      </c>
      <c r="J1065" s="26">
        <v>1</v>
      </c>
      <c r="K1065" s="26">
        <v>0.97916666666666696</v>
      </c>
      <c r="L1065" s="27">
        <v>0.92857142857142905</v>
      </c>
      <c r="M1065" s="26">
        <v>0.97482014388489202</v>
      </c>
      <c r="N1065" s="28">
        <v>0.9</v>
      </c>
      <c r="O1065" s="26">
        <v>0.977371428571429</v>
      </c>
      <c r="P1065" s="26">
        <v>0.98484489699265898</v>
      </c>
      <c r="Q1065" s="26">
        <v>0.97977795400475798</v>
      </c>
      <c r="R1065" s="26">
        <v>0.97867793933200198</v>
      </c>
      <c r="S1065" s="28">
        <v>0.9</v>
      </c>
      <c r="T1065" s="26">
        <v>0.94057142857142895</v>
      </c>
      <c r="U1065" s="26">
        <v>0.94364196069145201</v>
      </c>
      <c r="V1065" s="26">
        <v>0.95678033306899302</v>
      </c>
      <c r="W1065" s="26">
        <v>0.94978399219584697</v>
      </c>
      <c r="X1065" s="28">
        <v>0.92</v>
      </c>
      <c r="Y1065" s="28">
        <v>0.96272493573264795</v>
      </c>
      <c r="Z1065" s="28">
        <v>0.95903716216216195</v>
      </c>
      <c r="AA1065" s="28">
        <v>0.96946107784431101</v>
      </c>
      <c r="AB1065" s="28">
        <v>0.95987727165447201</v>
      </c>
      <c r="AC1065" s="28">
        <v>0.92</v>
      </c>
      <c r="AD1065" s="26">
        <v>0.99821481701874404</v>
      </c>
      <c r="AE1065" s="26">
        <v>0.99314420803782499</v>
      </c>
      <c r="AF1065" s="26">
        <v>0.99728833986140397</v>
      </c>
      <c r="AG1065" s="26">
        <v>0.99527983816587995</v>
      </c>
      <c r="AH1065" s="28">
        <v>0.92</v>
      </c>
      <c r="AI1065" s="26">
        <v>0.97615143836637397</v>
      </c>
      <c r="AJ1065" s="26">
        <v>0.97451456310679596</v>
      </c>
      <c r="AK1065" s="26">
        <v>0.97948473282442705</v>
      </c>
      <c r="AL1065" s="26">
        <v>0.97514602803738304</v>
      </c>
      <c r="AM1065" s="25">
        <v>0.99</v>
      </c>
      <c r="AN1065" s="30">
        <v>1</v>
      </c>
      <c r="AO1065" s="30">
        <v>1</v>
      </c>
      <c r="AP1065" s="30">
        <v>1</v>
      </c>
      <c r="AQ1065" s="30">
        <v>1</v>
      </c>
      <c r="AR1065" s="50">
        <v>7.2186152540827803E-2</v>
      </c>
      <c r="AS1065" s="34">
        <v>7.09219858156028E-3</v>
      </c>
      <c r="AT1065" s="34">
        <v>3.6363636363636398E-3</v>
      </c>
      <c r="AU1065" s="34">
        <v>0</v>
      </c>
      <c r="AV1065" s="34">
        <v>3.2546786004882E-3</v>
      </c>
      <c r="AW1065" s="10"/>
      <c r="AX1065" s="8"/>
    </row>
    <row r="1066" spans="1:50">
      <c r="A1066" s="7"/>
      <c r="B1066" s="10"/>
      <c r="C1066" s="45" t="s">
        <v>1100</v>
      </c>
      <c r="D1066" s="23" t="s">
        <v>25</v>
      </c>
      <c r="E1066" s="83" t="s">
        <v>1110</v>
      </c>
      <c r="F1066" s="83" t="s">
        <v>1110</v>
      </c>
      <c r="G1066" s="83" t="s">
        <v>1110</v>
      </c>
      <c r="H1066" s="83" t="s">
        <v>1110</v>
      </c>
      <c r="I1066" s="25">
        <v>0.9</v>
      </c>
      <c r="J1066" s="26">
        <v>0.86363636363636398</v>
      </c>
      <c r="K1066" s="26">
        <v>0.844444444444444</v>
      </c>
      <c r="L1066" s="27">
        <v>0.88235294117647101</v>
      </c>
      <c r="M1066" s="26">
        <v>0.89344262295082</v>
      </c>
      <c r="N1066" s="28">
        <v>0.9</v>
      </c>
      <c r="O1066" s="26">
        <v>0.85670071185391505</v>
      </c>
      <c r="P1066" s="26">
        <v>0.98596256684492001</v>
      </c>
      <c r="Q1066" s="26">
        <v>0.98822070675759499</v>
      </c>
      <c r="R1066" s="26">
        <v>0.955285638013881</v>
      </c>
      <c r="S1066" s="28">
        <v>0.9</v>
      </c>
      <c r="T1066" s="26">
        <v>0.90157845868152298</v>
      </c>
      <c r="U1066" s="26">
        <v>0.92212566844919797</v>
      </c>
      <c r="V1066" s="26">
        <v>0.95350278983261005</v>
      </c>
      <c r="W1066" s="26">
        <v>0.92665509877202301</v>
      </c>
      <c r="X1066" s="28">
        <v>0.92</v>
      </c>
      <c r="Y1066" s="28">
        <v>0.94586374695863795</v>
      </c>
      <c r="Z1066" s="28">
        <v>0.95286624203821702</v>
      </c>
      <c r="AA1066" s="28">
        <v>0.95221546481320596</v>
      </c>
      <c r="AB1066" s="28">
        <v>0.94731416790745604</v>
      </c>
      <c r="AC1066" s="28">
        <v>0.92</v>
      </c>
      <c r="AD1066" s="26">
        <v>0.92307692307692302</v>
      </c>
      <c r="AE1066" s="26">
        <v>0.961832061068702</v>
      </c>
      <c r="AF1066" s="26">
        <v>0.97058823529411797</v>
      </c>
      <c r="AG1066" s="26">
        <v>0.95341922695738401</v>
      </c>
      <c r="AH1066" s="28">
        <v>0.92</v>
      </c>
      <c r="AI1066" s="26">
        <v>0.97189743589743605</v>
      </c>
      <c r="AJ1066" s="26">
        <v>0.97566856641823796</v>
      </c>
      <c r="AK1066" s="26">
        <v>0.96852387843704801</v>
      </c>
      <c r="AL1066" s="26">
        <v>0.971537001897533</v>
      </c>
      <c r="AM1066" s="25">
        <v>0.99</v>
      </c>
      <c r="AN1066" s="30">
        <v>1</v>
      </c>
      <c r="AO1066" s="30">
        <v>1</v>
      </c>
      <c r="AP1066" s="30">
        <v>1</v>
      </c>
      <c r="AQ1066" s="30">
        <v>1</v>
      </c>
      <c r="AR1066" s="50">
        <v>7.2186152540827803E-2</v>
      </c>
      <c r="AS1066" s="34">
        <v>-0.125</v>
      </c>
      <c r="AT1066" s="34">
        <v>0</v>
      </c>
      <c r="AU1066" s="34">
        <v>0</v>
      </c>
      <c r="AV1066" s="34">
        <v>0</v>
      </c>
      <c r="AW1066" s="10"/>
      <c r="AX1066" s="8"/>
    </row>
    <row r="1067" spans="1:50">
      <c r="A1067" s="7"/>
      <c r="B1067" s="10"/>
      <c r="C1067" s="45" t="s">
        <v>1100</v>
      </c>
      <c r="D1067" s="23" t="s">
        <v>25</v>
      </c>
      <c r="E1067" s="83" t="s">
        <v>1111</v>
      </c>
      <c r="F1067" s="83" t="s">
        <v>1111</v>
      </c>
      <c r="G1067" s="83" t="s">
        <v>1111</v>
      </c>
      <c r="H1067" s="83" t="s">
        <v>1111</v>
      </c>
      <c r="I1067" s="25">
        <v>0.9</v>
      </c>
      <c r="J1067" s="26">
        <v>1</v>
      </c>
      <c r="K1067" s="26">
        <v>0.95</v>
      </c>
      <c r="L1067" s="27">
        <v>0.92500000000000004</v>
      </c>
      <c r="M1067" s="26">
        <v>0.963114754098361</v>
      </c>
      <c r="N1067" s="28">
        <v>0.9</v>
      </c>
      <c r="O1067" s="26">
        <v>0.97954271961492201</v>
      </c>
      <c r="P1067" s="26">
        <v>0.98075102556011395</v>
      </c>
      <c r="Q1067" s="26">
        <v>0.97810618500273705</v>
      </c>
      <c r="R1067" s="26">
        <v>0.98213062698462095</v>
      </c>
      <c r="S1067" s="28">
        <v>0.9</v>
      </c>
      <c r="T1067" s="26">
        <v>0.92629362214199795</v>
      </c>
      <c r="U1067" s="26">
        <v>0.929630798359104</v>
      </c>
      <c r="V1067" s="26">
        <v>0.95894909688013097</v>
      </c>
      <c r="W1067" s="26">
        <v>0.94022788120291401</v>
      </c>
      <c r="X1067" s="28">
        <v>0.92</v>
      </c>
      <c r="Y1067" s="28">
        <v>0.95745798319327702</v>
      </c>
      <c r="Z1067" s="28">
        <v>0.94404029099048703</v>
      </c>
      <c r="AA1067" s="28">
        <v>0.96698113207547198</v>
      </c>
      <c r="AB1067" s="28">
        <v>0.95403016120644801</v>
      </c>
      <c r="AC1067" s="28">
        <v>0.92</v>
      </c>
      <c r="AD1067" s="26">
        <v>0.99681782020684195</v>
      </c>
      <c r="AE1067" s="26">
        <v>0.99459459459459498</v>
      </c>
      <c r="AF1067" s="26">
        <v>0.998733108108108</v>
      </c>
      <c r="AG1067" s="26">
        <v>0.99717881944444398</v>
      </c>
      <c r="AH1067" s="28">
        <v>0.92</v>
      </c>
      <c r="AI1067" s="26">
        <v>0.97035195103289995</v>
      </c>
      <c r="AJ1067" s="26">
        <v>0.96509281678773196</v>
      </c>
      <c r="AK1067" s="26">
        <v>0.97612132946111696</v>
      </c>
      <c r="AL1067" s="26">
        <v>0.97075089577815898</v>
      </c>
      <c r="AM1067" s="25">
        <v>0.99</v>
      </c>
      <c r="AN1067" s="30">
        <v>1</v>
      </c>
      <c r="AO1067" s="30">
        <v>1</v>
      </c>
      <c r="AP1067" s="30">
        <v>1</v>
      </c>
      <c r="AQ1067" s="30">
        <v>1</v>
      </c>
      <c r="AR1067" s="50">
        <v>7.2186152540827803E-2</v>
      </c>
      <c r="AS1067" s="34">
        <v>0</v>
      </c>
      <c r="AT1067" s="34">
        <v>0.105263157894737</v>
      </c>
      <c r="AU1067" s="34">
        <v>0</v>
      </c>
      <c r="AV1067" s="34">
        <v>4.0404040404040401E-2</v>
      </c>
      <c r="AW1067" s="10"/>
      <c r="AX1067" s="8"/>
    </row>
    <row r="1068" spans="1:50">
      <c r="A1068" s="7"/>
      <c r="B1068" s="10"/>
      <c r="C1068" s="45" t="s">
        <v>1100</v>
      </c>
      <c r="D1068" s="23" t="s">
        <v>25</v>
      </c>
      <c r="E1068" s="83" t="s">
        <v>1112</v>
      </c>
      <c r="F1068" s="83" t="s">
        <v>1112</v>
      </c>
      <c r="G1068" s="83" t="s">
        <v>1112</v>
      </c>
      <c r="H1068" s="83" t="s">
        <v>1112</v>
      </c>
      <c r="I1068" s="25">
        <v>0.9</v>
      </c>
      <c r="J1068" s="26">
        <v>0.98275862068965503</v>
      </c>
      <c r="K1068" s="26">
        <v>0.89473684210526305</v>
      </c>
      <c r="L1068" s="27">
        <v>0.88235294117647101</v>
      </c>
      <c r="M1068" s="26">
        <v>0.90390390390390396</v>
      </c>
      <c r="N1068" s="28">
        <v>0.9</v>
      </c>
      <c r="O1068" s="26">
        <v>0.97726704971271505</v>
      </c>
      <c r="P1068" s="26">
        <v>0.95194567772264305</v>
      </c>
      <c r="Q1068" s="26">
        <v>0.98951208390332901</v>
      </c>
      <c r="R1068" s="26">
        <v>0.97652437458262698</v>
      </c>
      <c r="S1068" s="28">
        <v>0.9</v>
      </c>
      <c r="T1068" s="26">
        <v>0.92780414688983304</v>
      </c>
      <c r="U1068" s="26">
        <v>0.91172629929485505</v>
      </c>
      <c r="V1068" s="26">
        <v>0.95896032831737299</v>
      </c>
      <c r="W1068" s="26">
        <v>0.93337442852006003</v>
      </c>
      <c r="X1068" s="28">
        <v>0.92</v>
      </c>
      <c r="Y1068" s="28">
        <v>0.95592912312585199</v>
      </c>
      <c r="Z1068" s="28">
        <v>0.96180081855388799</v>
      </c>
      <c r="AA1068" s="28">
        <v>0.95921052631578996</v>
      </c>
      <c r="AB1068" s="28">
        <v>0.96158590308369996</v>
      </c>
      <c r="AC1068" s="28">
        <v>0.92</v>
      </c>
      <c r="AD1068" s="26">
        <v>0.999667332002661</v>
      </c>
      <c r="AE1068" s="26">
        <v>1</v>
      </c>
      <c r="AF1068" s="26">
        <v>0.99719101123595499</v>
      </c>
      <c r="AG1068" s="26">
        <v>0.99760302387757005</v>
      </c>
      <c r="AH1068" s="28">
        <v>0.92</v>
      </c>
      <c r="AI1068" s="26">
        <v>0.97421018697614403</v>
      </c>
      <c r="AJ1068" s="26">
        <v>0.97063702720637002</v>
      </c>
      <c r="AK1068" s="26">
        <v>0.97764610826824705</v>
      </c>
      <c r="AL1068" s="26">
        <v>0.97673437601401802</v>
      </c>
      <c r="AM1068" s="25">
        <v>0.99</v>
      </c>
      <c r="AN1068" s="30">
        <v>1</v>
      </c>
      <c r="AO1068" s="30">
        <v>1</v>
      </c>
      <c r="AP1068" s="30">
        <v>1</v>
      </c>
      <c r="AQ1068" s="30">
        <v>1</v>
      </c>
      <c r="AR1068" s="50">
        <v>7.2186152540827803E-2</v>
      </c>
      <c r="AS1068" s="34">
        <v>0</v>
      </c>
      <c r="AT1068" s="34">
        <v>8.3333333333333301E-2</v>
      </c>
      <c r="AU1068" s="34">
        <v>0</v>
      </c>
      <c r="AV1068" s="34">
        <v>2.1978021978022001E-2</v>
      </c>
      <c r="AW1068" s="10"/>
      <c r="AX1068" s="8"/>
    </row>
    <row r="1069" spans="1:50">
      <c r="A1069" s="7"/>
      <c r="B1069" s="10"/>
      <c r="C1069" s="45" t="s">
        <v>1100</v>
      </c>
      <c r="D1069" s="23" t="s">
        <v>25</v>
      </c>
      <c r="E1069" s="83" t="s">
        <v>1113</v>
      </c>
      <c r="F1069" s="83" t="s">
        <v>1113</v>
      </c>
      <c r="G1069" s="83" t="s">
        <v>1113</v>
      </c>
      <c r="H1069" s="83" t="s">
        <v>1113</v>
      </c>
      <c r="I1069" s="25">
        <v>0.9</v>
      </c>
      <c r="J1069" s="26">
        <v>0.83870967741935498</v>
      </c>
      <c r="K1069" s="26">
        <v>0.80645161290322598</v>
      </c>
      <c r="L1069" s="27">
        <v>0.76666666666666705</v>
      </c>
      <c r="M1069" s="26">
        <v>0.850828729281768</v>
      </c>
      <c r="N1069" s="28">
        <v>0.9</v>
      </c>
      <c r="O1069" s="26">
        <v>0.96100164203612504</v>
      </c>
      <c r="P1069" s="26">
        <v>0.97291487532244203</v>
      </c>
      <c r="Q1069" s="26">
        <v>0.95974119338605302</v>
      </c>
      <c r="R1069" s="26">
        <v>0.96487467018469697</v>
      </c>
      <c r="S1069" s="28">
        <v>0.9</v>
      </c>
      <c r="T1069" s="26">
        <v>0.91789819376026305</v>
      </c>
      <c r="U1069" s="26">
        <v>0.91358555460017199</v>
      </c>
      <c r="V1069" s="26">
        <v>0.94464414090582305</v>
      </c>
      <c r="W1069" s="26">
        <v>0.93073878627968298</v>
      </c>
      <c r="X1069" s="28">
        <v>0.92</v>
      </c>
      <c r="Y1069" s="28">
        <v>0.95315985130111502</v>
      </c>
      <c r="Z1069" s="28">
        <v>0.93398349587396801</v>
      </c>
      <c r="AA1069" s="28">
        <v>0.93836344314558995</v>
      </c>
      <c r="AB1069" s="28">
        <v>0.93906010319341804</v>
      </c>
      <c r="AC1069" s="28">
        <v>0.92</v>
      </c>
      <c r="AD1069" s="26">
        <v>0.86844526218951201</v>
      </c>
      <c r="AE1069" s="26">
        <v>0.91603358656537404</v>
      </c>
      <c r="AF1069" s="26">
        <v>0.90659100829332195</v>
      </c>
      <c r="AG1069" s="26">
        <v>0.93964753372058696</v>
      </c>
      <c r="AH1069" s="28">
        <v>0.92</v>
      </c>
      <c r="AI1069" s="26">
        <v>0.97619677334038601</v>
      </c>
      <c r="AJ1069" s="26">
        <v>0.96091828368406695</v>
      </c>
      <c r="AK1069" s="26">
        <v>0.96655231560891897</v>
      </c>
      <c r="AL1069" s="26">
        <v>0.96741776741776697</v>
      </c>
      <c r="AM1069" s="25">
        <v>0.99</v>
      </c>
      <c r="AN1069" s="30">
        <v>1</v>
      </c>
      <c r="AO1069" s="30">
        <v>1</v>
      </c>
      <c r="AP1069" s="30">
        <v>1</v>
      </c>
      <c r="AQ1069" s="30">
        <v>1</v>
      </c>
      <c r="AR1069" s="50">
        <v>7.2186152540827803E-2</v>
      </c>
      <c r="AS1069" s="34">
        <v>0.14285714285714299</v>
      </c>
      <c r="AT1069" s="34">
        <v>0</v>
      </c>
      <c r="AU1069" s="34">
        <v>0</v>
      </c>
      <c r="AV1069" s="34">
        <v>4.3478260869565202E-2</v>
      </c>
      <c r="AW1069" s="10"/>
      <c r="AX1069" s="8"/>
    </row>
    <row r="1070" spans="1:50">
      <c r="A1070" s="7"/>
      <c r="B1070" s="10"/>
      <c r="C1070" s="45" t="s">
        <v>1100</v>
      </c>
      <c r="D1070" s="23" t="s">
        <v>25</v>
      </c>
      <c r="E1070" s="83" t="s">
        <v>1114</v>
      </c>
      <c r="F1070" s="83" t="s">
        <v>1114</v>
      </c>
      <c r="G1070" s="83" t="s">
        <v>1114</v>
      </c>
      <c r="H1070" s="83" t="s">
        <v>1114</v>
      </c>
      <c r="I1070" s="25">
        <v>0.9</v>
      </c>
      <c r="J1070" s="26">
        <v>0.97826086956521696</v>
      </c>
      <c r="K1070" s="26">
        <v>1</v>
      </c>
      <c r="L1070" s="27">
        <v>1</v>
      </c>
      <c r="M1070" s="26">
        <v>0.99256505576208198</v>
      </c>
      <c r="N1070" s="28">
        <v>0.9</v>
      </c>
      <c r="O1070" s="26">
        <v>0.98226097414311497</v>
      </c>
      <c r="P1070" s="26">
        <v>0.98564294631710403</v>
      </c>
      <c r="Q1070" s="26">
        <v>0.98302387267904501</v>
      </c>
      <c r="R1070" s="26">
        <v>0.98293494332183295</v>
      </c>
      <c r="S1070" s="28">
        <v>0.9</v>
      </c>
      <c r="T1070" s="26">
        <v>0.95490078171978399</v>
      </c>
      <c r="U1070" s="26">
        <v>0.95318352059925104</v>
      </c>
      <c r="V1070" s="26">
        <v>0.96233421750663095</v>
      </c>
      <c r="W1070" s="26">
        <v>0.95613602759980298</v>
      </c>
      <c r="X1070" s="28">
        <v>0.92</v>
      </c>
      <c r="Y1070" s="28">
        <v>0.95798319327731096</v>
      </c>
      <c r="Z1070" s="28">
        <v>0.97324772605671495</v>
      </c>
      <c r="AA1070" s="28">
        <v>0.97842323651452301</v>
      </c>
      <c r="AB1070" s="28">
        <v>0.97027916357074595</v>
      </c>
      <c r="AC1070" s="28">
        <v>0.92</v>
      </c>
      <c r="AD1070" s="26">
        <v>0.99151000606428097</v>
      </c>
      <c r="AE1070" s="26">
        <v>0.98996990972918797</v>
      </c>
      <c r="AF1070" s="26">
        <v>0.99695328368314196</v>
      </c>
      <c r="AG1070" s="26">
        <v>0.99594711955997295</v>
      </c>
      <c r="AH1070" s="28">
        <v>0.92</v>
      </c>
      <c r="AI1070" s="26">
        <v>0.97828213656818597</v>
      </c>
      <c r="AJ1070" s="26">
        <v>0.98206189631381802</v>
      </c>
      <c r="AK1070" s="26">
        <v>0.98317152103559902</v>
      </c>
      <c r="AL1070" s="26">
        <v>0.98164029001325304</v>
      </c>
      <c r="AM1070" s="25">
        <v>0.99</v>
      </c>
      <c r="AN1070" s="30">
        <v>1</v>
      </c>
      <c r="AO1070" s="30">
        <v>1</v>
      </c>
      <c r="AP1070" s="30">
        <v>1</v>
      </c>
      <c r="AQ1070" s="30">
        <v>1</v>
      </c>
      <c r="AR1070" s="50">
        <v>7.2186152540827803E-2</v>
      </c>
      <c r="AS1070" s="34">
        <v>1.5384615384615399E-2</v>
      </c>
      <c r="AT1070" s="34">
        <v>0</v>
      </c>
      <c r="AU1070" s="34">
        <v>0</v>
      </c>
      <c r="AV1070" s="34">
        <v>8.7209302325581394E-3</v>
      </c>
      <c r="AW1070" s="10"/>
      <c r="AX1070" s="8"/>
    </row>
    <row r="1071" spans="1:50">
      <c r="A1071" s="7"/>
      <c r="B1071" s="10"/>
      <c r="C1071" s="45" t="s">
        <v>1100</v>
      </c>
      <c r="D1071" s="23" t="s">
        <v>25</v>
      </c>
      <c r="E1071" s="83" t="s">
        <v>1115</v>
      </c>
      <c r="F1071" s="83" t="s">
        <v>1115</v>
      </c>
      <c r="G1071" s="83" t="s">
        <v>1115</v>
      </c>
      <c r="H1071" s="83" t="s">
        <v>1115</v>
      </c>
      <c r="I1071" s="25">
        <v>0.9</v>
      </c>
      <c r="J1071" s="26">
        <v>0.95454545454545503</v>
      </c>
      <c r="K1071" s="26">
        <v>0.95454545454545503</v>
      </c>
      <c r="L1071" s="27">
        <v>0.86363636363636398</v>
      </c>
      <c r="M1071" s="26">
        <v>0.86259541984732802</v>
      </c>
      <c r="N1071" s="28">
        <v>0.9</v>
      </c>
      <c r="O1071" s="26">
        <v>0.97134670487106001</v>
      </c>
      <c r="P1071" s="26">
        <v>0.91562799616490897</v>
      </c>
      <c r="Q1071" s="26">
        <v>0.97100248550124302</v>
      </c>
      <c r="R1071" s="26">
        <v>0.94950924877312204</v>
      </c>
      <c r="S1071" s="28">
        <v>0.9</v>
      </c>
      <c r="T1071" s="26">
        <v>0.902578796561605</v>
      </c>
      <c r="U1071" s="26">
        <v>0.88350910834132301</v>
      </c>
      <c r="V1071" s="26">
        <v>0.95194697597348799</v>
      </c>
      <c r="W1071" s="26">
        <v>0.92770856927142298</v>
      </c>
      <c r="X1071" s="28">
        <v>0.92</v>
      </c>
      <c r="Y1071" s="28">
        <v>0.95911692559280504</v>
      </c>
      <c r="Z1071" s="28">
        <v>0.95819672131147504</v>
      </c>
      <c r="AA1071" s="28">
        <v>0.96219931271477699</v>
      </c>
      <c r="AB1071" s="28">
        <v>0.95834668375520704</v>
      </c>
      <c r="AC1071" s="28">
        <v>0.92</v>
      </c>
      <c r="AD1071" s="26">
        <v>0.96659707724425903</v>
      </c>
      <c r="AE1071" s="26">
        <v>0.84799999999999998</v>
      </c>
      <c r="AF1071" s="26">
        <v>0.87242268041237103</v>
      </c>
      <c r="AG1071" s="26">
        <v>0.93898305084745803</v>
      </c>
      <c r="AH1071" s="28">
        <v>0.92</v>
      </c>
      <c r="AI1071" s="26">
        <v>0.97347000301477205</v>
      </c>
      <c r="AJ1071" s="26">
        <v>0.97912885662431903</v>
      </c>
      <c r="AK1071" s="26">
        <v>0.97884615384615403</v>
      </c>
      <c r="AL1071" s="26">
        <v>0.97749138852595296</v>
      </c>
      <c r="AM1071" s="25">
        <v>0.99</v>
      </c>
      <c r="AN1071" s="30">
        <v>1</v>
      </c>
      <c r="AO1071" s="30">
        <v>1</v>
      </c>
      <c r="AP1071" s="30">
        <v>1</v>
      </c>
      <c r="AQ1071" s="30">
        <v>1</v>
      </c>
      <c r="AR1071" s="50">
        <v>7.2186152540827803E-2</v>
      </c>
      <c r="AS1071" s="34">
        <v>0</v>
      </c>
      <c r="AT1071" s="34">
        <v>0</v>
      </c>
      <c r="AU1071" s="34">
        <v>0</v>
      </c>
      <c r="AV1071" s="34">
        <v>4.3478260869565202E-2</v>
      </c>
      <c r="AW1071" s="10"/>
      <c r="AX1071" s="8"/>
    </row>
    <row r="1072" spans="1:50">
      <c r="A1072" s="7"/>
      <c r="B1072" s="10"/>
      <c r="C1072" s="45" t="s">
        <v>1100</v>
      </c>
      <c r="D1072" s="23" t="s">
        <v>25</v>
      </c>
      <c r="E1072" s="83" t="s">
        <v>1116</v>
      </c>
      <c r="F1072" s="83" t="s">
        <v>1116</v>
      </c>
      <c r="G1072" s="83" t="s">
        <v>1116</v>
      </c>
      <c r="H1072" s="83" t="s">
        <v>1116</v>
      </c>
      <c r="I1072" s="25">
        <v>0.9</v>
      </c>
      <c r="J1072" s="26">
        <v>1</v>
      </c>
      <c r="K1072" s="26">
        <v>0.93333333333333302</v>
      </c>
      <c r="L1072" s="27">
        <v>0.96296296296296302</v>
      </c>
      <c r="M1072" s="26">
        <v>0.96590909090909105</v>
      </c>
      <c r="N1072" s="28">
        <v>0.9</v>
      </c>
      <c r="O1072" s="26">
        <v>0.95729386892177604</v>
      </c>
      <c r="P1072" s="26">
        <v>0.90937500000000004</v>
      </c>
      <c r="Q1072" s="26">
        <v>0.92883895131086103</v>
      </c>
      <c r="R1072" s="26">
        <v>0.94137339055794</v>
      </c>
      <c r="S1072" s="28">
        <v>0.9</v>
      </c>
      <c r="T1072" s="26">
        <v>0.93234672304439703</v>
      </c>
      <c r="U1072" s="26">
        <v>0.93080357142857095</v>
      </c>
      <c r="V1072" s="26">
        <v>0.95580524344569295</v>
      </c>
      <c r="W1072" s="26">
        <v>0.938369098712446</v>
      </c>
      <c r="X1072" s="28">
        <v>0.92</v>
      </c>
      <c r="Y1072" s="28">
        <v>0.95854922279792698</v>
      </c>
      <c r="Z1072" s="28">
        <v>0.94685628742515004</v>
      </c>
      <c r="AA1072" s="28">
        <v>0.95056179775280902</v>
      </c>
      <c r="AB1072" s="28">
        <v>0.95143142002563696</v>
      </c>
      <c r="AC1072" s="28">
        <v>0.92</v>
      </c>
      <c r="AD1072" s="26">
        <v>0.61317747077577001</v>
      </c>
      <c r="AE1072" s="26">
        <v>1</v>
      </c>
      <c r="AF1072" s="26">
        <v>0.99365079365079401</v>
      </c>
      <c r="AG1072" s="26">
        <v>0.95326879407194898</v>
      </c>
      <c r="AH1072" s="28">
        <v>0.92</v>
      </c>
      <c r="AI1072" s="26">
        <v>0.97228202368137795</v>
      </c>
      <c r="AJ1072" s="26">
        <v>0.95917225950783003</v>
      </c>
      <c r="AK1072" s="26">
        <v>0.96988764044943798</v>
      </c>
      <c r="AL1072" s="26">
        <v>0.96824121679520103</v>
      </c>
      <c r="AM1072" s="25">
        <v>0.99</v>
      </c>
      <c r="AN1072" s="30">
        <v>1</v>
      </c>
      <c r="AO1072" s="30">
        <v>1</v>
      </c>
      <c r="AP1072" s="30">
        <v>1</v>
      </c>
      <c r="AQ1072" s="30">
        <v>1</v>
      </c>
      <c r="AR1072" s="50">
        <v>7.2186152540827803E-2</v>
      </c>
      <c r="AS1072" s="34">
        <v>0.16666666666666699</v>
      </c>
      <c r="AT1072" s="34">
        <v>0</v>
      </c>
      <c r="AU1072" s="34">
        <v>0.14285714285714299</v>
      </c>
      <c r="AV1072" s="34">
        <v>0.115384615384615</v>
      </c>
      <c r="AW1072" s="10"/>
      <c r="AX1072" s="8"/>
    </row>
    <row r="1073" spans="1:50">
      <c r="A1073" s="7"/>
      <c r="B1073" s="10"/>
      <c r="C1073" s="45" t="s">
        <v>1100</v>
      </c>
      <c r="D1073" s="23" t="s">
        <v>25</v>
      </c>
      <c r="E1073" s="83" t="s">
        <v>1117</v>
      </c>
      <c r="F1073" s="83" t="s">
        <v>1117</v>
      </c>
      <c r="G1073" s="83" t="s">
        <v>1117</v>
      </c>
      <c r="H1073" s="83" t="s">
        <v>1117</v>
      </c>
      <c r="I1073" s="25">
        <v>0.9</v>
      </c>
      <c r="J1073" s="26">
        <v>1</v>
      </c>
      <c r="K1073" s="26">
        <v>0.94339622641509402</v>
      </c>
      <c r="L1073" s="27">
        <v>0.97777777777777797</v>
      </c>
      <c r="M1073" s="26">
        <v>0.98344370860927199</v>
      </c>
      <c r="N1073" s="28">
        <v>0.9</v>
      </c>
      <c r="O1073" s="26">
        <v>0.95869514198544903</v>
      </c>
      <c r="P1073" s="26">
        <v>0.95825242718446602</v>
      </c>
      <c r="Q1073" s="26">
        <v>0.95407725321888404</v>
      </c>
      <c r="R1073" s="26">
        <v>0.961254523522316</v>
      </c>
      <c r="S1073" s="28">
        <v>0.9</v>
      </c>
      <c r="T1073" s="26">
        <v>0.93194085895329704</v>
      </c>
      <c r="U1073" s="26">
        <v>0.93470873786407804</v>
      </c>
      <c r="V1073" s="26">
        <v>0.94034334763948502</v>
      </c>
      <c r="W1073" s="26">
        <v>0.93519903498190604</v>
      </c>
      <c r="X1073" s="28">
        <v>0.92</v>
      </c>
      <c r="Y1073" s="28">
        <v>0.96217391304347799</v>
      </c>
      <c r="Z1073" s="28">
        <v>0.95681211041852199</v>
      </c>
      <c r="AA1073" s="28">
        <v>0.96561024949426799</v>
      </c>
      <c r="AB1073" s="28">
        <v>0.95901018432791896</v>
      </c>
      <c r="AC1073" s="28">
        <v>0.92</v>
      </c>
      <c r="AD1073" s="26">
        <v>0.985015772870662</v>
      </c>
      <c r="AE1073" s="26">
        <v>0.9988358556461</v>
      </c>
      <c r="AF1073" s="26">
        <v>0.99401197604790403</v>
      </c>
      <c r="AG1073" s="26">
        <v>0.994499221587961</v>
      </c>
      <c r="AH1073" s="28">
        <v>0.92</v>
      </c>
      <c r="AI1073" s="26">
        <v>0.97454656302392895</v>
      </c>
      <c r="AJ1073" s="26">
        <v>0.97251021049324504</v>
      </c>
      <c r="AK1073" s="26">
        <v>0.97587201678468405</v>
      </c>
      <c r="AL1073" s="26">
        <v>0.974944030422915</v>
      </c>
      <c r="AM1073" s="25">
        <v>0.99</v>
      </c>
      <c r="AN1073" s="30">
        <v>1</v>
      </c>
      <c r="AO1073" s="30">
        <v>1</v>
      </c>
      <c r="AP1073" s="30">
        <v>1</v>
      </c>
      <c r="AQ1073" s="30">
        <v>1</v>
      </c>
      <c r="AR1073" s="50">
        <v>7.2186152540827803E-2</v>
      </c>
      <c r="AS1073" s="34">
        <v>6.6666666666666693E-2</v>
      </c>
      <c r="AT1073" s="34">
        <v>0</v>
      </c>
      <c r="AU1073" s="34">
        <v>0</v>
      </c>
      <c r="AV1073" s="34">
        <v>1.1904761904761901E-2</v>
      </c>
      <c r="AW1073" s="10"/>
      <c r="AX1073" s="8"/>
    </row>
    <row r="1074" spans="1:50">
      <c r="A1074" s="7"/>
      <c r="B1074" s="10"/>
      <c r="C1074" s="45" t="s">
        <v>1100</v>
      </c>
      <c r="D1074" s="23" t="s">
        <v>25</v>
      </c>
      <c r="E1074" s="83" t="s">
        <v>1118</v>
      </c>
      <c r="F1074" s="83" t="s">
        <v>1118</v>
      </c>
      <c r="G1074" s="83" t="s">
        <v>1118</v>
      </c>
      <c r="H1074" s="83" t="s">
        <v>1118</v>
      </c>
      <c r="I1074" s="25">
        <v>0.9</v>
      </c>
      <c r="J1074" s="26">
        <v>0.96875</v>
      </c>
      <c r="K1074" s="26">
        <v>1</v>
      </c>
      <c r="L1074" s="27">
        <v>0.96875</v>
      </c>
      <c r="M1074" s="26">
        <v>0.97916666666666696</v>
      </c>
      <c r="N1074" s="28">
        <v>0.9</v>
      </c>
      <c r="O1074" s="26">
        <v>0.97815611949887604</v>
      </c>
      <c r="P1074" s="26">
        <v>0.96106194690265501</v>
      </c>
      <c r="Q1074" s="26">
        <v>0.97596422582448294</v>
      </c>
      <c r="R1074" s="26">
        <v>0.97542384018924999</v>
      </c>
      <c r="S1074" s="28">
        <v>0.9</v>
      </c>
      <c r="T1074" s="26">
        <v>0.91294571153228399</v>
      </c>
      <c r="U1074" s="26">
        <v>0.92283185840708004</v>
      </c>
      <c r="V1074" s="26">
        <v>0.95751816657350497</v>
      </c>
      <c r="W1074" s="26">
        <v>0.944473649625444</v>
      </c>
      <c r="X1074" s="28">
        <v>0.92</v>
      </c>
      <c r="Y1074" s="28">
        <v>0.93713620488940597</v>
      </c>
      <c r="Z1074" s="28">
        <v>0.97025580011897705</v>
      </c>
      <c r="AA1074" s="28">
        <v>0.96813092161929404</v>
      </c>
      <c r="AB1074" s="28">
        <v>0.95857255431723498</v>
      </c>
      <c r="AC1074" s="28">
        <v>0.92</v>
      </c>
      <c r="AD1074" s="26">
        <v>0.98809523809523803</v>
      </c>
      <c r="AE1074" s="26">
        <v>0.99815498154981597</v>
      </c>
      <c r="AF1074" s="26">
        <v>0.984639016897081</v>
      </c>
      <c r="AG1074" s="26">
        <v>0.99338974087784204</v>
      </c>
      <c r="AH1074" s="28">
        <v>0.92</v>
      </c>
      <c r="AI1074" s="26">
        <v>0.95839370730697604</v>
      </c>
      <c r="AJ1074" s="26">
        <v>0.979138925876609</v>
      </c>
      <c r="AK1074" s="26">
        <v>0.97864406779660995</v>
      </c>
      <c r="AL1074" s="26">
        <v>0.974523878677233</v>
      </c>
      <c r="AM1074" s="25">
        <v>0.99</v>
      </c>
      <c r="AN1074" s="30">
        <v>1</v>
      </c>
      <c r="AO1074" s="30">
        <v>1</v>
      </c>
      <c r="AP1074" s="30">
        <v>1</v>
      </c>
      <c r="AQ1074" s="30">
        <v>1</v>
      </c>
      <c r="AR1074" s="50">
        <v>7.2186152540827803E-2</v>
      </c>
      <c r="AS1074" s="34">
        <v>0</v>
      </c>
      <c r="AT1074" s="34">
        <v>9.0909090909090898E-2</v>
      </c>
      <c r="AU1074" s="34">
        <v>0</v>
      </c>
      <c r="AV1074" s="34">
        <v>6.7796610169491497E-2</v>
      </c>
      <c r="AW1074" s="10"/>
      <c r="AX1074" s="8"/>
    </row>
    <row r="1075" spans="1:50">
      <c r="A1075" s="7"/>
      <c r="B1075" s="10"/>
      <c r="C1075" s="45" t="s">
        <v>1100</v>
      </c>
      <c r="D1075" s="23" t="s">
        <v>25</v>
      </c>
      <c r="E1075" s="83" t="s">
        <v>1119</v>
      </c>
      <c r="F1075" s="83" t="s">
        <v>1119</v>
      </c>
      <c r="G1075" s="83" t="s">
        <v>1119</v>
      </c>
      <c r="H1075" s="83" t="s">
        <v>1119</v>
      </c>
      <c r="I1075" s="25">
        <v>0.9</v>
      </c>
      <c r="J1075" s="26">
        <v>1</v>
      </c>
      <c r="K1075" s="26">
        <v>1</v>
      </c>
      <c r="L1075" s="27">
        <v>0.96875</v>
      </c>
      <c r="M1075" s="26">
        <v>0.98958333333333304</v>
      </c>
      <c r="N1075" s="28">
        <v>0.9</v>
      </c>
      <c r="O1075" s="26">
        <v>0.96867386007657497</v>
      </c>
      <c r="P1075" s="26">
        <v>0.98745098039215695</v>
      </c>
      <c r="Q1075" s="26">
        <v>0.99034749034749003</v>
      </c>
      <c r="R1075" s="26">
        <v>0.98474588883101399</v>
      </c>
      <c r="S1075" s="28">
        <v>0.9</v>
      </c>
      <c r="T1075" s="26">
        <v>0.94361294813783503</v>
      </c>
      <c r="U1075" s="26">
        <v>0.95058823529411796</v>
      </c>
      <c r="V1075" s="26">
        <v>0.95173745173745194</v>
      </c>
      <c r="W1075" s="26">
        <v>0.94582930277550403</v>
      </c>
      <c r="X1075" s="28">
        <v>0.92</v>
      </c>
      <c r="Y1075" s="28">
        <v>0.97285886610373895</v>
      </c>
      <c r="Z1075" s="28">
        <v>0.97788203753351199</v>
      </c>
      <c r="AA1075" s="28">
        <v>0.98579040852575495</v>
      </c>
      <c r="AB1075" s="28">
        <v>0.97151673391882298</v>
      </c>
      <c r="AC1075" s="28">
        <v>0.92</v>
      </c>
      <c r="AD1075" s="26">
        <v>0.636292834890966</v>
      </c>
      <c r="AE1075" s="26">
        <v>0.98987492555092305</v>
      </c>
      <c r="AF1075" s="26">
        <v>0.99609375</v>
      </c>
      <c r="AG1075" s="26">
        <v>0.93862293500542604</v>
      </c>
      <c r="AH1075" s="28">
        <v>0.92</v>
      </c>
      <c r="AI1075" s="26">
        <v>0.97859664607237395</v>
      </c>
      <c r="AJ1075" s="26">
        <v>0.98688767936665001</v>
      </c>
      <c r="AK1075" s="26">
        <v>0.98731343283582096</v>
      </c>
      <c r="AL1075" s="26">
        <v>0.98129516143784901</v>
      </c>
      <c r="AM1075" s="25">
        <v>0.99</v>
      </c>
      <c r="AN1075" s="30">
        <v>1</v>
      </c>
      <c r="AO1075" s="30">
        <v>1</v>
      </c>
      <c r="AP1075" s="30">
        <v>1</v>
      </c>
      <c r="AQ1075" s="30">
        <v>1</v>
      </c>
      <c r="AR1075" s="50">
        <v>7.2186152540827803E-2</v>
      </c>
      <c r="AS1075" s="34">
        <v>3.03030303030303E-2</v>
      </c>
      <c r="AT1075" s="34">
        <v>-0.04</v>
      </c>
      <c r="AU1075" s="34">
        <v>0</v>
      </c>
      <c r="AV1075" s="34">
        <v>6.8493150684931503E-3</v>
      </c>
      <c r="AW1075" s="10"/>
      <c r="AX1075" s="8"/>
    </row>
    <row r="1076" spans="1:50">
      <c r="A1076" s="7"/>
      <c r="B1076" s="10"/>
      <c r="C1076" s="45" t="s">
        <v>1100</v>
      </c>
      <c r="D1076" s="23" t="s">
        <v>25</v>
      </c>
      <c r="E1076" s="83" t="s">
        <v>1120</v>
      </c>
      <c r="F1076" s="83" t="s">
        <v>1120</v>
      </c>
      <c r="G1076" s="83" t="s">
        <v>1120</v>
      </c>
      <c r="H1076" s="83" t="s">
        <v>1120</v>
      </c>
      <c r="I1076" s="25">
        <v>0.9</v>
      </c>
      <c r="J1076" s="26">
        <v>0.96428571428571397</v>
      </c>
      <c r="K1076" s="26">
        <v>1</v>
      </c>
      <c r="L1076" s="27">
        <v>0.96153846153846201</v>
      </c>
      <c r="M1076" s="26">
        <v>0.97590361445783103</v>
      </c>
      <c r="N1076" s="28">
        <v>0.9</v>
      </c>
      <c r="O1076" s="26">
        <v>0.96119536128456695</v>
      </c>
      <c r="P1076" s="26">
        <v>0.88935574229691905</v>
      </c>
      <c r="Q1076" s="26">
        <v>0.94585987261146498</v>
      </c>
      <c r="R1076" s="26">
        <v>0.94833302634002603</v>
      </c>
      <c r="S1076" s="28">
        <v>0.9</v>
      </c>
      <c r="T1076" s="26">
        <v>0.91079393398751096</v>
      </c>
      <c r="U1076" s="26">
        <v>0.86274509803921595</v>
      </c>
      <c r="V1076" s="26">
        <v>0.91878980891719697</v>
      </c>
      <c r="W1076" s="26">
        <v>0.91186222140357298</v>
      </c>
      <c r="X1076" s="28">
        <v>0.92</v>
      </c>
      <c r="Y1076" s="28">
        <v>0.93006993006993</v>
      </c>
      <c r="Z1076" s="28">
        <v>0.88062142273098898</v>
      </c>
      <c r="AA1076" s="28">
        <v>0.92657342657342701</v>
      </c>
      <c r="AB1076" s="28">
        <v>0.93073929961089497</v>
      </c>
      <c r="AC1076" s="28">
        <v>0.92</v>
      </c>
      <c r="AD1076" s="26">
        <v>0.99311531841652301</v>
      </c>
      <c r="AE1076" s="26">
        <v>0.997623291740939</v>
      </c>
      <c r="AF1076" s="26">
        <v>0.99442119944212004</v>
      </c>
      <c r="AG1076" s="26">
        <v>0.99563673262303398</v>
      </c>
      <c r="AH1076" s="28">
        <v>0.92</v>
      </c>
      <c r="AI1076" s="26">
        <v>0.95409464437517699</v>
      </c>
      <c r="AJ1076" s="26">
        <v>0.92838038632986597</v>
      </c>
      <c r="AK1076" s="26">
        <v>0.94276253547776701</v>
      </c>
      <c r="AL1076" s="26">
        <v>0.95388798889145998</v>
      </c>
      <c r="AM1076" s="25">
        <v>0.99</v>
      </c>
      <c r="AN1076" s="30">
        <v>1</v>
      </c>
      <c r="AO1076" s="30">
        <v>1</v>
      </c>
      <c r="AP1076" s="30">
        <v>1</v>
      </c>
      <c r="AQ1076" s="30">
        <v>1</v>
      </c>
      <c r="AR1076" s="50">
        <v>7.2186152540827803E-2</v>
      </c>
      <c r="AS1076" s="34">
        <v>9.0909090909090898E-2</v>
      </c>
      <c r="AT1076" s="34">
        <v>0</v>
      </c>
      <c r="AU1076" s="34">
        <v>0.14285714285714299</v>
      </c>
      <c r="AV1076" s="34">
        <v>4.6511627906976702E-2</v>
      </c>
      <c r="AW1076" s="10"/>
      <c r="AX1076" s="8"/>
    </row>
    <row r="1077" spans="1:50">
      <c r="A1077" s="7"/>
      <c r="B1077" s="10"/>
      <c r="C1077" s="45" t="s">
        <v>1100</v>
      </c>
      <c r="D1077" s="23" t="s">
        <v>25</v>
      </c>
      <c r="E1077" s="83" t="s">
        <v>1121</v>
      </c>
      <c r="F1077" s="83" t="s">
        <v>1121</v>
      </c>
      <c r="G1077" s="83" t="s">
        <v>1121</v>
      </c>
      <c r="H1077" s="83" t="s">
        <v>1121</v>
      </c>
      <c r="I1077" s="25">
        <v>0.9</v>
      </c>
      <c r="J1077" s="26">
        <v>0.91428571428571404</v>
      </c>
      <c r="K1077" s="26">
        <v>0.82191780821917804</v>
      </c>
      <c r="L1077" s="27">
        <v>0.75</v>
      </c>
      <c r="M1077" s="26">
        <v>0.76942355889724301</v>
      </c>
      <c r="N1077" s="28">
        <v>0.9</v>
      </c>
      <c r="O1077" s="26">
        <v>0.95812934810615802</v>
      </c>
      <c r="P1077" s="26">
        <v>0.88123231003701297</v>
      </c>
      <c r="Q1077" s="26">
        <v>0.95624859771146498</v>
      </c>
      <c r="R1077" s="26">
        <v>0.87332081467571898</v>
      </c>
      <c r="S1077" s="28">
        <v>0.9</v>
      </c>
      <c r="T1077" s="26">
        <v>0.89732027827879401</v>
      </c>
      <c r="U1077" s="26">
        <v>0.88155889396908305</v>
      </c>
      <c r="V1077" s="26">
        <v>0.898810859322414</v>
      </c>
      <c r="W1077" s="26">
        <v>0.84794645866435603</v>
      </c>
      <c r="X1077" s="28">
        <v>0.92</v>
      </c>
      <c r="Y1077" s="28">
        <v>0.96283783783783805</v>
      </c>
      <c r="Z1077" s="28">
        <v>0.94757094757094795</v>
      </c>
      <c r="AA1077" s="28">
        <v>0.95815384615384602</v>
      </c>
      <c r="AB1077" s="28">
        <v>0.92298743601675204</v>
      </c>
      <c r="AC1077" s="28">
        <v>0.92</v>
      </c>
      <c r="AD1077" s="26">
        <v>0.916316639741519</v>
      </c>
      <c r="AE1077" s="26">
        <v>0.89406252987857304</v>
      </c>
      <c r="AF1077" s="26">
        <v>0.89821688222239204</v>
      </c>
      <c r="AG1077" s="26">
        <v>0.78432545134230902</v>
      </c>
      <c r="AH1077" s="28">
        <v>0.92</v>
      </c>
      <c r="AI1077" s="26">
        <v>0.98012505582849496</v>
      </c>
      <c r="AJ1077" s="26">
        <v>0.97243152202818905</v>
      </c>
      <c r="AK1077" s="26">
        <v>0.97467938178230795</v>
      </c>
      <c r="AL1077" s="26">
        <v>0.96316009808025804</v>
      </c>
      <c r="AM1077" s="25">
        <v>0.99</v>
      </c>
      <c r="AN1077" s="30">
        <v>1</v>
      </c>
      <c r="AO1077" s="30">
        <v>1</v>
      </c>
      <c r="AP1077" s="30">
        <v>1</v>
      </c>
      <c r="AQ1077" s="30">
        <v>1</v>
      </c>
      <c r="AR1077" s="50">
        <v>7.2186152540827803E-2</v>
      </c>
      <c r="AS1077" s="34">
        <v>3.2258064516128997E-2</v>
      </c>
      <c r="AT1077" s="34">
        <v>5.8823529411764698E-2</v>
      </c>
      <c r="AU1077" s="34">
        <v>0</v>
      </c>
      <c r="AV1077" s="34">
        <v>3.125E-2</v>
      </c>
      <c r="AW1077" s="10"/>
      <c r="AX1077" s="8"/>
    </row>
    <row r="1078" spans="1:50">
      <c r="A1078" s="7"/>
      <c r="B1078" s="10"/>
      <c r="C1078" s="45" t="s">
        <v>1100</v>
      </c>
      <c r="D1078" s="23" t="s">
        <v>25</v>
      </c>
      <c r="E1078" s="83" t="s">
        <v>1122</v>
      </c>
      <c r="F1078" s="83" t="s">
        <v>1122</v>
      </c>
      <c r="G1078" s="83" t="s">
        <v>1122</v>
      </c>
      <c r="H1078" s="83" t="s">
        <v>1122</v>
      </c>
      <c r="I1078" s="25">
        <v>0.9</v>
      </c>
      <c r="J1078" s="26">
        <v>0.939393939393939</v>
      </c>
      <c r="K1078" s="26">
        <v>0.97142857142857097</v>
      </c>
      <c r="L1078" s="27">
        <v>0.92592592592592604</v>
      </c>
      <c r="M1078" s="26">
        <v>0.92063492063492103</v>
      </c>
      <c r="N1078" s="28">
        <v>0.9</v>
      </c>
      <c r="O1078" s="26">
        <v>0.95817817244342596</v>
      </c>
      <c r="P1078" s="26">
        <v>0.86180631120783502</v>
      </c>
      <c r="Q1078" s="26">
        <v>0.97395577395577404</v>
      </c>
      <c r="R1078" s="26">
        <v>0.94720035236469702</v>
      </c>
      <c r="S1078" s="28">
        <v>0.9</v>
      </c>
      <c r="T1078" s="26">
        <v>0.95617301632770002</v>
      </c>
      <c r="U1078" s="26">
        <v>0.94640914036996704</v>
      </c>
      <c r="V1078" s="26">
        <v>0.966584766584767</v>
      </c>
      <c r="W1078" s="26">
        <v>0.962285965974784</v>
      </c>
      <c r="X1078" s="28">
        <v>0.92</v>
      </c>
      <c r="Y1078" s="28">
        <v>0.95298372513562402</v>
      </c>
      <c r="Z1078" s="28">
        <v>0.96048632218844998</v>
      </c>
      <c r="AA1078" s="28">
        <v>0.95947712418300701</v>
      </c>
      <c r="AB1078" s="28">
        <v>0.954231227651967</v>
      </c>
      <c r="AC1078" s="28">
        <v>0.92</v>
      </c>
      <c r="AD1078" s="26">
        <v>0.99577702702702697</v>
      </c>
      <c r="AE1078" s="26">
        <v>0.99403613401157698</v>
      </c>
      <c r="AF1078" s="26">
        <v>0.99453148093408195</v>
      </c>
      <c r="AG1078" s="26">
        <v>0.99472438107982897</v>
      </c>
      <c r="AH1078" s="28">
        <v>0.92</v>
      </c>
      <c r="AI1078" s="26">
        <v>0.97799208704253204</v>
      </c>
      <c r="AJ1078" s="26">
        <v>0.97962684966759594</v>
      </c>
      <c r="AK1078" s="26">
        <v>0.98214285714285698</v>
      </c>
      <c r="AL1078" s="26">
        <v>0.981170050988461</v>
      </c>
      <c r="AM1078" s="25">
        <v>0.99</v>
      </c>
      <c r="AN1078" s="30">
        <v>1</v>
      </c>
      <c r="AO1078" s="30">
        <v>1</v>
      </c>
      <c r="AP1078" s="30">
        <v>1</v>
      </c>
      <c r="AQ1078" s="30">
        <v>1</v>
      </c>
      <c r="AR1078" s="50">
        <v>7.2186152540827803E-2</v>
      </c>
      <c r="AS1078" s="34">
        <v>-7.69230769230769E-2</v>
      </c>
      <c r="AT1078" s="34">
        <v>0.21052631578947401</v>
      </c>
      <c r="AU1078" s="34">
        <v>0</v>
      </c>
      <c r="AV1078" s="34">
        <v>4.3478260869565202E-2</v>
      </c>
      <c r="AW1078" s="10"/>
      <c r="AX1078" s="8"/>
    </row>
    <row r="1079" spans="1:50">
      <c r="A1079" s="7"/>
      <c r="B1079" s="10"/>
      <c r="C1079" s="45" t="s">
        <v>1100</v>
      </c>
      <c r="D1079" s="23" t="s">
        <v>25</v>
      </c>
      <c r="E1079" s="83" t="s">
        <v>1123</v>
      </c>
      <c r="F1079" s="83" t="s">
        <v>1123</v>
      </c>
      <c r="G1079" s="83" t="s">
        <v>1123</v>
      </c>
      <c r="H1079" s="83" t="s">
        <v>1123</v>
      </c>
      <c r="I1079" s="25">
        <v>0.9</v>
      </c>
      <c r="J1079" s="26">
        <v>0.92</v>
      </c>
      <c r="K1079" s="26">
        <v>0.96</v>
      </c>
      <c r="L1079" s="27">
        <v>0.952380952380952</v>
      </c>
      <c r="M1079" s="26">
        <v>0.93155893536121703</v>
      </c>
      <c r="N1079" s="28">
        <v>0.9</v>
      </c>
      <c r="O1079" s="26">
        <v>0.92254802831142602</v>
      </c>
      <c r="P1079" s="26">
        <v>0.94941042221376903</v>
      </c>
      <c r="Q1079" s="26">
        <v>0.96709585121602304</v>
      </c>
      <c r="R1079" s="26">
        <v>0.90027042530525303</v>
      </c>
      <c r="S1079" s="28">
        <v>0.9</v>
      </c>
      <c r="T1079" s="26">
        <v>0.81617795753286104</v>
      </c>
      <c r="U1079" s="26">
        <v>0.81723088626854301</v>
      </c>
      <c r="V1079" s="26">
        <v>0.84907010014306195</v>
      </c>
      <c r="W1079" s="26">
        <v>0.80193395066786899</v>
      </c>
      <c r="X1079" s="28">
        <v>0.92</v>
      </c>
      <c r="Y1079" s="28">
        <v>0.89479512735326705</v>
      </c>
      <c r="Z1079" s="28">
        <v>0.87467811158798303</v>
      </c>
      <c r="AA1079" s="28">
        <v>0.90563045202220505</v>
      </c>
      <c r="AB1079" s="28">
        <v>0.89078902810700999</v>
      </c>
      <c r="AC1079" s="28">
        <v>0.92</v>
      </c>
      <c r="AD1079" s="26">
        <v>0.99888740542946197</v>
      </c>
      <c r="AE1079" s="26">
        <v>0.99707419017763799</v>
      </c>
      <c r="AF1079" s="26">
        <v>0.98431994362226904</v>
      </c>
      <c r="AG1079" s="26">
        <v>0.99212620888368996</v>
      </c>
      <c r="AH1079" s="28">
        <v>0.92</v>
      </c>
      <c r="AI1079" s="26">
        <v>0.94528979312702999</v>
      </c>
      <c r="AJ1079" s="26">
        <v>0.94613109139031604</v>
      </c>
      <c r="AK1079" s="26">
        <v>0.93739216169583395</v>
      </c>
      <c r="AL1079" s="26">
        <v>0.938475241645499</v>
      </c>
      <c r="AM1079" s="25">
        <v>0.99</v>
      </c>
      <c r="AN1079" s="30">
        <v>1</v>
      </c>
      <c r="AO1079" s="30">
        <v>1</v>
      </c>
      <c r="AP1079" s="30">
        <v>1</v>
      </c>
      <c r="AQ1079" s="30">
        <v>1</v>
      </c>
      <c r="AR1079" s="50">
        <v>7.2186152540827803E-2</v>
      </c>
      <c r="AS1079" s="34">
        <v>-1.85185185185185E-2</v>
      </c>
      <c r="AT1079" s="34">
        <v>1.9607843137254902E-2</v>
      </c>
      <c r="AU1079" s="34">
        <v>4.1666666666666699E-2</v>
      </c>
      <c r="AV1079" s="34">
        <v>1.3274336283185801E-2</v>
      </c>
      <c r="AW1079" s="10"/>
      <c r="AX1079" s="8"/>
    </row>
    <row r="1080" spans="1:50">
      <c r="A1080" s="7"/>
      <c r="B1080" s="10"/>
      <c r="C1080" s="45" t="s">
        <v>1100</v>
      </c>
      <c r="D1080" s="23" t="s">
        <v>25</v>
      </c>
      <c r="E1080" s="83" t="s">
        <v>1124</v>
      </c>
      <c r="F1080" s="83" t="s">
        <v>1124</v>
      </c>
      <c r="G1080" s="83" t="s">
        <v>1124</v>
      </c>
      <c r="H1080" s="83" t="s">
        <v>1124</v>
      </c>
      <c r="I1080" s="25">
        <v>0.9</v>
      </c>
      <c r="J1080" s="26">
        <v>0</v>
      </c>
      <c r="K1080" s="26">
        <v>0</v>
      </c>
      <c r="L1080" s="27">
        <v>0</v>
      </c>
      <c r="M1080" s="26">
        <v>0</v>
      </c>
      <c r="N1080" s="28">
        <v>0.9</v>
      </c>
      <c r="O1080" s="26">
        <v>0</v>
      </c>
      <c r="P1080" s="26">
        <v>0</v>
      </c>
      <c r="Q1080" s="26">
        <v>0</v>
      </c>
      <c r="R1080" s="26">
        <v>0</v>
      </c>
      <c r="S1080" s="28">
        <v>0.9</v>
      </c>
      <c r="T1080" s="26">
        <v>0</v>
      </c>
      <c r="U1080" s="26">
        <v>0</v>
      </c>
      <c r="V1080" s="26">
        <v>0</v>
      </c>
      <c r="W1080" s="26">
        <v>0</v>
      </c>
      <c r="X1080" s="28">
        <v>0.92</v>
      </c>
      <c r="Y1080" s="28">
        <v>0</v>
      </c>
      <c r="Z1080" s="28">
        <v>0</v>
      </c>
      <c r="AA1080" s="28">
        <v>0</v>
      </c>
      <c r="AB1080" s="28">
        <v>0</v>
      </c>
      <c r="AC1080" s="28">
        <v>0.92</v>
      </c>
      <c r="AD1080" s="26">
        <v>0</v>
      </c>
      <c r="AE1080" s="26">
        <v>0</v>
      </c>
      <c r="AF1080" s="26">
        <v>0</v>
      </c>
      <c r="AG1080" s="26">
        <v>0</v>
      </c>
      <c r="AH1080" s="28">
        <v>0.92</v>
      </c>
      <c r="AI1080" s="26">
        <v>0</v>
      </c>
      <c r="AJ1080" s="26">
        <v>0</v>
      </c>
      <c r="AK1080" s="26">
        <v>1.59322033898305E-2</v>
      </c>
      <c r="AL1080" s="26">
        <v>8.4303240012582603E-3</v>
      </c>
      <c r="AM1080" s="25">
        <v>0.99</v>
      </c>
      <c r="AN1080" s="30">
        <v>0</v>
      </c>
      <c r="AO1080" s="30">
        <v>0</v>
      </c>
      <c r="AP1080" s="30">
        <v>0</v>
      </c>
      <c r="AQ1080" s="30">
        <v>0</v>
      </c>
      <c r="AR1080" s="50">
        <v>7.2186152540827803E-2</v>
      </c>
      <c r="AS1080" s="34">
        <v>0</v>
      </c>
      <c r="AT1080" s="34">
        <v>2</v>
      </c>
      <c r="AU1080" s="34">
        <v>0</v>
      </c>
      <c r="AV1080" s="34">
        <v>0.18518518518518501</v>
      </c>
      <c r="AW1080" s="10"/>
      <c r="AX1080" s="8"/>
    </row>
    <row r="1081" spans="1:50">
      <c r="A1081" s="7"/>
      <c r="B1081" s="10"/>
      <c r="C1081" s="45" t="s">
        <v>1100</v>
      </c>
      <c r="D1081" s="23" t="s">
        <v>25</v>
      </c>
      <c r="E1081" s="83" t="s">
        <v>1125</v>
      </c>
      <c r="F1081" s="83" t="s">
        <v>1125</v>
      </c>
      <c r="G1081" s="83" t="s">
        <v>1125</v>
      </c>
      <c r="H1081" s="83" t="s">
        <v>1125</v>
      </c>
      <c r="I1081" s="25">
        <v>0.9</v>
      </c>
      <c r="J1081" s="26">
        <v>0.93548387096774199</v>
      </c>
      <c r="K1081" s="26">
        <v>0.93548387096774199</v>
      </c>
      <c r="L1081" s="27">
        <v>1</v>
      </c>
      <c r="M1081" s="26">
        <v>0.96511627906976705</v>
      </c>
      <c r="N1081" s="28">
        <v>0.9</v>
      </c>
      <c r="O1081" s="26">
        <v>0.985924112607099</v>
      </c>
      <c r="P1081" s="26">
        <v>0.94321408290743902</v>
      </c>
      <c r="Q1081" s="26">
        <v>0.99445843828715397</v>
      </c>
      <c r="R1081" s="26">
        <v>0.977001140935567</v>
      </c>
      <c r="S1081" s="28">
        <v>0.9</v>
      </c>
      <c r="T1081" s="26">
        <v>0.952264381884945</v>
      </c>
      <c r="U1081" s="26">
        <v>0.91226575809199295</v>
      </c>
      <c r="V1081" s="26">
        <v>0.97128463476070503</v>
      </c>
      <c r="W1081" s="26">
        <v>0.9430733201225</v>
      </c>
      <c r="X1081" s="28">
        <v>0.92</v>
      </c>
      <c r="Y1081" s="28">
        <v>0.92618629173989497</v>
      </c>
      <c r="Z1081" s="28">
        <v>0.96780487804878002</v>
      </c>
      <c r="AA1081" s="28">
        <v>0.97483588621444195</v>
      </c>
      <c r="AB1081" s="28">
        <v>0.95705950991832001</v>
      </c>
      <c r="AC1081" s="28">
        <v>0.92</v>
      </c>
      <c r="AD1081" s="26">
        <v>0.99599757428744695</v>
      </c>
      <c r="AE1081" s="26">
        <v>0.91972542663742995</v>
      </c>
      <c r="AF1081" s="26">
        <v>0.99483078123476099</v>
      </c>
      <c r="AG1081" s="26">
        <v>0.98181880848570502</v>
      </c>
      <c r="AH1081" s="28">
        <v>0.92</v>
      </c>
      <c r="AI1081" s="26">
        <v>0.96742246546781296</v>
      </c>
      <c r="AJ1081" s="26">
        <v>0.97999120492524205</v>
      </c>
      <c r="AK1081" s="26">
        <v>0.98275267333563299</v>
      </c>
      <c r="AL1081" s="26">
        <v>0.975884628241249</v>
      </c>
      <c r="AM1081" s="25">
        <v>0.99</v>
      </c>
      <c r="AN1081" s="30">
        <v>1</v>
      </c>
      <c r="AO1081" s="30">
        <v>1</v>
      </c>
      <c r="AP1081" s="30">
        <v>1</v>
      </c>
      <c r="AQ1081" s="30">
        <v>1</v>
      </c>
      <c r="AR1081" s="50">
        <v>7.2186152540827803E-2</v>
      </c>
      <c r="AS1081" s="34">
        <v>0</v>
      </c>
      <c r="AT1081" s="34">
        <v>9.0909090909090898E-2</v>
      </c>
      <c r="AU1081" s="34">
        <v>0</v>
      </c>
      <c r="AV1081" s="34">
        <v>5.1282051282051301E-2</v>
      </c>
      <c r="AW1081" s="10"/>
      <c r="AX1081" s="8"/>
    </row>
    <row r="1082" spans="1:50">
      <c r="A1082" s="7"/>
      <c r="B1082" s="10"/>
      <c r="C1082" s="45" t="s">
        <v>1100</v>
      </c>
      <c r="D1082" s="23" t="s">
        <v>25</v>
      </c>
      <c r="E1082" s="83" t="s">
        <v>1126</v>
      </c>
      <c r="F1082" s="83" t="s">
        <v>1126</v>
      </c>
      <c r="G1082" s="83" t="s">
        <v>1126</v>
      </c>
      <c r="H1082" s="83" t="s">
        <v>1126</v>
      </c>
      <c r="I1082" s="25">
        <v>0.9</v>
      </c>
      <c r="J1082" s="26">
        <v>1</v>
      </c>
      <c r="K1082" s="26">
        <v>1</v>
      </c>
      <c r="L1082" s="27">
        <v>0.95454545454545503</v>
      </c>
      <c r="M1082" s="26">
        <v>0.95</v>
      </c>
      <c r="N1082" s="28">
        <v>0.9</v>
      </c>
      <c r="O1082" s="26">
        <v>0.59647911632723505</v>
      </c>
      <c r="P1082" s="26">
        <v>0.81560975609756103</v>
      </c>
      <c r="Q1082" s="26">
        <v>0.98400473933649302</v>
      </c>
      <c r="R1082" s="26">
        <v>0.868009725599166</v>
      </c>
      <c r="S1082" s="28">
        <v>0.9</v>
      </c>
      <c r="T1082" s="26">
        <v>0.91957197100448695</v>
      </c>
      <c r="U1082" s="26">
        <v>0.92455284552845496</v>
      </c>
      <c r="V1082" s="26">
        <v>0.940758293838863</v>
      </c>
      <c r="W1082" s="26">
        <v>0.94164640500173702</v>
      </c>
      <c r="X1082" s="28">
        <v>0.92</v>
      </c>
      <c r="Y1082" s="28">
        <v>0.96082474226804104</v>
      </c>
      <c r="Z1082" s="28">
        <v>0.96073619631901797</v>
      </c>
      <c r="AA1082" s="28">
        <v>0.97169811320754695</v>
      </c>
      <c r="AB1082" s="28">
        <v>0.96451058958214098</v>
      </c>
      <c r="AC1082" s="28">
        <v>0.92</v>
      </c>
      <c r="AD1082" s="26">
        <v>0.99295774647887303</v>
      </c>
      <c r="AE1082" s="26">
        <v>0.97310278578290099</v>
      </c>
      <c r="AF1082" s="26">
        <v>0.99869366427171802</v>
      </c>
      <c r="AG1082" s="26">
        <v>0.99380903246289398</v>
      </c>
      <c r="AH1082" s="28">
        <v>0.92</v>
      </c>
      <c r="AI1082" s="26">
        <v>0.97545830869308103</v>
      </c>
      <c r="AJ1082" s="26">
        <v>0.97480719794344495</v>
      </c>
      <c r="AK1082" s="26">
        <v>0.98271604938271595</v>
      </c>
      <c r="AL1082" s="26">
        <v>0.97859019509195599</v>
      </c>
      <c r="AM1082" s="25">
        <v>0.99</v>
      </c>
      <c r="AN1082" s="30">
        <v>1</v>
      </c>
      <c r="AO1082" s="30">
        <v>1</v>
      </c>
      <c r="AP1082" s="30">
        <v>1</v>
      </c>
      <c r="AQ1082" s="30">
        <v>1</v>
      </c>
      <c r="AR1082" s="50">
        <v>7.2186152540827803E-2</v>
      </c>
      <c r="AS1082" s="34">
        <v>0.04</v>
      </c>
      <c r="AT1082" s="34">
        <v>4.7619047619047603E-2</v>
      </c>
      <c r="AU1082" s="34">
        <v>6.6666666666666693E-2</v>
      </c>
      <c r="AV1082" s="34">
        <v>4.7619047619047603E-2</v>
      </c>
      <c r="AW1082" s="10"/>
      <c r="AX1082" s="8"/>
    </row>
    <row r="1083" spans="1:50">
      <c r="A1083" s="7"/>
      <c r="B1083" s="10"/>
      <c r="C1083" s="45" t="s">
        <v>1100</v>
      </c>
      <c r="D1083" s="23" t="s">
        <v>25</v>
      </c>
      <c r="E1083" s="83" t="s">
        <v>1127</v>
      </c>
      <c r="F1083" s="83" t="s">
        <v>1127</v>
      </c>
      <c r="G1083" s="83" t="s">
        <v>1127</v>
      </c>
      <c r="H1083" s="83" t="s">
        <v>1127</v>
      </c>
      <c r="I1083" s="25">
        <v>0.9</v>
      </c>
      <c r="J1083" s="26">
        <v>0.97530864197530898</v>
      </c>
      <c r="K1083" s="26">
        <v>0.96428571428571397</v>
      </c>
      <c r="L1083" s="27">
        <v>0.98550724637681197</v>
      </c>
      <c r="M1083" s="26">
        <v>0.97566371681415898</v>
      </c>
      <c r="N1083" s="28">
        <v>0.9</v>
      </c>
      <c r="O1083" s="26">
        <v>0.92210144927536197</v>
      </c>
      <c r="P1083" s="26">
        <v>0.89421519107976699</v>
      </c>
      <c r="Q1083" s="26">
        <v>0.96988065921576105</v>
      </c>
      <c r="R1083" s="26">
        <v>0.92904983307047895</v>
      </c>
      <c r="S1083" s="28">
        <v>0.9</v>
      </c>
      <c r="T1083" s="26">
        <v>0.89226342710997397</v>
      </c>
      <c r="U1083" s="26">
        <v>0.86476698751548697</v>
      </c>
      <c r="V1083" s="26">
        <v>0.93426785376018195</v>
      </c>
      <c r="W1083" s="26">
        <v>0.896298875529976</v>
      </c>
      <c r="X1083" s="28">
        <v>0.92</v>
      </c>
      <c r="Y1083" s="28">
        <v>0.94868735083532196</v>
      </c>
      <c r="Z1083" s="28">
        <v>0.95926517571884995</v>
      </c>
      <c r="AA1083" s="28">
        <v>0.95132055929570203</v>
      </c>
      <c r="AB1083" s="28">
        <v>0.95003331112591605</v>
      </c>
      <c r="AC1083" s="28">
        <v>0.92</v>
      </c>
      <c r="AD1083" s="26">
        <v>0.997780517879162</v>
      </c>
      <c r="AE1083" s="26">
        <v>0.99689982561519097</v>
      </c>
      <c r="AF1083" s="26">
        <v>0.99726461272674904</v>
      </c>
      <c r="AG1083" s="26">
        <v>0.99664931917017197</v>
      </c>
      <c r="AH1083" s="28">
        <v>0.92</v>
      </c>
      <c r="AI1083" s="26">
        <v>0.97324172843970302</v>
      </c>
      <c r="AJ1083" s="26">
        <v>0.976917750250058</v>
      </c>
      <c r="AK1083" s="26">
        <v>0.97267683772538105</v>
      </c>
      <c r="AL1083" s="26">
        <v>0.97451799919104798</v>
      </c>
      <c r="AM1083" s="25">
        <v>0.99</v>
      </c>
      <c r="AN1083" s="30">
        <v>1</v>
      </c>
      <c r="AO1083" s="30">
        <v>1</v>
      </c>
      <c r="AP1083" s="30">
        <v>1</v>
      </c>
      <c r="AQ1083" s="30">
        <v>1</v>
      </c>
      <c r="AR1083" s="50">
        <v>7.2186152540827803E-2</v>
      </c>
      <c r="AS1083" s="34">
        <v>2.1739130434782601E-2</v>
      </c>
      <c r="AT1083" s="34">
        <v>4.6511627906976702E-2</v>
      </c>
      <c r="AU1083" s="34">
        <v>6.25E-2</v>
      </c>
      <c r="AV1083" s="34">
        <v>3.6269430051813503E-2</v>
      </c>
      <c r="AW1083" s="10"/>
      <c r="AX1083" s="8"/>
    </row>
    <row r="1084" spans="1:50">
      <c r="A1084" s="7"/>
      <c r="B1084" s="10"/>
      <c r="C1084" s="45" t="s">
        <v>1100</v>
      </c>
      <c r="D1084" s="23" t="s">
        <v>25</v>
      </c>
      <c r="E1084" s="83" t="s">
        <v>1128</v>
      </c>
      <c r="F1084" s="83" t="s">
        <v>1128</v>
      </c>
      <c r="G1084" s="83" t="s">
        <v>1128</v>
      </c>
      <c r="H1084" s="83" t="s">
        <v>1128</v>
      </c>
      <c r="I1084" s="25">
        <v>0.9</v>
      </c>
      <c r="J1084" s="26">
        <v>1</v>
      </c>
      <c r="K1084" s="26">
        <v>1</v>
      </c>
      <c r="L1084" s="27">
        <v>0.952380952380952</v>
      </c>
      <c r="M1084" s="26">
        <v>0.99270072992700698</v>
      </c>
      <c r="N1084" s="28">
        <v>0.9</v>
      </c>
      <c r="O1084" s="26">
        <v>0.97464167585446504</v>
      </c>
      <c r="P1084" s="26">
        <v>0.89479277364505805</v>
      </c>
      <c r="Q1084" s="26">
        <v>0.93479752916952596</v>
      </c>
      <c r="R1084" s="26">
        <v>0.95663795663795703</v>
      </c>
      <c r="S1084" s="28">
        <v>0.9</v>
      </c>
      <c r="T1084" s="26">
        <v>0.93752296949650904</v>
      </c>
      <c r="U1084" s="26">
        <v>0.87353878852284805</v>
      </c>
      <c r="V1084" s="26">
        <v>0.914207275223061</v>
      </c>
      <c r="W1084" s="26">
        <v>0.92953667953667996</v>
      </c>
      <c r="X1084" s="28">
        <v>0.92</v>
      </c>
      <c r="Y1084" s="28">
        <v>0.944827586206897</v>
      </c>
      <c r="Z1084" s="28">
        <v>0.95322580645161303</v>
      </c>
      <c r="AA1084" s="28">
        <v>0.94582043343653299</v>
      </c>
      <c r="AB1084" s="28">
        <v>0.94809212787899599</v>
      </c>
      <c r="AC1084" s="28">
        <v>0.92</v>
      </c>
      <c r="AD1084" s="26">
        <v>0.99830795262267302</v>
      </c>
      <c r="AE1084" s="26">
        <v>0.99853587115666198</v>
      </c>
      <c r="AF1084" s="26">
        <v>0.99622799664710804</v>
      </c>
      <c r="AG1084" s="26">
        <v>0.99785899984707105</v>
      </c>
      <c r="AH1084" s="28">
        <v>0.92</v>
      </c>
      <c r="AI1084" s="26">
        <v>0.97496831432192699</v>
      </c>
      <c r="AJ1084" s="26">
        <v>0.98024978216671499</v>
      </c>
      <c r="AK1084" s="26">
        <v>0.97432239657632003</v>
      </c>
      <c r="AL1084" s="26">
        <v>0.97893387067228399</v>
      </c>
      <c r="AM1084" s="25">
        <v>0.99</v>
      </c>
      <c r="AN1084" s="30">
        <v>1</v>
      </c>
      <c r="AO1084" s="30">
        <v>1</v>
      </c>
      <c r="AP1084" s="30">
        <v>1</v>
      </c>
      <c r="AQ1084" s="30">
        <v>1</v>
      </c>
      <c r="AR1084" s="50">
        <v>7.2186152540827803E-2</v>
      </c>
      <c r="AS1084" s="34">
        <v>0</v>
      </c>
      <c r="AT1084" s="34">
        <v>0.1</v>
      </c>
      <c r="AU1084" s="34">
        <v>0</v>
      </c>
      <c r="AV1084" s="34">
        <v>5.8823529411764698E-2</v>
      </c>
      <c r="AW1084" s="10"/>
      <c r="AX1084" s="8"/>
    </row>
    <row r="1085" spans="1:50">
      <c r="A1085" s="7"/>
      <c r="B1085" s="10"/>
      <c r="C1085" s="45" t="s">
        <v>1100</v>
      </c>
      <c r="D1085" s="23" t="s">
        <v>25</v>
      </c>
      <c r="E1085" s="83" t="s">
        <v>1129</v>
      </c>
      <c r="F1085" s="83" t="s">
        <v>1129</v>
      </c>
      <c r="G1085" s="83" t="s">
        <v>1129</v>
      </c>
      <c r="H1085" s="83" t="s">
        <v>1129</v>
      </c>
      <c r="I1085" s="25">
        <v>0.9</v>
      </c>
      <c r="J1085" s="26">
        <v>0.95833333333333304</v>
      </c>
      <c r="K1085" s="26">
        <v>0.92</v>
      </c>
      <c r="L1085" s="27">
        <v>0.88888888888888895</v>
      </c>
      <c r="M1085" s="26">
        <v>0.934782608695652</v>
      </c>
      <c r="N1085" s="28">
        <v>0.9</v>
      </c>
      <c r="O1085" s="26">
        <v>0.96157130657557599</v>
      </c>
      <c r="P1085" s="26">
        <v>0.96190842631781504</v>
      </c>
      <c r="Q1085" s="26">
        <v>0.97981254506128301</v>
      </c>
      <c r="R1085" s="26">
        <v>0.82018015040079295</v>
      </c>
      <c r="S1085" s="28">
        <v>0.9</v>
      </c>
      <c r="T1085" s="26">
        <v>0.91929974380871005</v>
      </c>
      <c r="U1085" s="26">
        <v>0.93459022701038896</v>
      </c>
      <c r="V1085" s="26">
        <v>0.93943763518385004</v>
      </c>
      <c r="W1085" s="26">
        <v>0.93926121808115004</v>
      </c>
      <c r="X1085" s="28">
        <v>0.92</v>
      </c>
      <c r="Y1085" s="28">
        <v>0.95786516853932602</v>
      </c>
      <c r="Z1085" s="28">
        <v>0.96048109965635697</v>
      </c>
      <c r="AA1085" s="28">
        <v>0.96360153256704995</v>
      </c>
      <c r="AB1085" s="28">
        <v>0.96095764272559903</v>
      </c>
      <c r="AC1085" s="28">
        <v>0.92</v>
      </c>
      <c r="AD1085" s="26">
        <v>0.99347887723277595</v>
      </c>
      <c r="AE1085" s="26">
        <v>0.99725425590335004</v>
      </c>
      <c r="AF1085" s="26">
        <v>0.99606969736669704</v>
      </c>
      <c r="AG1085" s="26">
        <v>0.99582771958798699</v>
      </c>
      <c r="AH1085" s="28">
        <v>0.92</v>
      </c>
      <c r="AI1085" s="26">
        <v>0.97333333333333305</v>
      </c>
      <c r="AJ1085" s="26">
        <v>0.98114393463230698</v>
      </c>
      <c r="AK1085" s="26">
        <v>0.97801047120418805</v>
      </c>
      <c r="AL1085" s="26">
        <v>0.97962213225371098</v>
      </c>
      <c r="AM1085" s="25">
        <v>0.99</v>
      </c>
      <c r="AN1085" s="30">
        <v>1</v>
      </c>
      <c r="AO1085" s="30">
        <v>1</v>
      </c>
      <c r="AP1085" s="30">
        <v>1</v>
      </c>
      <c r="AQ1085" s="30">
        <v>1</v>
      </c>
      <c r="AR1085" s="50">
        <v>7.2186152540827803E-2</v>
      </c>
      <c r="AS1085" s="34">
        <v>-0.1</v>
      </c>
      <c r="AT1085" s="34">
        <v>0</v>
      </c>
      <c r="AU1085" s="34">
        <v>0</v>
      </c>
      <c r="AV1085" s="34">
        <v>0</v>
      </c>
      <c r="AW1085" s="10"/>
      <c r="AX1085" s="8"/>
    </row>
    <row r="1086" spans="1:50">
      <c r="A1086" s="7"/>
      <c r="B1086" s="10"/>
      <c r="C1086" s="45" t="s">
        <v>1100</v>
      </c>
      <c r="D1086" s="23" t="s">
        <v>25</v>
      </c>
      <c r="E1086" s="83" t="s">
        <v>1130</v>
      </c>
      <c r="F1086" s="83" t="s">
        <v>1130</v>
      </c>
      <c r="G1086" s="83" t="s">
        <v>1130</v>
      </c>
      <c r="H1086" s="83" t="s">
        <v>1130</v>
      </c>
      <c r="I1086" s="25">
        <v>0.9</v>
      </c>
      <c r="J1086" s="26">
        <v>0.97368421052631604</v>
      </c>
      <c r="K1086" s="26">
        <v>0.94871794871794901</v>
      </c>
      <c r="L1086" s="27">
        <v>0.96551724137931005</v>
      </c>
      <c r="M1086" s="26">
        <v>0.96078431372549</v>
      </c>
      <c r="N1086" s="28">
        <v>0.9</v>
      </c>
      <c r="O1086" s="26">
        <v>0.98113738738738698</v>
      </c>
      <c r="P1086" s="26">
        <v>0.98231929277171104</v>
      </c>
      <c r="Q1086" s="26">
        <v>0.98817500985415796</v>
      </c>
      <c r="R1086" s="26">
        <v>0.98322580645161295</v>
      </c>
      <c r="S1086" s="28">
        <v>0.9</v>
      </c>
      <c r="T1086" s="26">
        <v>0.94284909909909898</v>
      </c>
      <c r="U1086" s="26">
        <v>0.94591783671346896</v>
      </c>
      <c r="V1086" s="26">
        <v>0.94954670871107605</v>
      </c>
      <c r="W1086" s="26">
        <v>0.94677419354838699</v>
      </c>
      <c r="X1086" s="28">
        <v>0.92</v>
      </c>
      <c r="Y1086" s="28">
        <v>0.92990654205607504</v>
      </c>
      <c r="Z1086" s="28">
        <v>0.85114885114885097</v>
      </c>
      <c r="AA1086" s="28">
        <v>0.91566265060241003</v>
      </c>
      <c r="AB1086" s="28">
        <v>0.91021085050935802</v>
      </c>
      <c r="AC1086" s="28">
        <v>0.92</v>
      </c>
      <c r="AD1086" s="26">
        <v>0.99890948745910602</v>
      </c>
      <c r="AE1086" s="26">
        <v>0.99775758291042105</v>
      </c>
      <c r="AF1086" s="26">
        <v>0.994475780659417</v>
      </c>
      <c r="AG1086" s="26">
        <v>0.996691355536521</v>
      </c>
      <c r="AH1086" s="28">
        <v>0.92</v>
      </c>
      <c r="AI1086" s="26">
        <v>0.96828803051978996</v>
      </c>
      <c r="AJ1086" s="26">
        <v>0.95275428099855597</v>
      </c>
      <c r="AK1086" s="26">
        <v>0.96287496287496299</v>
      </c>
      <c r="AL1086" s="26">
        <v>0.96735462950790896</v>
      </c>
      <c r="AM1086" s="25">
        <v>0.99</v>
      </c>
      <c r="AN1086" s="30">
        <v>1</v>
      </c>
      <c r="AO1086" s="30">
        <v>1</v>
      </c>
      <c r="AP1086" s="30">
        <v>1</v>
      </c>
      <c r="AQ1086" s="30">
        <v>1</v>
      </c>
      <c r="AR1086" s="50">
        <v>7.2186152540827803E-2</v>
      </c>
      <c r="AS1086" s="34">
        <v>0</v>
      </c>
      <c r="AT1086" s="34">
        <v>0</v>
      </c>
      <c r="AU1086" s="34">
        <v>0.1</v>
      </c>
      <c r="AV1086" s="34">
        <v>2.3809523809523801E-2</v>
      </c>
      <c r="AW1086" s="10"/>
      <c r="AX1086" s="8"/>
    </row>
    <row r="1087" spans="1:50">
      <c r="A1087" s="7"/>
      <c r="B1087" s="10"/>
      <c r="C1087" s="45" t="s">
        <v>1100</v>
      </c>
      <c r="D1087" s="23" t="s">
        <v>25</v>
      </c>
      <c r="E1087" s="83" t="s">
        <v>1131</v>
      </c>
      <c r="F1087" s="83" t="s">
        <v>1131</v>
      </c>
      <c r="G1087" s="83" t="s">
        <v>1131</v>
      </c>
      <c r="H1087" s="83" t="s">
        <v>1131</v>
      </c>
      <c r="I1087" s="25">
        <v>0.9</v>
      </c>
      <c r="J1087" s="26">
        <v>0.90322580645161299</v>
      </c>
      <c r="K1087" s="26">
        <v>0.91666666666666696</v>
      </c>
      <c r="L1087" s="27">
        <v>0.87096774193548399</v>
      </c>
      <c r="M1087" s="26">
        <v>0.91351351351351395</v>
      </c>
      <c r="N1087" s="28">
        <v>0.9</v>
      </c>
      <c r="O1087" s="26">
        <v>0.725243274184316</v>
      </c>
      <c r="P1087" s="26">
        <v>0.90631313131313096</v>
      </c>
      <c r="Q1087" s="26">
        <v>0.97858880778588797</v>
      </c>
      <c r="R1087" s="26">
        <v>0.81637662975287795</v>
      </c>
      <c r="S1087" s="28">
        <v>0.9</v>
      </c>
      <c r="T1087" s="26">
        <v>0.90469376073268504</v>
      </c>
      <c r="U1087" s="26">
        <v>0.94570707070707105</v>
      </c>
      <c r="V1087" s="26">
        <v>0.95133819951338205</v>
      </c>
      <c r="W1087" s="26">
        <v>0.912225192297201</v>
      </c>
      <c r="X1087" s="28">
        <v>0.92</v>
      </c>
      <c r="Y1087" s="28">
        <v>0.84719535783365596</v>
      </c>
      <c r="Z1087" s="28">
        <v>0.91397849462365599</v>
      </c>
      <c r="AA1087" s="28">
        <v>0.89480874316939896</v>
      </c>
      <c r="AB1087" s="28">
        <v>0.87956389452332695</v>
      </c>
      <c r="AC1087" s="28">
        <v>0.92</v>
      </c>
      <c r="AD1087" s="26">
        <v>0.99596774193548399</v>
      </c>
      <c r="AE1087" s="26">
        <v>0.99519692603266097</v>
      </c>
      <c r="AF1087" s="26">
        <v>0.99882005899704995</v>
      </c>
      <c r="AG1087" s="26">
        <v>0.986106976282624</v>
      </c>
      <c r="AH1087" s="28">
        <v>0.92</v>
      </c>
      <c r="AI1087" s="26">
        <v>0.95712861415752704</v>
      </c>
      <c r="AJ1087" s="26">
        <v>0.97050561797752799</v>
      </c>
      <c r="AK1087" s="26">
        <v>0.95801937567276596</v>
      </c>
      <c r="AL1087" s="26">
        <v>0.95865691071508696</v>
      </c>
      <c r="AM1087" s="25">
        <v>0.99</v>
      </c>
      <c r="AN1087" s="30">
        <v>1</v>
      </c>
      <c r="AO1087" s="30">
        <v>1</v>
      </c>
      <c r="AP1087" s="30">
        <v>1</v>
      </c>
      <c r="AQ1087" s="30">
        <v>1</v>
      </c>
      <c r="AR1087" s="50">
        <v>7.2186152540827803E-2</v>
      </c>
      <c r="AS1087" s="34">
        <v>0</v>
      </c>
      <c r="AT1087" s="34">
        <v>0</v>
      </c>
      <c r="AU1087" s="34">
        <v>0</v>
      </c>
      <c r="AV1087" s="34">
        <v>0</v>
      </c>
      <c r="AW1087" s="10"/>
      <c r="AX1087" s="8"/>
    </row>
    <row r="1088" spans="1:50">
      <c r="A1088" s="7"/>
      <c r="B1088" s="10"/>
      <c r="C1088" s="45" t="s">
        <v>1100</v>
      </c>
      <c r="D1088" s="23" t="s">
        <v>25</v>
      </c>
      <c r="E1088" s="83" t="s">
        <v>1132</v>
      </c>
      <c r="F1088" s="83" t="s">
        <v>1132</v>
      </c>
      <c r="G1088" s="83" t="s">
        <v>1132</v>
      </c>
      <c r="H1088" s="83" t="s">
        <v>1132</v>
      </c>
      <c r="I1088" s="25">
        <v>0.9</v>
      </c>
      <c r="J1088" s="26">
        <v>0.87037037037037002</v>
      </c>
      <c r="K1088" s="26">
        <v>0.89090909090909098</v>
      </c>
      <c r="L1088" s="27">
        <v>0.97916666666666696</v>
      </c>
      <c r="M1088" s="26">
        <v>0.918831168831169</v>
      </c>
      <c r="N1088" s="28">
        <v>0.9</v>
      </c>
      <c r="O1088" s="26">
        <v>0.82263367364595996</v>
      </c>
      <c r="P1088" s="26">
        <v>0.88487547418769597</v>
      </c>
      <c r="Q1088" s="26">
        <v>0.97112551561579297</v>
      </c>
      <c r="R1088" s="26">
        <v>0.92413793103448305</v>
      </c>
      <c r="S1088" s="28">
        <v>0.9</v>
      </c>
      <c r="T1088" s="26">
        <v>0.90500086520159195</v>
      </c>
      <c r="U1088" s="26">
        <v>0.92330529440870901</v>
      </c>
      <c r="V1088" s="26">
        <v>0.93959929286976995</v>
      </c>
      <c r="W1088" s="26">
        <v>0.92559544969783103</v>
      </c>
      <c r="X1088" s="28">
        <v>0.92</v>
      </c>
      <c r="Y1088" s="28">
        <v>0.94564102564102603</v>
      </c>
      <c r="Z1088" s="28">
        <v>0.94320798158096697</v>
      </c>
      <c r="AA1088" s="28">
        <v>0.93191800878477304</v>
      </c>
      <c r="AB1088" s="28">
        <v>0.94213104715247997</v>
      </c>
      <c r="AC1088" s="28">
        <v>0.92</v>
      </c>
      <c r="AD1088" s="26">
        <v>0.97192333557498301</v>
      </c>
      <c r="AE1088" s="26">
        <v>0.96105489113768805</v>
      </c>
      <c r="AF1088" s="26">
        <v>0.86252087883849404</v>
      </c>
      <c r="AG1088" s="26">
        <v>0.92439988481976898</v>
      </c>
      <c r="AH1088" s="28">
        <v>0.92</v>
      </c>
      <c r="AI1088" s="26">
        <v>0.96017175007402999</v>
      </c>
      <c r="AJ1088" s="26">
        <v>0.97054032039098603</v>
      </c>
      <c r="AK1088" s="26">
        <v>0.96050420168067197</v>
      </c>
      <c r="AL1088" s="26">
        <v>0.96437020368126503</v>
      </c>
      <c r="AM1088" s="25">
        <v>0.99</v>
      </c>
      <c r="AN1088" s="30">
        <v>1</v>
      </c>
      <c r="AO1088" s="30">
        <v>1</v>
      </c>
      <c r="AP1088" s="30">
        <v>1</v>
      </c>
      <c r="AQ1088" s="30">
        <v>1</v>
      </c>
      <c r="AR1088" s="50">
        <v>7.2186152540827803E-2</v>
      </c>
      <c r="AS1088" s="34">
        <v>-8.1081081081081099E-2</v>
      </c>
      <c r="AT1088" s="34">
        <v>-5.8823529411764698E-2</v>
      </c>
      <c r="AU1088" s="34">
        <v>6.0606060606060601E-2</v>
      </c>
      <c r="AV1088" s="34">
        <v>4.0485829959514196E-3</v>
      </c>
      <c r="AW1088" s="10"/>
      <c r="AX1088" s="8"/>
    </row>
    <row r="1089" spans="1:50">
      <c r="A1089" s="7"/>
      <c r="B1089" s="10"/>
      <c r="C1089" s="45" t="s">
        <v>1100</v>
      </c>
      <c r="D1089" s="23" t="s">
        <v>25</v>
      </c>
      <c r="E1089" s="83" t="s">
        <v>1133</v>
      </c>
      <c r="F1089" s="83" t="s">
        <v>1133</v>
      </c>
      <c r="G1089" s="83" t="s">
        <v>1133</v>
      </c>
      <c r="H1089" s="83" t="s">
        <v>1133</v>
      </c>
      <c r="I1089" s="25">
        <v>0.9</v>
      </c>
      <c r="J1089" s="26">
        <v>0.97560975609756095</v>
      </c>
      <c r="K1089" s="26">
        <v>0.92682926829268297</v>
      </c>
      <c r="L1089" s="27">
        <v>0.97368421052631604</v>
      </c>
      <c r="M1089" s="26">
        <v>0.95102040816326505</v>
      </c>
      <c r="N1089" s="28">
        <v>0.9</v>
      </c>
      <c r="O1089" s="26">
        <v>0.830100334448161</v>
      </c>
      <c r="P1089" s="26">
        <v>0.79083383807793295</v>
      </c>
      <c r="Q1089" s="26">
        <v>0.97381789761625603</v>
      </c>
      <c r="R1089" s="26">
        <v>0.91175472818251202</v>
      </c>
      <c r="S1089" s="28">
        <v>0.9</v>
      </c>
      <c r="T1089" s="26">
        <v>0.92329988851727995</v>
      </c>
      <c r="U1089" s="26">
        <v>0.91076115485564302</v>
      </c>
      <c r="V1089" s="26">
        <v>0.95037123876514296</v>
      </c>
      <c r="W1089" s="26">
        <v>0.94580612331439196</v>
      </c>
      <c r="X1089" s="28">
        <v>0.92</v>
      </c>
      <c r="Y1089" s="28">
        <v>0.93905817174515205</v>
      </c>
      <c r="Z1089" s="28">
        <v>0.94711538461538503</v>
      </c>
      <c r="AA1089" s="28">
        <v>0.95341614906832295</v>
      </c>
      <c r="AB1089" s="28">
        <v>0.95053554040895805</v>
      </c>
      <c r="AC1089" s="28">
        <v>0.92</v>
      </c>
      <c r="AD1089" s="26">
        <v>0.99393449251920696</v>
      </c>
      <c r="AE1089" s="26">
        <v>0.99887218045112802</v>
      </c>
      <c r="AF1089" s="26">
        <v>0.988755622188906</v>
      </c>
      <c r="AG1089" s="26">
        <v>0.99387004495300402</v>
      </c>
      <c r="AH1089" s="28">
        <v>0.92</v>
      </c>
      <c r="AI1089" s="26">
        <v>0.96677549452659906</v>
      </c>
      <c r="AJ1089" s="26">
        <v>0.97162205740083796</v>
      </c>
      <c r="AK1089" s="26">
        <v>0.97248226950354599</v>
      </c>
      <c r="AL1089" s="26">
        <v>0.97691343408315301</v>
      </c>
      <c r="AM1089" s="25">
        <v>0.99</v>
      </c>
      <c r="AN1089" s="30">
        <v>1</v>
      </c>
      <c r="AO1089" s="30">
        <v>1</v>
      </c>
      <c r="AP1089" s="30">
        <v>1</v>
      </c>
      <c r="AQ1089" s="30">
        <v>1</v>
      </c>
      <c r="AR1089" s="50">
        <v>7.2186152540827803E-2</v>
      </c>
      <c r="AS1089" s="34">
        <v>0</v>
      </c>
      <c r="AT1089" s="34">
        <v>0</v>
      </c>
      <c r="AU1089" s="34">
        <v>0.14285714285714299</v>
      </c>
      <c r="AV1089" s="34">
        <v>2.66666666666667E-2</v>
      </c>
      <c r="AW1089" s="10"/>
      <c r="AX1089" s="8"/>
    </row>
    <row r="1090" spans="1:50">
      <c r="A1090" s="7"/>
      <c r="B1090" s="10"/>
      <c r="C1090" s="45" t="s">
        <v>1100</v>
      </c>
      <c r="D1090" s="23" t="s">
        <v>25</v>
      </c>
      <c r="E1090" s="83" t="s">
        <v>1134</v>
      </c>
      <c r="F1090" s="83" t="s">
        <v>1134</v>
      </c>
      <c r="G1090" s="83" t="s">
        <v>1134</v>
      </c>
      <c r="H1090" s="83" t="s">
        <v>1134</v>
      </c>
      <c r="I1090" s="25">
        <v>0.9</v>
      </c>
      <c r="J1090" s="26">
        <v>1</v>
      </c>
      <c r="K1090" s="26">
        <v>1</v>
      </c>
      <c r="L1090" s="27">
        <v>0.92857142857142905</v>
      </c>
      <c r="M1090" s="26">
        <v>0.9375</v>
      </c>
      <c r="N1090" s="28">
        <v>0.9</v>
      </c>
      <c r="O1090" s="26">
        <v>0.94927536231884102</v>
      </c>
      <c r="P1090" s="26">
        <v>0.93285123966942196</v>
      </c>
      <c r="Q1090" s="26">
        <v>0.96544276457883405</v>
      </c>
      <c r="R1090" s="26">
        <v>0.94153457385711004</v>
      </c>
      <c r="S1090" s="28">
        <v>0.9</v>
      </c>
      <c r="T1090" s="26">
        <v>0.95108695652173902</v>
      </c>
      <c r="U1090" s="26">
        <v>0.90754132231405005</v>
      </c>
      <c r="V1090" s="26">
        <v>0.93844492440604799</v>
      </c>
      <c r="W1090" s="26">
        <v>0.90833907649896595</v>
      </c>
      <c r="X1090" s="28">
        <v>0.92</v>
      </c>
      <c r="Y1090" s="28">
        <v>0.94366197183098599</v>
      </c>
      <c r="Z1090" s="28">
        <v>0.93201754385964897</v>
      </c>
      <c r="AA1090" s="28">
        <v>0.89835164835164805</v>
      </c>
      <c r="AB1090" s="28">
        <v>0.92082702975289998</v>
      </c>
      <c r="AC1090" s="28">
        <v>0.92</v>
      </c>
      <c r="AD1090" s="26">
        <v>0.84426229508196704</v>
      </c>
      <c r="AE1090" s="26">
        <v>0.98976109215017105</v>
      </c>
      <c r="AF1090" s="26">
        <v>0.99338842975206598</v>
      </c>
      <c r="AG1090" s="26">
        <v>0.94397905759162304</v>
      </c>
      <c r="AH1090" s="28">
        <v>0.92</v>
      </c>
      <c r="AI1090" s="26">
        <v>0.97113402061855703</v>
      </c>
      <c r="AJ1090" s="26">
        <v>0.97408026755852795</v>
      </c>
      <c r="AK1090" s="26">
        <v>0.96124031007751898</v>
      </c>
      <c r="AL1090" s="26">
        <v>0.968846477687342</v>
      </c>
      <c r="AM1090" s="25">
        <v>0.99</v>
      </c>
      <c r="AN1090" s="30">
        <v>1</v>
      </c>
      <c r="AO1090" s="30">
        <v>1</v>
      </c>
      <c r="AP1090" s="30">
        <v>1</v>
      </c>
      <c r="AQ1090" s="30">
        <v>1</v>
      </c>
      <c r="AR1090" s="50">
        <v>7.2186152540827803E-2</v>
      </c>
      <c r="AS1090" s="34">
        <v>0</v>
      </c>
      <c r="AT1090" s="34">
        <v>0.2</v>
      </c>
      <c r="AU1090" s="34">
        <v>0.5</v>
      </c>
      <c r="AV1090" s="34">
        <v>0.125</v>
      </c>
      <c r="AW1090" s="10"/>
      <c r="AX1090" s="8"/>
    </row>
    <row r="1091" spans="1:50">
      <c r="A1091" s="7"/>
      <c r="B1091" s="10"/>
      <c r="C1091" s="45" t="s">
        <v>1100</v>
      </c>
      <c r="D1091" s="23" t="s">
        <v>25</v>
      </c>
      <c r="E1091" s="83" t="s">
        <v>1135</v>
      </c>
      <c r="F1091" s="83" t="s">
        <v>1135</v>
      </c>
      <c r="G1091" s="83" t="s">
        <v>1135</v>
      </c>
      <c r="H1091" s="83" t="s">
        <v>1135</v>
      </c>
      <c r="I1091" s="25">
        <v>0.9</v>
      </c>
      <c r="J1091" s="26">
        <v>0.90625</v>
      </c>
      <c r="K1091" s="26">
        <v>0.93548387096774199</v>
      </c>
      <c r="L1091" s="27">
        <v>0.80769230769230804</v>
      </c>
      <c r="M1091" s="26">
        <v>0.876470588235294</v>
      </c>
      <c r="N1091" s="28">
        <v>0.9</v>
      </c>
      <c r="O1091" s="26">
        <v>0.98640996602491504</v>
      </c>
      <c r="P1091" s="26">
        <v>0.98062849763237203</v>
      </c>
      <c r="Q1091" s="26">
        <v>0.91872791519434605</v>
      </c>
      <c r="R1091" s="26">
        <v>0.96231281198003304</v>
      </c>
      <c r="S1091" s="28">
        <v>0.9</v>
      </c>
      <c r="T1091" s="26">
        <v>0.91166477916194799</v>
      </c>
      <c r="U1091" s="26">
        <v>0.930262591476539</v>
      </c>
      <c r="V1091" s="26">
        <v>0.87844522968197902</v>
      </c>
      <c r="W1091" s="26">
        <v>0.90224625623960097</v>
      </c>
      <c r="X1091" s="28">
        <v>0.92</v>
      </c>
      <c r="Y1091" s="28">
        <v>0.90694345025053702</v>
      </c>
      <c r="Z1091" s="28">
        <v>0.95227765726681102</v>
      </c>
      <c r="AA1091" s="28">
        <v>0.902272727272727</v>
      </c>
      <c r="AB1091" s="28">
        <v>0.91604240282685501</v>
      </c>
      <c r="AC1091" s="28">
        <v>0.92</v>
      </c>
      <c r="AD1091" s="26">
        <v>1</v>
      </c>
      <c r="AE1091" s="26">
        <v>0.99589322381930201</v>
      </c>
      <c r="AF1091" s="26">
        <v>0.99629286376274295</v>
      </c>
      <c r="AG1091" s="26">
        <v>0.99683447360359401</v>
      </c>
      <c r="AH1091" s="28">
        <v>0.92</v>
      </c>
      <c r="AI1091" s="26">
        <v>0.94761551766740804</v>
      </c>
      <c r="AJ1091" s="26">
        <v>0.97220723151646005</v>
      </c>
      <c r="AK1091" s="26">
        <v>0.93769063180827905</v>
      </c>
      <c r="AL1091" s="26">
        <v>0.95019899455383305</v>
      </c>
      <c r="AM1091" s="25">
        <v>0.99</v>
      </c>
      <c r="AN1091" s="30">
        <v>1</v>
      </c>
      <c r="AO1091" s="30">
        <v>1</v>
      </c>
      <c r="AP1091" s="30">
        <v>1</v>
      </c>
      <c r="AQ1091" s="30">
        <v>1</v>
      </c>
      <c r="AR1091" s="50">
        <v>7.2186152540827803E-2</v>
      </c>
      <c r="AS1091" s="34">
        <v>0</v>
      </c>
      <c r="AT1091" s="34">
        <v>1.5748031496062999E-2</v>
      </c>
      <c r="AU1091" s="34">
        <v>0</v>
      </c>
      <c r="AV1091" s="34">
        <v>7.4165636588380702E-3</v>
      </c>
      <c r="AW1091" s="10"/>
      <c r="AX1091" s="8"/>
    </row>
    <row r="1092" spans="1:50">
      <c r="A1092" s="7"/>
      <c r="B1092" s="10"/>
      <c r="C1092" s="45" t="s">
        <v>1100</v>
      </c>
      <c r="D1092" s="23" t="s">
        <v>25</v>
      </c>
      <c r="E1092" s="83" t="s">
        <v>1136</v>
      </c>
      <c r="F1092" s="83" t="s">
        <v>1136</v>
      </c>
      <c r="G1092" s="83" t="s">
        <v>1136</v>
      </c>
      <c r="H1092" s="83" t="s">
        <v>1136</v>
      </c>
      <c r="I1092" s="25">
        <v>0.9</v>
      </c>
      <c r="J1092" s="26">
        <v>1</v>
      </c>
      <c r="K1092" s="26">
        <v>0.97297297297297303</v>
      </c>
      <c r="L1092" s="27">
        <v>1</v>
      </c>
      <c r="M1092" s="26">
        <v>0.98492462311557805</v>
      </c>
      <c r="N1092" s="28">
        <v>0.9</v>
      </c>
      <c r="O1092" s="26">
        <v>0.95122859270290405</v>
      </c>
      <c r="P1092" s="26">
        <v>0.97970553123756499</v>
      </c>
      <c r="Q1092" s="26">
        <v>0.97286565188616803</v>
      </c>
      <c r="R1092" s="26">
        <v>0.95069433608987397</v>
      </c>
      <c r="S1092" s="28">
        <v>0.9</v>
      </c>
      <c r="T1092" s="26">
        <v>0.90878629932985899</v>
      </c>
      <c r="U1092" s="26">
        <v>0.95463589335455601</v>
      </c>
      <c r="V1092" s="26">
        <v>0.955658504301787</v>
      </c>
      <c r="W1092" s="26">
        <v>0.92924013106568903</v>
      </c>
      <c r="X1092" s="28">
        <v>0.92</v>
      </c>
      <c r="Y1092" s="28">
        <v>0.96051779935275095</v>
      </c>
      <c r="Z1092" s="28">
        <v>0.96209510682288102</v>
      </c>
      <c r="AA1092" s="28">
        <v>0.95321637426900596</v>
      </c>
      <c r="AB1092" s="28">
        <v>0.95856247601995104</v>
      </c>
      <c r="AC1092" s="28">
        <v>0.92</v>
      </c>
      <c r="AD1092" s="26">
        <v>0.99498567335243504</v>
      </c>
      <c r="AE1092" s="26">
        <v>0.97711015736766804</v>
      </c>
      <c r="AF1092" s="26">
        <v>0.99233038348082603</v>
      </c>
      <c r="AG1092" s="26">
        <v>0.99256710254645597</v>
      </c>
      <c r="AH1092" s="28">
        <v>0.92</v>
      </c>
      <c r="AI1092" s="26">
        <v>0.97660127629402005</v>
      </c>
      <c r="AJ1092" s="26">
        <v>0.97981836528758803</v>
      </c>
      <c r="AK1092" s="26">
        <v>0.97240835632637002</v>
      </c>
      <c r="AL1092" s="26">
        <v>0.97620778213887704</v>
      </c>
      <c r="AM1092" s="25">
        <v>0.99</v>
      </c>
      <c r="AN1092" s="30">
        <v>1</v>
      </c>
      <c r="AO1092" s="30">
        <v>1</v>
      </c>
      <c r="AP1092" s="30">
        <v>1</v>
      </c>
      <c r="AQ1092" s="30">
        <v>1</v>
      </c>
      <c r="AR1092" s="50">
        <v>7.2186152540827803E-2</v>
      </c>
      <c r="AS1092" s="34">
        <v>0</v>
      </c>
      <c r="AT1092" s="34">
        <v>0</v>
      </c>
      <c r="AU1092" s="34">
        <v>0.1</v>
      </c>
      <c r="AV1092" s="34">
        <v>1.8181818181818198E-2</v>
      </c>
      <c r="AW1092" s="10"/>
      <c r="AX1092" s="8"/>
    </row>
    <row r="1093" spans="1:50">
      <c r="A1093" s="7"/>
      <c r="B1093" s="10"/>
      <c r="C1093" s="45" t="s">
        <v>1100</v>
      </c>
      <c r="D1093" s="23" t="s">
        <v>25</v>
      </c>
      <c r="E1093" s="83" t="s">
        <v>1137</v>
      </c>
      <c r="F1093" s="83" t="s">
        <v>1137</v>
      </c>
      <c r="G1093" s="83" t="s">
        <v>1137</v>
      </c>
      <c r="H1093" s="83" t="s">
        <v>1137</v>
      </c>
      <c r="I1093" s="25">
        <v>0.9</v>
      </c>
      <c r="J1093" s="26">
        <v>0.94594594594594605</v>
      </c>
      <c r="K1093" s="26">
        <v>0.891891891891892</v>
      </c>
      <c r="L1093" s="27">
        <v>0.96969696969696995</v>
      </c>
      <c r="M1093" s="26">
        <v>0.91079812206572797</v>
      </c>
      <c r="N1093" s="28">
        <v>0.9</v>
      </c>
      <c r="O1093" s="26">
        <v>0.96044413601665501</v>
      </c>
      <c r="P1093" s="26">
        <v>0.92391728443230603</v>
      </c>
      <c r="Q1093" s="26">
        <v>0.94880103694102402</v>
      </c>
      <c r="R1093" s="26">
        <v>0.95084175084175104</v>
      </c>
      <c r="S1093" s="28">
        <v>0.9</v>
      </c>
      <c r="T1093" s="26">
        <v>0.86641221374045796</v>
      </c>
      <c r="U1093" s="26">
        <v>0.87943815840811501</v>
      </c>
      <c r="V1093" s="26">
        <v>0.89760207388204805</v>
      </c>
      <c r="W1093" s="26">
        <v>0.87886270108492304</v>
      </c>
      <c r="X1093" s="28">
        <v>0.92</v>
      </c>
      <c r="Y1093" s="28">
        <v>0.92664576802507803</v>
      </c>
      <c r="Z1093" s="28">
        <v>0.93385723641126395</v>
      </c>
      <c r="AA1093" s="28">
        <v>0.93956562795089704</v>
      </c>
      <c r="AB1093" s="28">
        <v>0.93463971226590603</v>
      </c>
      <c r="AC1093" s="28">
        <v>0.92</v>
      </c>
      <c r="AD1093" s="26">
        <v>0.99415692821368995</v>
      </c>
      <c r="AE1093" s="26">
        <v>0.99587020648967595</v>
      </c>
      <c r="AF1093" s="26">
        <v>0.99634888438133895</v>
      </c>
      <c r="AG1093" s="26">
        <v>0.99452354874041604</v>
      </c>
      <c r="AH1093" s="28">
        <v>0.92</v>
      </c>
      <c r="AI1093" s="26">
        <v>0.93634129997766402</v>
      </c>
      <c r="AJ1093" s="26">
        <v>0.95427872860635699</v>
      </c>
      <c r="AK1093" s="26">
        <v>0.955803228285934</v>
      </c>
      <c r="AL1093" s="26">
        <v>0.95361209632256905</v>
      </c>
      <c r="AM1093" s="25">
        <v>0.99</v>
      </c>
      <c r="AN1093" s="30">
        <v>1</v>
      </c>
      <c r="AO1093" s="30">
        <v>1</v>
      </c>
      <c r="AP1093" s="30">
        <v>1</v>
      </c>
      <c r="AQ1093" s="30">
        <v>1</v>
      </c>
      <c r="AR1093" s="50">
        <v>7.2186152540827803E-2</v>
      </c>
      <c r="AS1093" s="34">
        <v>0</v>
      </c>
      <c r="AT1093" s="34">
        <v>0</v>
      </c>
      <c r="AU1093" s="34">
        <v>0</v>
      </c>
      <c r="AV1093" s="34">
        <v>3.03030303030303E-2</v>
      </c>
      <c r="AW1093" s="10"/>
      <c r="AX1093" s="8"/>
    </row>
    <row r="1094" spans="1:50">
      <c r="A1094" s="7"/>
      <c r="B1094" s="10"/>
      <c r="C1094" s="45" t="s">
        <v>1100</v>
      </c>
      <c r="D1094" s="23" t="s">
        <v>25</v>
      </c>
      <c r="E1094" s="83" t="s">
        <v>1138</v>
      </c>
      <c r="F1094" s="83" t="s">
        <v>1138</v>
      </c>
      <c r="G1094" s="83" t="s">
        <v>1138</v>
      </c>
      <c r="H1094" s="83" t="s">
        <v>1138</v>
      </c>
      <c r="I1094" s="25">
        <v>0.9</v>
      </c>
      <c r="J1094" s="26">
        <v>0.96153846153846201</v>
      </c>
      <c r="K1094" s="26">
        <v>0.96153846153846201</v>
      </c>
      <c r="L1094" s="27">
        <v>1</v>
      </c>
      <c r="M1094" s="26">
        <v>0.96621621621621601</v>
      </c>
      <c r="N1094" s="28">
        <v>0.9</v>
      </c>
      <c r="O1094" s="26">
        <v>0.90450599421248401</v>
      </c>
      <c r="P1094" s="26">
        <v>0.95499999999999996</v>
      </c>
      <c r="Q1094" s="26">
        <v>0.94612068965517204</v>
      </c>
      <c r="R1094" s="26">
        <v>0.92480444107999005</v>
      </c>
      <c r="S1094" s="28">
        <v>0.9</v>
      </c>
      <c r="T1094" s="26">
        <v>0.94997933030177795</v>
      </c>
      <c r="U1094" s="26">
        <v>0.94625000000000004</v>
      </c>
      <c r="V1094" s="26">
        <v>0.95043103448275901</v>
      </c>
      <c r="W1094" s="26">
        <v>0.94860795693498201</v>
      </c>
      <c r="X1094" s="28">
        <v>0.92</v>
      </c>
      <c r="Y1094" s="28">
        <v>0.95557228915662695</v>
      </c>
      <c r="Z1094" s="28">
        <v>0.97091194968553496</v>
      </c>
      <c r="AA1094" s="28">
        <v>0.97080291970802901</v>
      </c>
      <c r="AB1094" s="28">
        <v>0.96750585480093698</v>
      </c>
      <c r="AC1094" s="28">
        <v>0.92</v>
      </c>
      <c r="AD1094" s="26">
        <v>0.99871877001921805</v>
      </c>
      <c r="AE1094" s="26">
        <v>0.99796195652173902</v>
      </c>
      <c r="AF1094" s="26">
        <v>0.99742268041237103</v>
      </c>
      <c r="AG1094" s="26">
        <v>0.99783773620381699</v>
      </c>
      <c r="AH1094" s="28">
        <v>0.92</v>
      </c>
      <c r="AI1094" s="26">
        <v>0.97784894582332504</v>
      </c>
      <c r="AJ1094" s="26">
        <v>0.98366013071895397</v>
      </c>
      <c r="AK1094" s="26">
        <v>0.98213526159081199</v>
      </c>
      <c r="AL1094" s="26">
        <v>0.98215907269910796</v>
      </c>
      <c r="AM1094" s="25">
        <v>0.99</v>
      </c>
      <c r="AN1094" s="30">
        <v>1</v>
      </c>
      <c r="AO1094" s="30">
        <v>1</v>
      </c>
      <c r="AP1094" s="30">
        <v>1</v>
      </c>
      <c r="AQ1094" s="30">
        <v>1</v>
      </c>
      <c r="AR1094" s="50">
        <v>7.2186152540827803E-2</v>
      </c>
      <c r="AS1094" s="34">
        <v>0.11111111111111099</v>
      </c>
      <c r="AT1094" s="34">
        <v>0</v>
      </c>
      <c r="AU1094" s="34">
        <v>0</v>
      </c>
      <c r="AV1094" s="34">
        <v>8.1081081081081099E-2</v>
      </c>
      <c r="AW1094" s="10"/>
      <c r="AX1094" s="8"/>
    </row>
    <row r="1095" spans="1:50">
      <c r="A1095" s="7"/>
      <c r="B1095" s="10"/>
      <c r="C1095" s="45" t="s">
        <v>1100</v>
      </c>
      <c r="D1095" s="23" t="s">
        <v>25</v>
      </c>
      <c r="E1095" s="83" t="s">
        <v>1139</v>
      </c>
      <c r="F1095" s="83" t="s">
        <v>1139</v>
      </c>
      <c r="G1095" s="83" t="s">
        <v>1139</v>
      </c>
      <c r="H1095" s="83" t="s">
        <v>1139</v>
      </c>
      <c r="I1095" s="25">
        <v>0.9</v>
      </c>
      <c r="J1095" s="26">
        <v>1</v>
      </c>
      <c r="K1095" s="26">
        <v>0.96</v>
      </c>
      <c r="L1095" s="27">
        <v>1</v>
      </c>
      <c r="M1095" s="26">
        <v>0.99280575539568305</v>
      </c>
      <c r="N1095" s="28">
        <v>0.9</v>
      </c>
      <c r="O1095" s="26">
        <v>0.97585345545378899</v>
      </c>
      <c r="P1095" s="26">
        <v>0.97864160615121698</v>
      </c>
      <c r="Q1095" s="26">
        <v>0.983446200150489</v>
      </c>
      <c r="R1095" s="26">
        <v>0.97736271303150302</v>
      </c>
      <c r="S1095" s="28">
        <v>0.9</v>
      </c>
      <c r="T1095" s="26">
        <v>0.94504579517069098</v>
      </c>
      <c r="U1095" s="26">
        <v>0.948739854762922</v>
      </c>
      <c r="V1095" s="26">
        <v>0.96914973664409299</v>
      </c>
      <c r="W1095" s="26">
        <v>0.954553279394044</v>
      </c>
      <c r="X1095" s="28">
        <v>0.92</v>
      </c>
      <c r="Y1095" s="28">
        <v>0.95833333333333304</v>
      </c>
      <c r="Z1095" s="28">
        <v>0.95400475812846997</v>
      </c>
      <c r="AA1095" s="28">
        <v>0.95685840707964598</v>
      </c>
      <c r="AB1095" s="28">
        <v>0.95790554414784401</v>
      </c>
      <c r="AC1095" s="28">
        <v>0.92</v>
      </c>
      <c r="AD1095" s="26">
        <v>1</v>
      </c>
      <c r="AE1095" s="26">
        <v>0.99913194444444398</v>
      </c>
      <c r="AF1095" s="26">
        <v>0.99944289693593302</v>
      </c>
      <c r="AG1095" s="26">
        <v>0.99934912783129404</v>
      </c>
      <c r="AH1095" s="28">
        <v>0.92</v>
      </c>
      <c r="AI1095" s="26">
        <v>0.96983449012279799</v>
      </c>
      <c r="AJ1095" s="26">
        <v>0.97084952803997804</v>
      </c>
      <c r="AK1095" s="26">
        <v>0.97402597402597402</v>
      </c>
      <c r="AL1095" s="26">
        <v>0.97304041225928894</v>
      </c>
      <c r="AM1095" s="25">
        <v>0.99</v>
      </c>
      <c r="AN1095" s="30">
        <v>1</v>
      </c>
      <c r="AO1095" s="30">
        <v>1</v>
      </c>
      <c r="AP1095" s="30">
        <v>1</v>
      </c>
      <c r="AQ1095" s="30">
        <v>1</v>
      </c>
      <c r="AR1095" s="50">
        <v>7.2186152540827803E-2</v>
      </c>
      <c r="AS1095" s="34">
        <v>0</v>
      </c>
      <c r="AT1095" s="34">
        <v>0</v>
      </c>
      <c r="AU1095" s="34">
        <v>0</v>
      </c>
      <c r="AV1095" s="34">
        <v>1.9230769230769201E-2</v>
      </c>
      <c r="AW1095" s="10"/>
      <c r="AX1095" s="8"/>
    </row>
    <row r="1096" spans="1:50">
      <c r="A1096" s="7"/>
      <c r="B1096" s="10"/>
      <c r="C1096" s="45" t="s">
        <v>1100</v>
      </c>
      <c r="D1096" s="23" t="s">
        <v>25</v>
      </c>
      <c r="E1096" s="83" t="s">
        <v>1140</v>
      </c>
      <c r="F1096" s="83" t="s">
        <v>1140</v>
      </c>
      <c r="G1096" s="83" t="s">
        <v>1140</v>
      </c>
      <c r="H1096" s="83" t="s">
        <v>1140</v>
      </c>
      <c r="I1096" s="25">
        <v>0.9</v>
      </c>
      <c r="J1096" s="26">
        <v>1</v>
      </c>
      <c r="K1096" s="26">
        <v>1</v>
      </c>
      <c r="L1096" s="27">
        <v>1</v>
      </c>
      <c r="M1096" s="26">
        <v>0.995798319327731</v>
      </c>
      <c r="N1096" s="28">
        <v>0.9</v>
      </c>
      <c r="O1096" s="26">
        <v>0.91356321839080501</v>
      </c>
      <c r="P1096" s="26">
        <v>0.95418181818181802</v>
      </c>
      <c r="Q1096" s="26">
        <v>0.94900849858356895</v>
      </c>
      <c r="R1096" s="26">
        <v>0.93742373212281005</v>
      </c>
      <c r="S1096" s="28">
        <v>0.9</v>
      </c>
      <c r="T1096" s="26">
        <v>0.91586206896551703</v>
      </c>
      <c r="U1096" s="26">
        <v>0.96169696969697005</v>
      </c>
      <c r="V1096" s="26">
        <v>0.959530554431404</v>
      </c>
      <c r="W1096" s="26">
        <v>0.94376921950505199</v>
      </c>
      <c r="X1096" s="28">
        <v>0.92</v>
      </c>
      <c r="Y1096" s="28">
        <v>0.935497650576677</v>
      </c>
      <c r="Z1096" s="28">
        <v>0.96643717728055101</v>
      </c>
      <c r="AA1096" s="28">
        <v>0.94085365853658498</v>
      </c>
      <c r="AB1096" s="28">
        <v>0.94621903520208595</v>
      </c>
      <c r="AC1096" s="28">
        <v>0.92</v>
      </c>
      <c r="AD1096" s="26">
        <v>0.99934080421885296</v>
      </c>
      <c r="AE1096" s="26">
        <v>0.99980303328737397</v>
      </c>
      <c r="AF1096" s="26">
        <v>0.99796843256758905</v>
      </c>
      <c r="AG1096" s="26">
        <v>0.99454894650624204</v>
      </c>
      <c r="AH1096" s="28">
        <v>0.92</v>
      </c>
      <c r="AI1096" s="26">
        <v>0.95097892691675401</v>
      </c>
      <c r="AJ1096" s="26">
        <v>0.98015196154442596</v>
      </c>
      <c r="AK1096" s="26">
        <v>0.965701775723668</v>
      </c>
      <c r="AL1096" s="26">
        <v>0.96355200097683102</v>
      </c>
      <c r="AM1096" s="25">
        <v>0.99</v>
      </c>
      <c r="AN1096" s="30">
        <v>1</v>
      </c>
      <c r="AO1096" s="30">
        <v>1</v>
      </c>
      <c r="AP1096" s="30">
        <v>1</v>
      </c>
      <c r="AQ1096" s="30">
        <v>1</v>
      </c>
      <c r="AR1096" s="50">
        <v>7.2186152540827803E-2</v>
      </c>
      <c r="AS1096" s="34">
        <v>0</v>
      </c>
      <c r="AT1096" s="34">
        <v>6.25E-2</v>
      </c>
      <c r="AU1096" s="34">
        <v>0.22222222222222199</v>
      </c>
      <c r="AV1096" s="34">
        <v>6.4814814814814797E-2</v>
      </c>
      <c r="AW1096" s="10"/>
      <c r="AX1096" s="8"/>
    </row>
    <row r="1097" spans="1:50">
      <c r="A1097" s="7"/>
      <c r="B1097" s="10"/>
      <c r="C1097" s="45" t="s">
        <v>1100</v>
      </c>
      <c r="D1097" s="23" t="s">
        <v>25</v>
      </c>
      <c r="E1097" s="83" t="s">
        <v>1141</v>
      </c>
      <c r="F1097" s="83" t="s">
        <v>1141</v>
      </c>
      <c r="G1097" s="83" t="s">
        <v>1141</v>
      </c>
      <c r="H1097" s="83" t="s">
        <v>1141</v>
      </c>
      <c r="I1097" s="25">
        <v>0.9</v>
      </c>
      <c r="J1097" s="26">
        <v>0.952380952380952</v>
      </c>
      <c r="K1097" s="26">
        <v>0.92500000000000004</v>
      </c>
      <c r="L1097" s="27">
        <v>0.87878787878787901</v>
      </c>
      <c r="M1097" s="26">
        <v>0.91402714932126705</v>
      </c>
      <c r="N1097" s="28">
        <v>0.9</v>
      </c>
      <c r="O1097" s="26">
        <v>0.939486893474624</v>
      </c>
      <c r="P1097" s="26">
        <v>0.90118243243243201</v>
      </c>
      <c r="Q1097" s="26">
        <v>0.86070110701107005</v>
      </c>
      <c r="R1097" s="26">
        <v>0.90783874580067203</v>
      </c>
      <c r="S1097" s="28">
        <v>0.9</v>
      </c>
      <c r="T1097" s="26">
        <v>0.93000557724484101</v>
      </c>
      <c r="U1097" s="26">
        <v>0.90287162162162204</v>
      </c>
      <c r="V1097" s="26">
        <v>0.85562730627306305</v>
      </c>
      <c r="W1097" s="26">
        <v>0.905935050391937</v>
      </c>
      <c r="X1097" s="28">
        <v>0.92</v>
      </c>
      <c r="Y1097" s="28">
        <v>0.95942720763723199</v>
      </c>
      <c r="Z1097" s="28">
        <v>0.95591182364729499</v>
      </c>
      <c r="AA1097" s="28">
        <v>0.95738636363636398</v>
      </c>
      <c r="AB1097" s="28">
        <v>0.94925233644859797</v>
      </c>
      <c r="AC1097" s="28">
        <v>0.92</v>
      </c>
      <c r="AD1097" s="26">
        <v>0.98527443105756396</v>
      </c>
      <c r="AE1097" s="26">
        <v>0.97413793103448298</v>
      </c>
      <c r="AF1097" s="26">
        <v>0.96485623003194898</v>
      </c>
      <c r="AG1097" s="26">
        <v>0.97153024911032004</v>
      </c>
      <c r="AH1097" s="28">
        <v>0.92</v>
      </c>
      <c r="AI1097" s="26">
        <v>0.970960929250264</v>
      </c>
      <c r="AJ1097" s="26">
        <v>0.97242249459264596</v>
      </c>
      <c r="AK1097" s="26">
        <v>0.96616331096196895</v>
      </c>
      <c r="AL1097" s="26">
        <v>0.96645893144737804</v>
      </c>
      <c r="AM1097" s="25">
        <v>0.99</v>
      </c>
      <c r="AN1097" s="30">
        <v>1</v>
      </c>
      <c r="AO1097" s="30">
        <v>1</v>
      </c>
      <c r="AP1097" s="30">
        <v>1</v>
      </c>
      <c r="AQ1097" s="30">
        <v>1</v>
      </c>
      <c r="AR1097" s="50">
        <v>7.2186152540827803E-2</v>
      </c>
      <c r="AS1097" s="34">
        <v>0.1875</v>
      </c>
      <c r="AT1097" s="34">
        <v>0</v>
      </c>
      <c r="AU1097" s="34">
        <v>0</v>
      </c>
      <c r="AV1097" s="34">
        <v>6.25E-2</v>
      </c>
      <c r="AW1097" s="10"/>
      <c r="AX1097" s="8"/>
    </row>
    <row r="1098" spans="1:50">
      <c r="A1098" s="7"/>
      <c r="B1098" s="10"/>
      <c r="C1098" s="45" t="s">
        <v>1100</v>
      </c>
      <c r="D1098" s="23" t="s">
        <v>25</v>
      </c>
      <c r="E1098" s="83" t="s">
        <v>1142</v>
      </c>
      <c r="F1098" s="83" t="s">
        <v>1142</v>
      </c>
      <c r="G1098" s="83" t="s">
        <v>1142</v>
      </c>
      <c r="H1098" s="83" t="s">
        <v>1142</v>
      </c>
      <c r="I1098" s="25">
        <v>0.9</v>
      </c>
      <c r="J1098" s="26">
        <v>1</v>
      </c>
      <c r="K1098" s="26">
        <v>1</v>
      </c>
      <c r="L1098" s="27">
        <v>1</v>
      </c>
      <c r="M1098" s="26">
        <v>1</v>
      </c>
      <c r="N1098" s="28">
        <v>0.9</v>
      </c>
      <c r="O1098" s="26">
        <v>0.98836594394500299</v>
      </c>
      <c r="P1098" s="26">
        <v>0.98912421293646202</v>
      </c>
      <c r="Q1098" s="26">
        <v>0.99240265906932601</v>
      </c>
      <c r="R1098" s="26">
        <v>0.98361581920903995</v>
      </c>
      <c r="S1098" s="28">
        <v>0.9</v>
      </c>
      <c r="T1098" s="26">
        <v>0.95240613432046495</v>
      </c>
      <c r="U1098" s="26">
        <v>0.908986834573555</v>
      </c>
      <c r="V1098" s="26">
        <v>0.90313390313390296</v>
      </c>
      <c r="W1098" s="26">
        <v>0.92542372881355905</v>
      </c>
      <c r="X1098" s="28">
        <v>0.92</v>
      </c>
      <c r="Y1098" s="28">
        <v>0.96805421103581801</v>
      </c>
      <c r="Z1098" s="28">
        <v>0.95837563451776697</v>
      </c>
      <c r="AA1098" s="28">
        <v>0.96100278551532003</v>
      </c>
      <c r="AB1098" s="28">
        <v>0.96547756041426902</v>
      </c>
      <c r="AC1098" s="28">
        <v>0.92</v>
      </c>
      <c r="AD1098" s="26">
        <v>0.99385245901639296</v>
      </c>
      <c r="AE1098" s="26">
        <v>0.99391480730223103</v>
      </c>
      <c r="AF1098" s="26">
        <v>0.99951969260326601</v>
      </c>
      <c r="AG1098" s="26">
        <v>0.99617190321415705</v>
      </c>
      <c r="AH1098" s="28">
        <v>0.92</v>
      </c>
      <c r="AI1098" s="26">
        <v>0.98153214774281805</v>
      </c>
      <c r="AJ1098" s="26">
        <v>0.97292352725942199</v>
      </c>
      <c r="AK1098" s="26">
        <v>0.97459062676454</v>
      </c>
      <c r="AL1098" s="26">
        <v>0.977747760557372</v>
      </c>
      <c r="AM1098" s="25">
        <v>0.99</v>
      </c>
      <c r="AN1098" s="30">
        <v>1</v>
      </c>
      <c r="AO1098" s="30">
        <v>1</v>
      </c>
      <c r="AP1098" s="30">
        <v>1</v>
      </c>
      <c r="AQ1098" s="30">
        <v>1</v>
      </c>
      <c r="AR1098" s="50">
        <v>7.2186152540827803E-2</v>
      </c>
      <c r="AS1098" s="34">
        <v>-0.11111111111111099</v>
      </c>
      <c r="AT1098" s="34">
        <v>0</v>
      </c>
      <c r="AU1098" s="34">
        <v>0</v>
      </c>
      <c r="AV1098" s="34">
        <v>0</v>
      </c>
      <c r="AW1098" s="10"/>
      <c r="AX1098" s="8"/>
    </row>
    <row r="1099" spans="1:50">
      <c r="A1099" s="7"/>
      <c r="B1099" s="10"/>
      <c r="C1099" s="45" t="s">
        <v>1100</v>
      </c>
      <c r="D1099" s="23" t="s">
        <v>25</v>
      </c>
      <c r="E1099" s="83" t="s">
        <v>1143</v>
      </c>
      <c r="F1099" s="83" t="s">
        <v>1143</v>
      </c>
      <c r="G1099" s="83" t="s">
        <v>1143</v>
      </c>
      <c r="H1099" s="83" t="s">
        <v>1143</v>
      </c>
      <c r="I1099" s="25">
        <v>0.9</v>
      </c>
      <c r="J1099" s="26">
        <v>0.94594594594594605</v>
      </c>
      <c r="K1099" s="26">
        <v>1</v>
      </c>
      <c r="L1099" s="27">
        <v>0.96875</v>
      </c>
      <c r="M1099" s="26">
        <v>0.95833333333333304</v>
      </c>
      <c r="N1099" s="28">
        <v>0.9</v>
      </c>
      <c r="O1099" s="26">
        <v>0.92037404363842401</v>
      </c>
      <c r="P1099" s="26">
        <v>0.96811933313834497</v>
      </c>
      <c r="Q1099" s="26">
        <v>0.96927223719676503</v>
      </c>
      <c r="R1099" s="26">
        <v>0.962752260614408</v>
      </c>
      <c r="S1099" s="28">
        <v>0.9</v>
      </c>
      <c r="T1099" s="26">
        <v>0.90563899121564195</v>
      </c>
      <c r="U1099" s="26">
        <v>0.90494296577946798</v>
      </c>
      <c r="V1099" s="26">
        <v>0.91752021563342301</v>
      </c>
      <c r="W1099" s="26">
        <v>0.89951494101443197</v>
      </c>
      <c r="X1099" s="28">
        <v>0.92</v>
      </c>
      <c r="Y1099" s="28">
        <v>0.92625064466219698</v>
      </c>
      <c r="Z1099" s="28">
        <v>0.97404063205417601</v>
      </c>
      <c r="AA1099" s="28">
        <v>0.94226327944572796</v>
      </c>
      <c r="AB1099" s="28">
        <v>0.95561061216062804</v>
      </c>
      <c r="AC1099" s="28">
        <v>0.92</v>
      </c>
      <c r="AD1099" s="26">
        <v>0.99918896999189</v>
      </c>
      <c r="AE1099" s="26">
        <v>0.999099099099099</v>
      </c>
      <c r="AF1099" s="26">
        <v>0.995051954477981</v>
      </c>
      <c r="AG1099" s="26">
        <v>0.997627965043695</v>
      </c>
      <c r="AH1099" s="28">
        <v>0.92</v>
      </c>
      <c r="AI1099" s="26">
        <v>0.96378931967812698</v>
      </c>
      <c r="AJ1099" s="26">
        <v>0.98709304565594302</v>
      </c>
      <c r="AK1099" s="26">
        <v>0.97146480659479995</v>
      </c>
      <c r="AL1099" s="26">
        <v>0.97593420753429805</v>
      </c>
      <c r="AM1099" s="25">
        <v>0.99</v>
      </c>
      <c r="AN1099" s="30">
        <v>1</v>
      </c>
      <c r="AO1099" s="30">
        <v>1</v>
      </c>
      <c r="AP1099" s="30">
        <v>1</v>
      </c>
      <c r="AQ1099" s="30">
        <v>1</v>
      </c>
      <c r="AR1099" s="50">
        <v>7.2186152540827803E-2</v>
      </c>
      <c r="AS1099" s="34">
        <v>0</v>
      </c>
      <c r="AT1099" s="34">
        <v>0</v>
      </c>
      <c r="AU1099" s="34">
        <v>0</v>
      </c>
      <c r="AV1099" s="34">
        <v>0</v>
      </c>
      <c r="AW1099" s="10"/>
      <c r="AX1099" s="8"/>
    </row>
    <row r="1100" spans="1:50">
      <c r="A1100" s="7"/>
      <c r="B1100" s="10"/>
      <c r="C1100" s="45" t="s">
        <v>1100</v>
      </c>
      <c r="D1100" s="23" t="s">
        <v>25</v>
      </c>
      <c r="E1100" s="83" t="s">
        <v>1144</v>
      </c>
      <c r="F1100" s="83" t="s">
        <v>1144</v>
      </c>
      <c r="G1100" s="83" t="s">
        <v>1144</v>
      </c>
      <c r="H1100" s="83" t="s">
        <v>1144</v>
      </c>
      <c r="I1100" s="25">
        <v>0.9</v>
      </c>
      <c r="J1100" s="26">
        <v>0.91666666666666696</v>
      </c>
      <c r="K1100" s="26">
        <v>0.939393939393939</v>
      </c>
      <c r="L1100" s="27">
        <v>0.82142857142857095</v>
      </c>
      <c r="M1100" s="26">
        <v>0.91666666666666696</v>
      </c>
      <c r="N1100" s="28">
        <v>0.9</v>
      </c>
      <c r="O1100" s="26">
        <v>0.97055802807257796</v>
      </c>
      <c r="P1100" s="26">
        <v>0.96265409717186401</v>
      </c>
      <c r="Q1100" s="26">
        <v>0.968847352024922</v>
      </c>
      <c r="R1100" s="26">
        <v>0.96701627486437602</v>
      </c>
      <c r="S1100" s="28">
        <v>0.9</v>
      </c>
      <c r="T1100" s="26">
        <v>0.92365628209517303</v>
      </c>
      <c r="U1100" s="26">
        <v>0.89992748368382902</v>
      </c>
      <c r="V1100" s="26">
        <v>0.93395638629283495</v>
      </c>
      <c r="W1100" s="26">
        <v>0.92600361663652797</v>
      </c>
      <c r="X1100" s="28">
        <v>0.92</v>
      </c>
      <c r="Y1100" s="28">
        <v>0.91250770178681495</v>
      </c>
      <c r="Z1100" s="28">
        <v>0.87857596948506</v>
      </c>
      <c r="AA1100" s="28">
        <v>0.927152317880795</v>
      </c>
      <c r="AB1100" s="28">
        <v>0.91537428257418496</v>
      </c>
      <c r="AC1100" s="28">
        <v>0.92</v>
      </c>
      <c r="AD1100" s="26">
        <v>0.99616858237547901</v>
      </c>
      <c r="AE1100" s="26">
        <v>0.99560117302052797</v>
      </c>
      <c r="AF1100" s="26">
        <v>0.94423791821561298</v>
      </c>
      <c r="AG1100" s="26">
        <v>0.98581725180190605</v>
      </c>
      <c r="AH1100" s="28">
        <v>0.92</v>
      </c>
      <c r="AI1100" s="26">
        <v>0.94982394366197198</v>
      </c>
      <c r="AJ1100" s="26">
        <v>0.93835141999538196</v>
      </c>
      <c r="AK1100" s="26">
        <v>0.94815927873779104</v>
      </c>
      <c r="AL1100" s="26">
        <v>0.95148541837012801</v>
      </c>
      <c r="AM1100" s="25">
        <v>0.99</v>
      </c>
      <c r="AN1100" s="30">
        <v>1</v>
      </c>
      <c r="AO1100" s="30">
        <v>1</v>
      </c>
      <c r="AP1100" s="30">
        <v>1</v>
      </c>
      <c r="AQ1100" s="30">
        <v>1</v>
      </c>
      <c r="AR1100" s="50">
        <v>7.2186152540827803E-2</v>
      </c>
      <c r="AS1100" s="34">
        <v>0.15384615384615399</v>
      </c>
      <c r="AT1100" s="34">
        <v>0</v>
      </c>
      <c r="AU1100" s="34">
        <v>0</v>
      </c>
      <c r="AV1100" s="34">
        <v>0.102272727272727</v>
      </c>
      <c r="AW1100" s="10"/>
      <c r="AX1100" s="8"/>
    </row>
    <row r="1101" spans="1:50">
      <c r="A1101" s="7"/>
      <c r="B1101" s="10"/>
      <c r="C1101" s="45" t="s">
        <v>1100</v>
      </c>
      <c r="D1101" s="23" t="s">
        <v>25</v>
      </c>
      <c r="E1101" s="83" t="s">
        <v>1145</v>
      </c>
      <c r="F1101" s="83" t="s">
        <v>1145</v>
      </c>
      <c r="G1101" s="83" t="s">
        <v>1145</v>
      </c>
      <c r="H1101" s="83" t="s">
        <v>1145</v>
      </c>
      <c r="I1101" s="25">
        <v>0.9</v>
      </c>
      <c r="J1101" s="26">
        <v>1</v>
      </c>
      <c r="K1101" s="26">
        <v>0.967741935483871</v>
      </c>
      <c r="L1101" s="27">
        <v>1</v>
      </c>
      <c r="M1101" s="26">
        <v>0.994413407821229</v>
      </c>
      <c r="N1101" s="28">
        <v>0.9</v>
      </c>
      <c r="O1101" s="26">
        <v>0.91456243514354896</v>
      </c>
      <c r="P1101" s="26">
        <v>0.94102373887240398</v>
      </c>
      <c r="Q1101" s="26">
        <v>0.97485493230174103</v>
      </c>
      <c r="R1101" s="26">
        <v>0.95525676086295996</v>
      </c>
      <c r="S1101" s="28">
        <v>0.9</v>
      </c>
      <c r="T1101" s="26">
        <v>0.87789692148045695</v>
      </c>
      <c r="U1101" s="26">
        <v>0.90281899109792296</v>
      </c>
      <c r="V1101" s="26">
        <v>0.939393939393939</v>
      </c>
      <c r="W1101" s="26">
        <v>0.91712245518079605</v>
      </c>
      <c r="X1101" s="28">
        <v>0.92</v>
      </c>
      <c r="Y1101" s="28">
        <v>0.93370508054522905</v>
      </c>
      <c r="Z1101" s="28">
        <v>0.94217473287240705</v>
      </c>
      <c r="AA1101" s="28">
        <v>0.95175023651844803</v>
      </c>
      <c r="AB1101" s="28">
        <v>0.93962500000000004</v>
      </c>
      <c r="AC1101" s="28">
        <v>0.92</v>
      </c>
      <c r="AD1101" s="26">
        <v>0.99740932642487001</v>
      </c>
      <c r="AE1101" s="26">
        <v>0.99588477366255101</v>
      </c>
      <c r="AF1101" s="26">
        <v>0.99910233393177705</v>
      </c>
      <c r="AG1101" s="26">
        <v>0.99551044309974601</v>
      </c>
      <c r="AH1101" s="28">
        <v>0.92</v>
      </c>
      <c r="AI1101" s="26">
        <v>0.95782463928967798</v>
      </c>
      <c r="AJ1101" s="26">
        <v>0.95172574626865702</v>
      </c>
      <c r="AK1101" s="26">
        <v>0.95973926380368102</v>
      </c>
      <c r="AL1101" s="26">
        <v>0.95861091424521605</v>
      </c>
      <c r="AM1101" s="25">
        <v>0.99</v>
      </c>
      <c r="AN1101" s="30">
        <v>1</v>
      </c>
      <c r="AO1101" s="30">
        <v>1</v>
      </c>
      <c r="AP1101" s="30">
        <v>1</v>
      </c>
      <c r="AQ1101" s="30">
        <v>1</v>
      </c>
      <c r="AR1101" s="50">
        <v>7.2186152540827803E-2</v>
      </c>
      <c r="AS1101" s="34">
        <v>5.2631578947368397E-2</v>
      </c>
      <c r="AT1101" s="34">
        <v>0</v>
      </c>
      <c r="AU1101" s="34">
        <v>0</v>
      </c>
      <c r="AV1101" s="34">
        <v>3.2258064516128997E-2</v>
      </c>
      <c r="AW1101" s="10"/>
      <c r="AX1101" s="8"/>
    </row>
    <row r="1102" spans="1:50">
      <c r="A1102" s="7"/>
      <c r="B1102" s="10"/>
      <c r="C1102" s="45" t="s">
        <v>1100</v>
      </c>
      <c r="D1102" s="23" t="s">
        <v>25</v>
      </c>
      <c r="E1102" s="83" t="s">
        <v>1146</v>
      </c>
      <c r="F1102" s="83" t="s">
        <v>1146</v>
      </c>
      <c r="G1102" s="83" t="s">
        <v>1146</v>
      </c>
      <c r="H1102" s="83" t="s">
        <v>1146</v>
      </c>
      <c r="I1102" s="25">
        <v>0.9</v>
      </c>
      <c r="J1102" s="26">
        <v>1</v>
      </c>
      <c r="K1102" s="26">
        <v>0.95652173913043503</v>
      </c>
      <c r="L1102" s="27">
        <v>1</v>
      </c>
      <c r="M1102" s="26">
        <v>0.984615384615385</v>
      </c>
      <c r="N1102" s="28">
        <v>0.9</v>
      </c>
      <c r="O1102" s="26">
        <v>0.96367305751765897</v>
      </c>
      <c r="P1102" s="26">
        <v>0.92704333516182102</v>
      </c>
      <c r="Q1102" s="26">
        <v>0.94190476190476202</v>
      </c>
      <c r="R1102" s="26">
        <v>0.95104666375926705</v>
      </c>
      <c r="S1102" s="28">
        <v>0.9</v>
      </c>
      <c r="T1102" s="26">
        <v>0.95257315842583201</v>
      </c>
      <c r="U1102" s="26">
        <v>0.942951179374657</v>
      </c>
      <c r="V1102" s="26">
        <v>0.95333333333333303</v>
      </c>
      <c r="W1102" s="26">
        <v>0.94624945486262502</v>
      </c>
      <c r="X1102" s="28">
        <v>0.92</v>
      </c>
      <c r="Y1102" s="28">
        <v>0.939793038570085</v>
      </c>
      <c r="Z1102" s="28">
        <v>0.95381715362865205</v>
      </c>
      <c r="AA1102" s="28">
        <v>0.94360385144429204</v>
      </c>
      <c r="AB1102" s="28">
        <v>0.94597004279600605</v>
      </c>
      <c r="AC1102" s="28">
        <v>0.92</v>
      </c>
      <c r="AD1102" s="26">
        <v>0.99690402476780204</v>
      </c>
      <c r="AE1102" s="26">
        <v>0.99695431472081197</v>
      </c>
      <c r="AF1102" s="26">
        <v>1</v>
      </c>
      <c r="AG1102" s="26">
        <v>0.99814997533300398</v>
      </c>
      <c r="AH1102" s="28">
        <v>0.92</v>
      </c>
      <c r="AI1102" s="26">
        <v>0.966174055829228</v>
      </c>
      <c r="AJ1102" s="26">
        <v>0.96844660194174803</v>
      </c>
      <c r="AK1102" s="26">
        <v>0.96229600450196995</v>
      </c>
      <c r="AL1102" s="26">
        <v>0.96522327469553404</v>
      </c>
      <c r="AM1102" s="25">
        <v>0.99</v>
      </c>
      <c r="AN1102" s="30">
        <v>1</v>
      </c>
      <c r="AO1102" s="30">
        <v>1</v>
      </c>
      <c r="AP1102" s="30">
        <v>1</v>
      </c>
      <c r="AQ1102" s="30">
        <v>1</v>
      </c>
      <c r="AR1102" s="50">
        <v>7.2186152540827803E-2</v>
      </c>
      <c r="AS1102" s="34">
        <v>0</v>
      </c>
      <c r="AT1102" s="34">
        <v>0.28571428571428598</v>
      </c>
      <c r="AU1102" s="34">
        <v>0</v>
      </c>
      <c r="AV1102" s="34">
        <v>5.5555555555555601E-2</v>
      </c>
      <c r="AW1102" s="10"/>
      <c r="AX1102" s="8"/>
    </row>
    <row r="1103" spans="1:50">
      <c r="A1103" s="7"/>
      <c r="B1103" s="10"/>
      <c r="C1103" s="45" t="s">
        <v>1100</v>
      </c>
      <c r="D1103" s="23" t="s">
        <v>25</v>
      </c>
      <c r="E1103" s="83" t="s">
        <v>1147</v>
      </c>
      <c r="F1103" s="83" t="s">
        <v>1147</v>
      </c>
      <c r="G1103" s="83" t="s">
        <v>1147</v>
      </c>
      <c r="H1103" s="83" t="s">
        <v>1147</v>
      </c>
      <c r="I1103" s="25">
        <v>0.9</v>
      </c>
      <c r="J1103" s="26">
        <v>0.96296296296296302</v>
      </c>
      <c r="K1103" s="26">
        <v>0.875</v>
      </c>
      <c r="L1103" s="27">
        <v>0.95454545454545503</v>
      </c>
      <c r="M1103" s="26">
        <v>0.93661971830985902</v>
      </c>
      <c r="N1103" s="28">
        <v>0.9</v>
      </c>
      <c r="O1103" s="26">
        <v>0.97985901309164103</v>
      </c>
      <c r="P1103" s="26">
        <v>0.98680636398913502</v>
      </c>
      <c r="Q1103" s="26">
        <v>0.984551396316102</v>
      </c>
      <c r="R1103" s="26">
        <v>0.97870008903499806</v>
      </c>
      <c r="S1103" s="28">
        <v>0.9</v>
      </c>
      <c r="T1103" s="26">
        <v>0.94528365223229305</v>
      </c>
      <c r="U1103" s="26">
        <v>0.94295692665890596</v>
      </c>
      <c r="V1103" s="26">
        <v>0.975044563279857</v>
      </c>
      <c r="W1103" s="26">
        <v>0.93671666324224401</v>
      </c>
      <c r="X1103" s="28">
        <v>0.92</v>
      </c>
      <c r="Y1103" s="28">
        <v>0</v>
      </c>
      <c r="Z1103" s="28">
        <v>0</v>
      </c>
      <c r="AA1103" s="28">
        <v>0</v>
      </c>
      <c r="AB1103" s="28">
        <v>0</v>
      </c>
      <c r="AC1103" s="28">
        <v>0.92</v>
      </c>
      <c r="AD1103" s="26">
        <v>1</v>
      </c>
      <c r="AE1103" s="26">
        <v>1</v>
      </c>
      <c r="AF1103" s="26">
        <v>1</v>
      </c>
      <c r="AG1103" s="26">
        <v>1</v>
      </c>
      <c r="AH1103" s="28">
        <v>0.92</v>
      </c>
      <c r="AI1103" s="26">
        <v>0.97448808324941305</v>
      </c>
      <c r="AJ1103" s="26">
        <v>0.97594101668606903</v>
      </c>
      <c r="AK1103" s="26">
        <v>0.97801544860368395</v>
      </c>
      <c r="AL1103" s="26">
        <v>0.97452229299363102</v>
      </c>
      <c r="AM1103" s="25">
        <v>0.99</v>
      </c>
      <c r="AN1103" s="30">
        <v>1</v>
      </c>
      <c r="AO1103" s="30">
        <v>1</v>
      </c>
      <c r="AP1103" s="30">
        <v>1</v>
      </c>
      <c r="AQ1103" s="30">
        <v>1</v>
      </c>
      <c r="AR1103" s="50">
        <v>7.2186152540827803E-2</v>
      </c>
      <c r="AS1103" s="34">
        <v>0</v>
      </c>
      <c r="AT1103" s="34">
        <v>0</v>
      </c>
      <c r="AU1103" s="34">
        <v>0.2</v>
      </c>
      <c r="AV1103" s="34">
        <v>2.5641025641025599E-2</v>
      </c>
      <c r="AW1103" s="10"/>
      <c r="AX1103" s="8"/>
    </row>
    <row r="1104" spans="1:50">
      <c r="A1104" s="7"/>
      <c r="B1104" s="10"/>
      <c r="C1104" s="45" t="s">
        <v>1100</v>
      </c>
      <c r="D1104" s="23" t="s">
        <v>25</v>
      </c>
      <c r="E1104" s="83" t="s">
        <v>1148</v>
      </c>
      <c r="F1104" s="83" t="s">
        <v>1148</v>
      </c>
      <c r="G1104" s="83" t="s">
        <v>1148</v>
      </c>
      <c r="H1104" s="83" t="s">
        <v>1148</v>
      </c>
      <c r="I1104" s="25">
        <v>0.9</v>
      </c>
      <c r="J1104" s="26">
        <v>1</v>
      </c>
      <c r="K1104" s="26">
        <v>0.95555555555555605</v>
      </c>
      <c r="L1104" s="27">
        <v>1</v>
      </c>
      <c r="M1104" s="26">
        <v>0.95471698113207504</v>
      </c>
      <c r="N1104" s="28">
        <v>0.9</v>
      </c>
      <c r="O1104" s="26">
        <v>0.98592178770949701</v>
      </c>
      <c r="P1104" s="26">
        <v>0.98503873897942795</v>
      </c>
      <c r="Q1104" s="26">
        <v>0.97556719022687599</v>
      </c>
      <c r="R1104" s="26">
        <v>0.98401047267286901</v>
      </c>
      <c r="S1104" s="28">
        <v>0.9</v>
      </c>
      <c r="T1104" s="26">
        <v>0.85273743016759795</v>
      </c>
      <c r="U1104" s="26">
        <v>0.89153085760085504</v>
      </c>
      <c r="V1104" s="26">
        <v>0.93411867364746903</v>
      </c>
      <c r="W1104" s="26">
        <v>0.88938239281873899</v>
      </c>
      <c r="X1104" s="28">
        <v>0.92</v>
      </c>
      <c r="Y1104" s="28">
        <v>0</v>
      </c>
      <c r="Z1104" s="28">
        <v>0</v>
      </c>
      <c r="AA1104" s="28">
        <v>0</v>
      </c>
      <c r="AB1104" s="28">
        <v>0</v>
      </c>
      <c r="AC1104" s="28">
        <v>0.92</v>
      </c>
      <c r="AD1104" s="26">
        <v>0.99662162162162204</v>
      </c>
      <c r="AE1104" s="26">
        <v>0.99736842105263201</v>
      </c>
      <c r="AF1104" s="26">
        <v>0.99825174825174801</v>
      </c>
      <c r="AG1104" s="26">
        <v>0.99785210187174</v>
      </c>
      <c r="AH1104" s="28">
        <v>0.92</v>
      </c>
      <c r="AI1104" s="26">
        <v>0.95910614525139704</v>
      </c>
      <c r="AJ1104" s="26">
        <v>0.965802831952979</v>
      </c>
      <c r="AK1104" s="26">
        <v>0.96029668411867397</v>
      </c>
      <c r="AL1104" s="26">
        <v>0.96652484922156201</v>
      </c>
      <c r="AM1104" s="25">
        <v>0.99</v>
      </c>
      <c r="AN1104" s="30">
        <v>1</v>
      </c>
      <c r="AO1104" s="30">
        <v>1</v>
      </c>
      <c r="AP1104" s="30">
        <v>1</v>
      </c>
      <c r="AQ1104" s="30">
        <v>1</v>
      </c>
      <c r="AR1104" s="50">
        <v>7.2186152540827803E-2</v>
      </c>
      <c r="AS1104" s="34">
        <v>0</v>
      </c>
      <c r="AT1104" s="34">
        <v>0</v>
      </c>
      <c r="AU1104" s="34">
        <v>0</v>
      </c>
      <c r="AV1104" s="34">
        <v>7.1428571428571397E-2</v>
      </c>
      <c r="AW1104" s="10"/>
      <c r="AX1104" s="8"/>
    </row>
    <row r="1105" spans="1:50">
      <c r="A1105" s="7"/>
      <c r="B1105" s="10"/>
      <c r="C1105" s="45" t="s">
        <v>1100</v>
      </c>
      <c r="D1105" s="23" t="s">
        <v>25</v>
      </c>
      <c r="E1105" s="83" t="s">
        <v>1149</v>
      </c>
      <c r="F1105" s="83" t="s">
        <v>1149</v>
      </c>
      <c r="G1105" s="83" t="s">
        <v>1149</v>
      </c>
      <c r="H1105" s="83" t="s">
        <v>1149</v>
      </c>
      <c r="I1105" s="25">
        <v>0.9</v>
      </c>
      <c r="J1105" s="26">
        <v>1</v>
      </c>
      <c r="K1105" s="26">
        <v>0.96491228070175405</v>
      </c>
      <c r="L1105" s="27">
        <v>0.96</v>
      </c>
      <c r="M1105" s="26">
        <v>0.97891566265060204</v>
      </c>
      <c r="N1105" s="28">
        <v>0.9</v>
      </c>
      <c r="O1105" s="26">
        <v>0.97385530502144102</v>
      </c>
      <c r="P1105" s="26">
        <v>0.98421955403087502</v>
      </c>
      <c r="Q1105" s="26">
        <v>0.98169934640522905</v>
      </c>
      <c r="R1105" s="26">
        <v>0.97862505520388599</v>
      </c>
      <c r="S1105" s="28">
        <v>0.9</v>
      </c>
      <c r="T1105" s="26">
        <v>0.93207912574353302</v>
      </c>
      <c r="U1105" s="26">
        <v>0.95488850771869604</v>
      </c>
      <c r="V1105" s="26">
        <v>0.95320261437908504</v>
      </c>
      <c r="W1105" s="26">
        <v>0.95197997939054901</v>
      </c>
      <c r="X1105" s="28">
        <v>0.92</v>
      </c>
      <c r="Y1105" s="28">
        <v>0</v>
      </c>
      <c r="Z1105" s="28">
        <v>0</v>
      </c>
      <c r="AA1105" s="28">
        <v>0</v>
      </c>
      <c r="AB1105" s="28">
        <v>0</v>
      </c>
      <c r="AC1105" s="28">
        <v>0.92</v>
      </c>
      <c r="AD1105" s="26">
        <v>1</v>
      </c>
      <c r="AE1105" s="26">
        <v>1</v>
      </c>
      <c r="AF1105" s="26">
        <v>0.99826689774696697</v>
      </c>
      <c r="AG1105" s="26">
        <v>0.98896025692492995</v>
      </c>
      <c r="AH1105" s="28">
        <v>0.92</v>
      </c>
      <c r="AI1105" s="26">
        <v>0.97108867063217597</v>
      </c>
      <c r="AJ1105" s="26">
        <v>0.97598627787307002</v>
      </c>
      <c r="AK1105" s="26">
        <v>0.976209150326797</v>
      </c>
      <c r="AL1105" s="26">
        <v>0.97650522596790801</v>
      </c>
      <c r="AM1105" s="25">
        <v>0.99</v>
      </c>
      <c r="AN1105" s="30">
        <v>1</v>
      </c>
      <c r="AO1105" s="30">
        <v>1</v>
      </c>
      <c r="AP1105" s="30">
        <v>1</v>
      </c>
      <c r="AQ1105" s="30">
        <v>1</v>
      </c>
      <c r="AR1105" s="50">
        <v>7.2186152540827803E-2</v>
      </c>
      <c r="AS1105" s="34">
        <v>0.05</v>
      </c>
      <c r="AT1105" s="34">
        <v>-7.69230769230769E-2</v>
      </c>
      <c r="AU1105" s="34">
        <v>0</v>
      </c>
      <c r="AV1105" s="34">
        <v>2.5210084033613401E-2</v>
      </c>
      <c r="AW1105" s="10"/>
      <c r="AX1105" s="8"/>
    </row>
    <row r="1106" spans="1:50">
      <c r="A1106" s="7"/>
      <c r="B1106" s="10"/>
      <c r="C1106" s="45" t="s">
        <v>1100</v>
      </c>
      <c r="D1106" s="23" t="s">
        <v>25</v>
      </c>
      <c r="E1106" s="83" t="s">
        <v>1150</v>
      </c>
      <c r="F1106" s="83" t="s">
        <v>1150</v>
      </c>
      <c r="G1106" s="83" t="s">
        <v>1150</v>
      </c>
      <c r="H1106" s="83" t="s">
        <v>1150</v>
      </c>
      <c r="I1106" s="25">
        <v>0.9</v>
      </c>
      <c r="J1106" s="26">
        <v>0.95454545454545503</v>
      </c>
      <c r="K1106" s="26">
        <v>0.93442622950819698</v>
      </c>
      <c r="L1106" s="27">
        <v>0.92063492063492103</v>
      </c>
      <c r="M1106" s="26">
        <v>0.91863517060367395</v>
      </c>
      <c r="N1106" s="28">
        <v>0.9</v>
      </c>
      <c r="O1106" s="26">
        <v>0.94786951771499905</v>
      </c>
      <c r="P1106" s="26">
        <v>0.967980751434388</v>
      </c>
      <c r="Q1106" s="26">
        <v>0.97865072587531998</v>
      </c>
      <c r="R1106" s="26">
        <v>0.96619222877243305</v>
      </c>
      <c r="S1106" s="28">
        <v>0.9</v>
      </c>
      <c r="T1106" s="26">
        <v>0.82066489776806595</v>
      </c>
      <c r="U1106" s="26">
        <v>0.86211364057005402</v>
      </c>
      <c r="V1106" s="26">
        <v>0.92485055508112701</v>
      </c>
      <c r="W1106" s="26">
        <v>0.87675471452301101</v>
      </c>
      <c r="X1106" s="28">
        <v>0.92</v>
      </c>
      <c r="Y1106" s="28">
        <v>0</v>
      </c>
      <c r="Z1106" s="28">
        <v>0</v>
      </c>
      <c r="AA1106" s="28">
        <v>0</v>
      </c>
      <c r="AB1106" s="28">
        <v>0</v>
      </c>
      <c r="AC1106" s="28">
        <v>0.92</v>
      </c>
      <c r="AD1106" s="26">
        <v>1</v>
      </c>
      <c r="AE1106" s="26">
        <v>1</v>
      </c>
      <c r="AF1106" s="26">
        <v>1</v>
      </c>
      <c r="AG1106" s="26">
        <v>1</v>
      </c>
      <c r="AH1106" s="28">
        <v>0.92</v>
      </c>
      <c r="AI1106" s="26">
        <v>0.93694396753550802</v>
      </c>
      <c r="AJ1106" s="26">
        <v>0.94799185637608696</v>
      </c>
      <c r="AK1106" s="26">
        <v>0.966979789353829</v>
      </c>
      <c r="AL1106" s="26">
        <v>0.95391479937467405</v>
      </c>
      <c r="AM1106" s="25">
        <v>0.99</v>
      </c>
      <c r="AN1106" s="30">
        <v>1</v>
      </c>
      <c r="AO1106" s="30">
        <v>1</v>
      </c>
      <c r="AP1106" s="30">
        <v>1</v>
      </c>
      <c r="AQ1106" s="30">
        <v>1</v>
      </c>
      <c r="AR1106" s="50">
        <v>7.2186152540827803E-2</v>
      </c>
      <c r="AS1106" s="34">
        <v>0</v>
      </c>
      <c r="AT1106" s="34">
        <v>0.11111111111111099</v>
      </c>
      <c r="AU1106" s="34">
        <v>9.5238095238095205E-2</v>
      </c>
      <c r="AV1106" s="34">
        <v>7.0707070707070704E-2</v>
      </c>
      <c r="AW1106" s="10"/>
      <c r="AX1106" s="8"/>
    </row>
    <row r="1107" spans="1:50">
      <c r="A1107" s="7"/>
      <c r="B1107" s="10"/>
      <c r="C1107" s="45" t="s">
        <v>1100</v>
      </c>
      <c r="D1107" s="23" t="s">
        <v>25</v>
      </c>
      <c r="E1107" s="83" t="s">
        <v>1151</v>
      </c>
      <c r="F1107" s="83" t="s">
        <v>1151</v>
      </c>
      <c r="G1107" s="83" t="s">
        <v>1151</v>
      </c>
      <c r="H1107" s="83" t="s">
        <v>1151</v>
      </c>
      <c r="I1107" s="25">
        <v>0.9</v>
      </c>
      <c r="J1107" s="26">
        <v>0.82692307692307698</v>
      </c>
      <c r="K1107" s="26">
        <v>0.86274509803921595</v>
      </c>
      <c r="L1107" s="27">
        <v>0.80487804878048796</v>
      </c>
      <c r="M1107" s="26">
        <v>0.83216783216783197</v>
      </c>
      <c r="N1107" s="28">
        <v>0.9</v>
      </c>
      <c r="O1107" s="26">
        <v>0.85563063063063105</v>
      </c>
      <c r="P1107" s="26">
        <v>0.94208389715832197</v>
      </c>
      <c r="Q1107" s="26">
        <v>0.90303030303030296</v>
      </c>
      <c r="R1107" s="26">
        <v>0.90322886539282199</v>
      </c>
      <c r="S1107" s="28">
        <v>0.9</v>
      </c>
      <c r="T1107" s="26">
        <v>0.72747747747747704</v>
      </c>
      <c r="U1107" s="26">
        <v>0.83464140730717196</v>
      </c>
      <c r="V1107" s="26">
        <v>0.88354978354978397</v>
      </c>
      <c r="W1107" s="26">
        <v>0.81039305865060896</v>
      </c>
      <c r="X1107" s="28">
        <v>0.92</v>
      </c>
      <c r="Y1107" s="28">
        <v>0</v>
      </c>
      <c r="Z1107" s="28">
        <v>0</v>
      </c>
      <c r="AA1107" s="28">
        <v>0</v>
      </c>
      <c r="AB1107" s="28">
        <v>0</v>
      </c>
      <c r="AC1107" s="28">
        <v>0.92</v>
      </c>
      <c r="AD1107" s="26">
        <v>0.98823529411764699</v>
      </c>
      <c r="AE1107" s="26">
        <v>0.96376811594202905</v>
      </c>
      <c r="AF1107" s="26">
        <v>1</v>
      </c>
      <c r="AG1107" s="26">
        <v>0.98912058023572103</v>
      </c>
      <c r="AH1107" s="28">
        <v>0.92</v>
      </c>
      <c r="AI1107" s="26">
        <v>0.93626126126126097</v>
      </c>
      <c r="AJ1107" s="26">
        <v>0.95155615696887696</v>
      </c>
      <c r="AK1107" s="26">
        <v>0.95021645021644996</v>
      </c>
      <c r="AL1107" s="26">
        <v>0.95069220557557399</v>
      </c>
      <c r="AM1107" s="25">
        <v>0.99</v>
      </c>
      <c r="AN1107" s="30">
        <v>1</v>
      </c>
      <c r="AO1107" s="30">
        <v>1</v>
      </c>
      <c r="AP1107" s="30">
        <v>1</v>
      </c>
      <c r="AQ1107" s="30">
        <v>1</v>
      </c>
      <c r="AR1107" s="50">
        <v>7.2186152540827803E-2</v>
      </c>
      <c r="AS1107" s="34">
        <v>0</v>
      </c>
      <c r="AT1107" s="34">
        <v>0.33333333333333298</v>
      </c>
      <c r="AU1107" s="34">
        <v>0.25</v>
      </c>
      <c r="AV1107" s="34">
        <v>5.7142857142857099E-2</v>
      </c>
      <c r="AW1107" s="10"/>
      <c r="AX1107" s="8"/>
    </row>
    <row r="1108" spans="1:50">
      <c r="A1108" s="7"/>
      <c r="B1108" s="10"/>
      <c r="C1108" s="45" t="s">
        <v>1100</v>
      </c>
      <c r="D1108" s="23" t="s">
        <v>25</v>
      </c>
      <c r="E1108" s="83" t="s">
        <v>1152</v>
      </c>
      <c r="F1108" s="83" t="s">
        <v>1152</v>
      </c>
      <c r="G1108" s="83" t="s">
        <v>1152</v>
      </c>
      <c r="H1108" s="83" t="s">
        <v>1152</v>
      </c>
      <c r="I1108" s="25">
        <v>0.9</v>
      </c>
      <c r="J1108" s="26">
        <v>0.84210526315789502</v>
      </c>
      <c r="K1108" s="26">
        <v>0.84210526315789502</v>
      </c>
      <c r="L1108" s="27">
        <v>0.76470588235294101</v>
      </c>
      <c r="M1108" s="26">
        <v>0.82499999999999996</v>
      </c>
      <c r="N1108" s="28">
        <v>0.9</v>
      </c>
      <c r="O1108" s="26">
        <v>0.98880956974725098</v>
      </c>
      <c r="P1108" s="26">
        <v>0.96436575526669699</v>
      </c>
      <c r="Q1108" s="26">
        <v>0.95714285714285696</v>
      </c>
      <c r="R1108" s="26">
        <v>0.97105199320772995</v>
      </c>
      <c r="S1108" s="28">
        <v>0.9</v>
      </c>
      <c r="T1108" s="26">
        <v>0.89523442021995003</v>
      </c>
      <c r="U1108" s="26">
        <v>0.90363065889735505</v>
      </c>
      <c r="V1108" s="26">
        <v>0.90769230769230802</v>
      </c>
      <c r="W1108" s="26">
        <v>0.89589229400824799</v>
      </c>
      <c r="X1108" s="28">
        <v>0.92</v>
      </c>
      <c r="Y1108" s="28">
        <v>0</v>
      </c>
      <c r="Z1108" s="28">
        <v>0</v>
      </c>
      <c r="AA1108" s="28">
        <v>0</v>
      </c>
      <c r="AB1108" s="28">
        <v>0</v>
      </c>
      <c r="AC1108" s="28">
        <v>0.92</v>
      </c>
      <c r="AD1108" s="26">
        <v>0.99498327759197303</v>
      </c>
      <c r="AE1108" s="26">
        <v>1</v>
      </c>
      <c r="AF1108" s="26">
        <v>0.99655172413793103</v>
      </c>
      <c r="AG1108" s="26">
        <v>0.99515945330296096</v>
      </c>
      <c r="AH1108" s="28">
        <v>0.92</v>
      </c>
      <c r="AI1108" s="26">
        <v>0.94346903337835197</v>
      </c>
      <c r="AJ1108" s="26">
        <v>0.95136709995517699</v>
      </c>
      <c r="AK1108" s="26">
        <v>0.96886446886446898</v>
      </c>
      <c r="AL1108" s="26">
        <v>0.95576938626991204</v>
      </c>
      <c r="AM1108" s="25">
        <v>0.99</v>
      </c>
      <c r="AN1108" s="30">
        <v>1</v>
      </c>
      <c r="AO1108" s="30">
        <v>1</v>
      </c>
      <c r="AP1108" s="30">
        <v>1</v>
      </c>
      <c r="AQ1108" s="30">
        <v>1</v>
      </c>
      <c r="AR1108" s="50">
        <v>7.2186152540827803E-2</v>
      </c>
      <c r="AS1108" s="34">
        <v>7.69230769230769E-2</v>
      </c>
      <c r="AT1108" s="34">
        <v>0</v>
      </c>
      <c r="AU1108" s="34">
        <v>-0.28571428571428598</v>
      </c>
      <c r="AV1108" s="34">
        <v>3.1746031746031703E-2</v>
      </c>
      <c r="AW1108" s="10"/>
      <c r="AX1108" s="8"/>
    </row>
    <row r="1109" spans="1:50">
      <c r="A1109" s="7"/>
      <c r="B1109" s="10"/>
      <c r="C1109" s="45" t="s">
        <v>1100</v>
      </c>
      <c r="D1109" s="23" t="s">
        <v>25</v>
      </c>
      <c r="E1109" s="83" t="s">
        <v>1153</v>
      </c>
      <c r="F1109" s="83" t="s">
        <v>1153</v>
      </c>
      <c r="G1109" s="83" t="s">
        <v>1153</v>
      </c>
      <c r="H1109" s="83" t="s">
        <v>1153</v>
      </c>
      <c r="I1109" s="25">
        <v>0.9</v>
      </c>
      <c r="J1109" s="26">
        <v>1</v>
      </c>
      <c r="K1109" s="26">
        <v>0.97222222222222199</v>
      </c>
      <c r="L1109" s="27">
        <v>0.96296296296296302</v>
      </c>
      <c r="M1109" s="26">
        <v>0.95098039215686303</v>
      </c>
      <c r="N1109" s="28">
        <v>0.9</v>
      </c>
      <c r="O1109" s="26">
        <v>0.85647159333618095</v>
      </c>
      <c r="P1109" s="26">
        <v>0.947354771784232</v>
      </c>
      <c r="Q1109" s="26">
        <v>0.95254094918101595</v>
      </c>
      <c r="R1109" s="26">
        <v>0.92830311181189995</v>
      </c>
      <c r="S1109" s="28">
        <v>0.9</v>
      </c>
      <c r="T1109" s="26">
        <v>0.70098248611704395</v>
      </c>
      <c r="U1109" s="26">
        <v>0.81120331950207503</v>
      </c>
      <c r="V1109" s="26">
        <v>0.76732465350693002</v>
      </c>
      <c r="W1109" s="26">
        <v>0.77099661457125601</v>
      </c>
      <c r="X1109" s="28">
        <v>0.92</v>
      </c>
      <c r="Y1109" s="28">
        <v>0</v>
      </c>
      <c r="Z1109" s="28">
        <v>0</v>
      </c>
      <c r="AA1109" s="28">
        <v>0</v>
      </c>
      <c r="AB1109" s="28">
        <v>0</v>
      </c>
      <c r="AC1109" s="28">
        <v>0.92</v>
      </c>
      <c r="AD1109" s="26">
        <v>0.99668874172185395</v>
      </c>
      <c r="AE1109" s="26">
        <v>0.98134328358209</v>
      </c>
      <c r="AF1109" s="26">
        <v>0.978494623655914</v>
      </c>
      <c r="AG1109" s="26">
        <v>0.99036144578313301</v>
      </c>
      <c r="AH1109" s="28">
        <v>0.92</v>
      </c>
      <c r="AI1109" s="26">
        <v>0.86629645450662096</v>
      </c>
      <c r="AJ1109" s="26">
        <v>0.924792531120332</v>
      </c>
      <c r="AK1109" s="26">
        <v>0.91138177236455298</v>
      </c>
      <c r="AL1109" s="26">
        <v>0.91703380791170097</v>
      </c>
      <c r="AM1109" s="25">
        <v>0.99</v>
      </c>
      <c r="AN1109" s="30">
        <v>1</v>
      </c>
      <c r="AO1109" s="30">
        <v>0</v>
      </c>
      <c r="AP1109" s="30">
        <v>0</v>
      </c>
      <c r="AQ1109" s="30">
        <v>1</v>
      </c>
      <c r="AR1109" s="50">
        <v>7.2186152540827803E-2</v>
      </c>
      <c r="AS1109" s="34">
        <v>0.230769230769231</v>
      </c>
      <c r="AT1109" s="34">
        <v>0.1</v>
      </c>
      <c r="AU1109" s="34">
        <v>0</v>
      </c>
      <c r="AV1109" s="34">
        <v>7.4074074074074098E-2</v>
      </c>
      <c r="AW1109" s="10"/>
      <c r="AX1109" s="8"/>
    </row>
    <row r="1110" spans="1:50">
      <c r="A1110" s="7"/>
      <c r="B1110" s="10"/>
      <c r="C1110" s="45" t="s">
        <v>1100</v>
      </c>
      <c r="D1110" s="23" t="s">
        <v>25</v>
      </c>
      <c r="E1110" s="83" t="s">
        <v>1154</v>
      </c>
      <c r="F1110" s="83" t="s">
        <v>1154</v>
      </c>
      <c r="G1110" s="83" t="s">
        <v>1154</v>
      </c>
      <c r="H1110" s="83" t="s">
        <v>1154</v>
      </c>
      <c r="I1110" s="25">
        <v>0.9</v>
      </c>
      <c r="J1110" s="26">
        <v>0.97619047619047605</v>
      </c>
      <c r="K1110" s="26">
        <v>1</v>
      </c>
      <c r="L1110" s="27">
        <v>1</v>
      </c>
      <c r="M1110" s="26">
        <v>0.98723404255319103</v>
      </c>
      <c r="N1110" s="28">
        <v>0.9</v>
      </c>
      <c r="O1110" s="26">
        <v>0.94641110893800096</v>
      </c>
      <c r="P1110" s="26">
        <v>0.97265810746552495</v>
      </c>
      <c r="Q1110" s="26">
        <v>0.97675304878048796</v>
      </c>
      <c r="R1110" s="26">
        <v>0.97076746068947894</v>
      </c>
      <c r="S1110" s="28">
        <v>0.9</v>
      </c>
      <c r="T1110" s="26">
        <v>0.90827302953256395</v>
      </c>
      <c r="U1110" s="26">
        <v>0.92867332382310996</v>
      </c>
      <c r="V1110" s="26">
        <v>0.95121951219512202</v>
      </c>
      <c r="W1110" s="26">
        <v>0.93122256786125202</v>
      </c>
      <c r="X1110" s="28">
        <v>0.92</v>
      </c>
      <c r="Y1110" s="28">
        <v>0</v>
      </c>
      <c r="Z1110" s="28">
        <v>0</v>
      </c>
      <c r="AA1110" s="28">
        <v>0</v>
      </c>
      <c r="AB1110" s="28">
        <v>0</v>
      </c>
      <c r="AC1110" s="28">
        <v>0.92</v>
      </c>
      <c r="AD1110" s="26">
        <v>1</v>
      </c>
      <c r="AE1110" s="26">
        <v>0.99726775956284197</v>
      </c>
      <c r="AF1110" s="26">
        <v>1</v>
      </c>
      <c r="AG1110" s="26">
        <v>0.99956312800349501</v>
      </c>
      <c r="AH1110" s="28">
        <v>0.92</v>
      </c>
      <c r="AI1110" s="26">
        <v>0.96323097985527095</v>
      </c>
      <c r="AJ1110" s="26">
        <v>0.96552543984783601</v>
      </c>
      <c r="AK1110" s="26">
        <v>0.96760670731707299</v>
      </c>
      <c r="AL1110" s="26">
        <v>0.96923339157114197</v>
      </c>
      <c r="AM1110" s="25">
        <v>0.99</v>
      </c>
      <c r="AN1110" s="30">
        <v>1</v>
      </c>
      <c r="AO1110" s="30">
        <v>1</v>
      </c>
      <c r="AP1110" s="30">
        <v>1</v>
      </c>
      <c r="AQ1110" s="30">
        <v>1</v>
      </c>
      <c r="AR1110" s="50">
        <v>7.2186152540827803E-2</v>
      </c>
      <c r="AS1110" s="34">
        <v>0</v>
      </c>
      <c r="AT1110" s="34">
        <v>0</v>
      </c>
      <c r="AU1110" s="34">
        <v>0</v>
      </c>
      <c r="AV1110" s="34">
        <v>4.6511627906976702E-2</v>
      </c>
      <c r="AW1110" s="10"/>
      <c r="AX1110" s="8"/>
    </row>
    <row r="1111" spans="1:50">
      <c r="A1111" s="7"/>
      <c r="B1111" s="10"/>
      <c r="C1111" s="45" t="s">
        <v>1100</v>
      </c>
      <c r="D1111" s="23" t="s">
        <v>25</v>
      </c>
      <c r="E1111" s="83" t="s">
        <v>1155</v>
      </c>
      <c r="F1111" s="83" t="s">
        <v>1155</v>
      </c>
      <c r="G1111" s="83" t="s">
        <v>1155</v>
      </c>
      <c r="H1111" s="83" t="s">
        <v>1155</v>
      </c>
      <c r="I1111" s="25">
        <v>0.9</v>
      </c>
      <c r="J1111" s="26">
        <v>1</v>
      </c>
      <c r="K1111" s="26">
        <v>1</v>
      </c>
      <c r="L1111" s="27">
        <v>0.88235294117647101</v>
      </c>
      <c r="M1111" s="26">
        <v>0.94957983193277296</v>
      </c>
      <c r="N1111" s="28">
        <v>0.9</v>
      </c>
      <c r="O1111" s="26">
        <v>0.968822170900693</v>
      </c>
      <c r="P1111" s="26">
        <v>0.91816853385289798</v>
      </c>
      <c r="Q1111" s="26">
        <v>0.95011169024571895</v>
      </c>
      <c r="R1111" s="26">
        <v>0.93855028843742205</v>
      </c>
      <c r="S1111" s="28">
        <v>0.9</v>
      </c>
      <c r="T1111" s="26">
        <v>0.87259430331023902</v>
      </c>
      <c r="U1111" s="26">
        <v>0.887481734047735</v>
      </c>
      <c r="V1111" s="26">
        <v>0.848101265822785</v>
      </c>
      <c r="W1111" s="26">
        <v>0.86046317197558697</v>
      </c>
      <c r="X1111" s="28">
        <v>0.92</v>
      </c>
      <c r="Y1111" s="28">
        <v>0</v>
      </c>
      <c r="Z1111" s="28">
        <v>0</v>
      </c>
      <c r="AA1111" s="28">
        <v>0</v>
      </c>
      <c r="AB1111" s="28">
        <v>0</v>
      </c>
      <c r="AC1111" s="28">
        <v>0.92</v>
      </c>
      <c r="AD1111" s="26">
        <v>1</v>
      </c>
      <c r="AE1111" s="26">
        <v>1</v>
      </c>
      <c r="AF1111" s="26">
        <v>1</v>
      </c>
      <c r="AG1111" s="26">
        <v>1</v>
      </c>
      <c r="AH1111" s="28">
        <v>0.92</v>
      </c>
      <c r="AI1111" s="26">
        <v>0.94341801385681301</v>
      </c>
      <c r="AJ1111" s="26">
        <v>0.92791037506088603</v>
      </c>
      <c r="AK1111" s="26">
        <v>0.92777364110200999</v>
      </c>
      <c r="AL1111" s="26">
        <v>0.93378480060195601</v>
      </c>
      <c r="AM1111" s="25">
        <v>0.99</v>
      </c>
      <c r="AN1111" s="30">
        <v>1</v>
      </c>
      <c r="AO1111" s="30">
        <v>1</v>
      </c>
      <c r="AP1111" s="30">
        <v>1</v>
      </c>
      <c r="AQ1111" s="30">
        <v>1</v>
      </c>
      <c r="AR1111" s="50">
        <v>7.2186152540827803E-2</v>
      </c>
      <c r="AS1111" s="34">
        <v>0</v>
      </c>
      <c r="AT1111" s="34">
        <v>0</v>
      </c>
      <c r="AU1111" s="34">
        <v>9.0909090909090898E-2</v>
      </c>
      <c r="AV1111" s="34">
        <v>0.125</v>
      </c>
      <c r="AW1111" s="10"/>
      <c r="AX1111" s="8"/>
    </row>
    <row r="1112" spans="1:50">
      <c r="A1112" s="7"/>
      <c r="B1112" s="10"/>
      <c r="C1112" s="45" t="s">
        <v>1100</v>
      </c>
      <c r="D1112" s="23" t="s">
        <v>25</v>
      </c>
      <c r="E1112" s="83" t="s">
        <v>1156</v>
      </c>
      <c r="F1112" s="83" t="s">
        <v>1156</v>
      </c>
      <c r="G1112" s="83" t="s">
        <v>1156</v>
      </c>
      <c r="H1112" s="83" t="s">
        <v>1156</v>
      </c>
      <c r="I1112" s="25">
        <v>0.9</v>
      </c>
      <c r="J1112" s="26">
        <v>1</v>
      </c>
      <c r="K1112" s="26">
        <v>1</v>
      </c>
      <c r="L1112" s="27">
        <v>1</v>
      </c>
      <c r="M1112" s="26">
        <v>0.98550724637681197</v>
      </c>
      <c r="N1112" s="28">
        <v>0.9</v>
      </c>
      <c r="O1112" s="26">
        <v>0.98057184750733095</v>
      </c>
      <c r="P1112" s="26">
        <v>0.97521367521367497</v>
      </c>
      <c r="Q1112" s="26">
        <v>0.98365122615803802</v>
      </c>
      <c r="R1112" s="26">
        <v>0.98127312542475298</v>
      </c>
      <c r="S1112" s="28">
        <v>0.9</v>
      </c>
      <c r="T1112" s="26">
        <v>0.93511730205278598</v>
      </c>
      <c r="U1112" s="26">
        <v>0.94273504273504305</v>
      </c>
      <c r="V1112" s="26">
        <v>0.93869209809264298</v>
      </c>
      <c r="W1112" s="26">
        <v>0.93120894057237802</v>
      </c>
      <c r="X1112" s="28">
        <v>0.92</v>
      </c>
      <c r="Y1112" s="28">
        <v>0</v>
      </c>
      <c r="Z1112" s="28">
        <v>0</v>
      </c>
      <c r="AA1112" s="28">
        <v>0</v>
      </c>
      <c r="AB1112" s="28">
        <v>0</v>
      </c>
      <c r="AC1112" s="28">
        <v>0.92</v>
      </c>
      <c r="AD1112" s="26">
        <v>0.99035369774919602</v>
      </c>
      <c r="AE1112" s="26">
        <v>0.977491961414791</v>
      </c>
      <c r="AF1112" s="26">
        <v>0.99724517906336096</v>
      </c>
      <c r="AG1112" s="26">
        <v>0.99199246349505399</v>
      </c>
      <c r="AH1112" s="28">
        <v>0.92</v>
      </c>
      <c r="AI1112" s="26">
        <v>0.97287390029325505</v>
      </c>
      <c r="AJ1112" s="26">
        <v>0.96752136752136797</v>
      </c>
      <c r="AK1112" s="26">
        <v>0.96253405994550401</v>
      </c>
      <c r="AL1112" s="26">
        <v>0.96730348108434605</v>
      </c>
      <c r="AM1112" s="25">
        <v>0.99</v>
      </c>
      <c r="AN1112" s="30">
        <v>1</v>
      </c>
      <c r="AO1112" s="30">
        <v>1</v>
      </c>
      <c r="AP1112" s="30">
        <v>1</v>
      </c>
      <c r="AQ1112" s="30">
        <v>1</v>
      </c>
      <c r="AR1112" s="50">
        <v>7.2186152540827803E-2</v>
      </c>
      <c r="AS1112" s="34">
        <v>0</v>
      </c>
      <c r="AT1112" s="34">
        <v>0</v>
      </c>
      <c r="AU1112" s="34">
        <v>0</v>
      </c>
      <c r="AV1112" s="34">
        <v>0</v>
      </c>
      <c r="AW1112" s="10"/>
      <c r="AX1112" s="8"/>
    </row>
    <row r="1113" spans="1:50">
      <c r="A1113" s="7"/>
      <c r="B1113" s="10"/>
      <c r="C1113" s="45" t="s">
        <v>1100</v>
      </c>
      <c r="D1113" s="23" t="s">
        <v>25</v>
      </c>
      <c r="E1113" s="83" t="s">
        <v>1157</v>
      </c>
      <c r="F1113" s="83" t="s">
        <v>1157</v>
      </c>
      <c r="G1113" s="83" t="s">
        <v>1157</v>
      </c>
      <c r="H1113" s="83" t="s">
        <v>1157</v>
      </c>
      <c r="I1113" s="25">
        <v>0.9</v>
      </c>
      <c r="J1113" s="26">
        <v>0.84563758389261701</v>
      </c>
      <c r="K1113" s="26">
        <v>0.90845070422535201</v>
      </c>
      <c r="L1113" s="27">
        <v>0.80327868852458995</v>
      </c>
      <c r="M1113" s="26">
        <v>0.84065244667503103</v>
      </c>
      <c r="N1113" s="28">
        <v>0.9</v>
      </c>
      <c r="O1113" s="26">
        <v>0.91648851803323905</v>
      </c>
      <c r="P1113" s="26">
        <v>0.92894035321559498</v>
      </c>
      <c r="Q1113" s="26">
        <v>0.914360819037078</v>
      </c>
      <c r="R1113" s="26">
        <v>0.91057947584652099</v>
      </c>
      <c r="S1113" s="28">
        <v>0.9</v>
      </c>
      <c r="T1113" s="26">
        <v>0.74946555409971705</v>
      </c>
      <c r="U1113" s="26">
        <v>0.79540153282239301</v>
      </c>
      <c r="V1113" s="26">
        <v>0.84463198671831796</v>
      </c>
      <c r="W1113" s="26">
        <v>0.76883259421858996</v>
      </c>
      <c r="X1113" s="28">
        <v>0.92</v>
      </c>
      <c r="Y1113" s="28">
        <v>0</v>
      </c>
      <c r="Z1113" s="28">
        <v>0</v>
      </c>
      <c r="AA1113" s="28">
        <v>0</v>
      </c>
      <c r="AB1113" s="28">
        <v>0</v>
      </c>
      <c r="AC1113" s="28">
        <v>0.92</v>
      </c>
      <c r="AD1113" s="26">
        <v>1</v>
      </c>
      <c r="AE1113" s="26">
        <v>0.99836734693877505</v>
      </c>
      <c r="AF1113" s="26">
        <v>1</v>
      </c>
      <c r="AG1113" s="26">
        <v>0.99631865704609002</v>
      </c>
      <c r="AH1113" s="28">
        <v>0.92</v>
      </c>
      <c r="AI1113" s="26">
        <v>0.93385240818576498</v>
      </c>
      <c r="AJ1113" s="26">
        <v>0.951520199916701</v>
      </c>
      <c r="AK1113" s="26">
        <v>0.93580520199225203</v>
      </c>
      <c r="AL1113" s="26">
        <v>0.94437689068153496</v>
      </c>
      <c r="AM1113" s="25">
        <v>0.99</v>
      </c>
      <c r="AN1113" s="30">
        <v>1</v>
      </c>
      <c r="AO1113" s="30">
        <v>1</v>
      </c>
      <c r="AP1113" s="30">
        <v>1</v>
      </c>
      <c r="AQ1113" s="30">
        <v>1</v>
      </c>
      <c r="AR1113" s="50">
        <v>7.2186152540827803E-2</v>
      </c>
      <c r="AS1113" s="34">
        <v>-3.125E-2</v>
      </c>
      <c r="AT1113" s="34">
        <v>9.5238095238095205E-2</v>
      </c>
      <c r="AU1113" s="34">
        <v>0.114285714285714</v>
      </c>
      <c r="AV1113" s="34">
        <v>7.3891625615763595E-2</v>
      </c>
      <c r="AW1113" s="10"/>
      <c r="AX1113" s="8"/>
    </row>
    <row r="1114" spans="1:50">
      <c r="A1114" s="7"/>
      <c r="B1114" s="10"/>
      <c r="C1114" s="45" t="s">
        <v>1100</v>
      </c>
      <c r="D1114" s="23" t="s">
        <v>25</v>
      </c>
      <c r="E1114" s="83" t="s">
        <v>1158</v>
      </c>
      <c r="F1114" s="83" t="s">
        <v>1158</v>
      </c>
      <c r="G1114" s="83" t="s">
        <v>1158</v>
      </c>
      <c r="H1114" s="83" t="s">
        <v>1158</v>
      </c>
      <c r="I1114" s="25">
        <v>0.9</v>
      </c>
      <c r="J1114" s="26">
        <v>0.72727272727272696</v>
      </c>
      <c r="K1114" s="26">
        <v>0.81818181818181801</v>
      </c>
      <c r="L1114" s="27">
        <v>0.69444444444444398</v>
      </c>
      <c r="M1114" s="26">
        <v>0.76131687242798396</v>
      </c>
      <c r="N1114" s="28">
        <v>0.9</v>
      </c>
      <c r="O1114" s="26">
        <v>0.92873051224944303</v>
      </c>
      <c r="P1114" s="26">
        <v>0.96866754617414297</v>
      </c>
      <c r="Q1114" s="26">
        <v>0.89375333689268599</v>
      </c>
      <c r="R1114" s="26">
        <v>0.89923610706163604</v>
      </c>
      <c r="S1114" s="28">
        <v>0.9</v>
      </c>
      <c r="T1114" s="26">
        <v>0.680957683741648</v>
      </c>
      <c r="U1114" s="26">
        <v>0.78232189973614796</v>
      </c>
      <c r="V1114" s="26">
        <v>0.71382808328884095</v>
      </c>
      <c r="W1114" s="26">
        <v>0.72120823371625198</v>
      </c>
      <c r="X1114" s="28">
        <v>0.92</v>
      </c>
      <c r="Y1114" s="28">
        <v>0</v>
      </c>
      <c r="Z1114" s="28">
        <v>0</v>
      </c>
      <c r="AA1114" s="28">
        <v>0</v>
      </c>
      <c r="AB1114" s="28">
        <v>0</v>
      </c>
      <c r="AC1114" s="28">
        <v>0.92</v>
      </c>
      <c r="AD1114" s="26">
        <v>0.990979381443299</v>
      </c>
      <c r="AE1114" s="26">
        <v>0.99880525686977295</v>
      </c>
      <c r="AF1114" s="26">
        <v>0.995588235294118</v>
      </c>
      <c r="AG1114" s="26">
        <v>0.99407016965903505</v>
      </c>
      <c r="AH1114" s="28">
        <v>0.92</v>
      </c>
      <c r="AI1114" s="26">
        <v>0.87305122494432097</v>
      </c>
      <c r="AJ1114" s="26">
        <v>0.92282321899736197</v>
      </c>
      <c r="AK1114" s="26">
        <v>0.82327816337426596</v>
      </c>
      <c r="AL1114" s="26">
        <v>0.87818531692810098</v>
      </c>
      <c r="AM1114" s="25">
        <v>0.99</v>
      </c>
      <c r="AN1114" s="30">
        <v>1</v>
      </c>
      <c r="AO1114" s="30">
        <v>1</v>
      </c>
      <c r="AP1114" s="30">
        <v>1</v>
      </c>
      <c r="AQ1114" s="30">
        <v>1</v>
      </c>
      <c r="AR1114" s="50">
        <v>7.2186152540827803E-2</v>
      </c>
      <c r="AS1114" s="34">
        <v>0.25</v>
      </c>
      <c r="AT1114" s="34">
        <v>0.22222222222222199</v>
      </c>
      <c r="AU1114" s="34">
        <v>0</v>
      </c>
      <c r="AV1114" s="34">
        <v>0.13888888888888901</v>
      </c>
      <c r="AW1114" s="10"/>
      <c r="AX1114" s="8"/>
    </row>
    <row r="1115" spans="1:50">
      <c r="A1115" s="7"/>
      <c r="B1115" s="10"/>
      <c r="C1115" s="45" t="s">
        <v>1100</v>
      </c>
      <c r="D1115" s="23" t="s">
        <v>25</v>
      </c>
      <c r="E1115" s="83" t="s">
        <v>1159</v>
      </c>
      <c r="F1115" s="83" t="s">
        <v>1159</v>
      </c>
      <c r="G1115" s="83" t="s">
        <v>1159</v>
      </c>
      <c r="H1115" s="83" t="s">
        <v>1159</v>
      </c>
      <c r="I1115" s="25">
        <v>0.9</v>
      </c>
      <c r="J1115" s="26">
        <v>1</v>
      </c>
      <c r="K1115" s="26">
        <v>0.97435897435897401</v>
      </c>
      <c r="L1115" s="27">
        <v>0.94736842105263197</v>
      </c>
      <c r="M1115" s="26">
        <v>0.98333333333333295</v>
      </c>
      <c r="N1115" s="28">
        <v>0.9</v>
      </c>
      <c r="O1115" s="26">
        <v>0.93021880544056801</v>
      </c>
      <c r="P1115" s="26">
        <v>0.98805340829234001</v>
      </c>
      <c r="Q1115" s="26">
        <v>0.94992295839753504</v>
      </c>
      <c r="R1115" s="26">
        <v>0.963894100479466</v>
      </c>
      <c r="S1115" s="28">
        <v>0.9</v>
      </c>
      <c r="T1115" s="26">
        <v>0.91701163019909304</v>
      </c>
      <c r="U1115" s="26">
        <v>0.91918482080112396</v>
      </c>
      <c r="V1115" s="26">
        <v>0.927195685670262</v>
      </c>
      <c r="W1115" s="26">
        <v>0.91623931623931598</v>
      </c>
      <c r="X1115" s="28">
        <v>0.92</v>
      </c>
      <c r="Y1115" s="28">
        <v>0</v>
      </c>
      <c r="Z1115" s="28">
        <v>0</v>
      </c>
      <c r="AA1115" s="28">
        <v>0</v>
      </c>
      <c r="AB1115" s="28">
        <v>0</v>
      </c>
      <c r="AC1115" s="28">
        <v>0.92</v>
      </c>
      <c r="AD1115" s="26">
        <v>1</v>
      </c>
      <c r="AE1115" s="26">
        <v>1</v>
      </c>
      <c r="AF1115" s="26">
        <v>1</v>
      </c>
      <c r="AG1115" s="26">
        <v>0.99866607381058203</v>
      </c>
      <c r="AH1115" s="28">
        <v>0.92</v>
      </c>
      <c r="AI1115" s="26">
        <v>0.97222222222222199</v>
      </c>
      <c r="AJ1115" s="26">
        <v>0.97658627955982202</v>
      </c>
      <c r="AK1115" s="26">
        <v>0.97804314329738096</v>
      </c>
      <c r="AL1115" s="26">
        <v>0.98032595556667101</v>
      </c>
      <c r="AM1115" s="25">
        <v>0.99</v>
      </c>
      <c r="AN1115" s="30">
        <v>1</v>
      </c>
      <c r="AO1115" s="30">
        <v>1</v>
      </c>
      <c r="AP1115" s="30">
        <v>1</v>
      </c>
      <c r="AQ1115" s="30">
        <v>1</v>
      </c>
      <c r="AR1115" s="50">
        <v>7.2186152540827803E-2</v>
      </c>
      <c r="AS1115" s="34">
        <v>0</v>
      </c>
      <c r="AT1115" s="34">
        <v>0</v>
      </c>
      <c r="AU1115" s="34">
        <v>0.14285714285714299</v>
      </c>
      <c r="AV1115" s="34">
        <v>4.5454545454545497E-2</v>
      </c>
      <c r="AW1115" s="10"/>
      <c r="AX1115" s="8"/>
    </row>
    <row r="1116" spans="1:50">
      <c r="A1116" s="7"/>
      <c r="B1116" s="10"/>
      <c r="C1116" s="45" t="s">
        <v>1100</v>
      </c>
      <c r="D1116" s="23" t="s">
        <v>25</v>
      </c>
      <c r="E1116" s="83" t="s">
        <v>1160</v>
      </c>
      <c r="F1116" s="83" t="s">
        <v>1160</v>
      </c>
      <c r="G1116" s="83" t="s">
        <v>1160</v>
      </c>
      <c r="H1116" s="83" t="s">
        <v>1160</v>
      </c>
      <c r="I1116" s="25">
        <v>0.9</v>
      </c>
      <c r="J1116" s="26">
        <v>0.796875</v>
      </c>
      <c r="K1116" s="26">
        <v>0.79032258064516103</v>
      </c>
      <c r="L1116" s="27">
        <v>0.77358490566037696</v>
      </c>
      <c r="M1116" s="26">
        <v>0.79714285714285704</v>
      </c>
      <c r="N1116" s="28">
        <v>0.9</v>
      </c>
      <c r="O1116" s="26">
        <v>0.81472822910578602</v>
      </c>
      <c r="P1116" s="26">
        <v>0.92900248491302795</v>
      </c>
      <c r="Q1116" s="26">
        <v>0.89776444929116705</v>
      </c>
      <c r="R1116" s="26">
        <v>0.88881401617250699</v>
      </c>
      <c r="S1116" s="28">
        <v>0.9</v>
      </c>
      <c r="T1116" s="26">
        <v>0.79456458211572201</v>
      </c>
      <c r="U1116" s="26">
        <v>0.87699680511182099</v>
      </c>
      <c r="V1116" s="26">
        <v>0.91057797164667398</v>
      </c>
      <c r="W1116" s="26">
        <v>0.85487625581965199</v>
      </c>
      <c r="X1116" s="28">
        <v>0.92</v>
      </c>
      <c r="Y1116" s="28">
        <v>0</v>
      </c>
      <c r="Z1116" s="28">
        <v>0</v>
      </c>
      <c r="AA1116" s="28">
        <v>0</v>
      </c>
      <c r="AB1116" s="28">
        <v>0</v>
      </c>
      <c r="AC1116" s="28">
        <v>0.92</v>
      </c>
      <c r="AD1116" s="26">
        <v>1</v>
      </c>
      <c r="AE1116" s="26">
        <v>1</v>
      </c>
      <c r="AF1116" s="26">
        <v>1</v>
      </c>
      <c r="AG1116" s="26">
        <v>0.99454545454545495</v>
      </c>
      <c r="AH1116" s="28">
        <v>0.92</v>
      </c>
      <c r="AI1116" s="26">
        <v>0.96230274693161899</v>
      </c>
      <c r="AJ1116" s="26">
        <v>0.96450124245651403</v>
      </c>
      <c r="AK1116" s="26">
        <v>0.96782988004362003</v>
      </c>
      <c r="AL1116" s="26">
        <v>0.96989095809850501</v>
      </c>
      <c r="AM1116" s="25">
        <v>0.99</v>
      </c>
      <c r="AN1116" s="30">
        <v>1</v>
      </c>
      <c r="AO1116" s="30">
        <v>1</v>
      </c>
      <c r="AP1116" s="30">
        <v>1</v>
      </c>
      <c r="AQ1116" s="30">
        <v>1</v>
      </c>
      <c r="AR1116" s="50">
        <v>7.2186152540827803E-2</v>
      </c>
      <c r="AS1116" s="34">
        <v>0</v>
      </c>
      <c r="AT1116" s="34">
        <v>0.25</v>
      </c>
      <c r="AU1116" s="34">
        <v>0.11111111111111099</v>
      </c>
      <c r="AV1116" s="34">
        <v>7.5471698113207503E-2</v>
      </c>
      <c r="AW1116" s="10"/>
      <c r="AX1116" s="8"/>
    </row>
    <row r="1117" spans="1:50">
      <c r="A1117" s="7"/>
      <c r="B1117" s="10"/>
      <c r="C1117" s="45" t="s">
        <v>1100</v>
      </c>
      <c r="D1117" s="23" t="s">
        <v>25</v>
      </c>
      <c r="E1117" s="83" t="s">
        <v>1161</v>
      </c>
      <c r="F1117" s="83" t="s">
        <v>1161</v>
      </c>
      <c r="G1117" s="83" t="s">
        <v>1161</v>
      </c>
      <c r="H1117" s="83" t="s">
        <v>1161</v>
      </c>
      <c r="I1117" s="25">
        <v>0.9</v>
      </c>
      <c r="J1117" s="26">
        <v>1</v>
      </c>
      <c r="K1117" s="26">
        <v>0.97499999999999998</v>
      </c>
      <c r="L1117" s="27">
        <v>0.94444444444444398</v>
      </c>
      <c r="M1117" s="26">
        <v>0.93277310924369705</v>
      </c>
      <c r="N1117" s="28">
        <v>0.9</v>
      </c>
      <c r="O1117" s="26">
        <v>0.95804195804195802</v>
      </c>
      <c r="P1117" s="26">
        <v>0.92588643028525697</v>
      </c>
      <c r="Q1117" s="26">
        <v>0.96107784431137699</v>
      </c>
      <c r="R1117" s="26">
        <v>0.93509212730318303</v>
      </c>
      <c r="S1117" s="28">
        <v>0.9</v>
      </c>
      <c r="T1117" s="26">
        <v>0.72224650349650399</v>
      </c>
      <c r="U1117" s="26">
        <v>0.76726206344974701</v>
      </c>
      <c r="V1117" s="26">
        <v>0.81950384944396903</v>
      </c>
      <c r="W1117" s="26">
        <v>0.76051554066629401</v>
      </c>
      <c r="X1117" s="28">
        <v>0.92</v>
      </c>
      <c r="Y1117" s="28">
        <v>0</v>
      </c>
      <c r="Z1117" s="28">
        <v>0</v>
      </c>
      <c r="AA1117" s="28">
        <v>0</v>
      </c>
      <c r="AB1117" s="28">
        <v>0</v>
      </c>
      <c r="AC1117" s="28">
        <v>0.92</v>
      </c>
      <c r="AD1117" s="26">
        <v>1</v>
      </c>
      <c r="AE1117" s="26">
        <v>1</v>
      </c>
      <c r="AF1117" s="26">
        <v>1</v>
      </c>
      <c r="AG1117" s="26">
        <v>1</v>
      </c>
      <c r="AH1117" s="28">
        <v>0.92</v>
      </c>
      <c r="AI1117" s="26">
        <v>0.90537587412587395</v>
      </c>
      <c r="AJ1117" s="26">
        <v>0.887763263129832</v>
      </c>
      <c r="AK1117" s="26">
        <v>0.88751069289991402</v>
      </c>
      <c r="AL1117" s="26">
        <v>0.89712451144611904</v>
      </c>
      <c r="AM1117" s="25">
        <v>0.99</v>
      </c>
      <c r="AN1117" s="30">
        <v>1</v>
      </c>
      <c r="AO1117" s="30">
        <v>1</v>
      </c>
      <c r="AP1117" s="30">
        <v>1</v>
      </c>
      <c r="AQ1117" s="30">
        <v>1</v>
      </c>
      <c r="AR1117" s="50">
        <v>7.2186152540827803E-2</v>
      </c>
      <c r="AS1117" s="34">
        <v>0</v>
      </c>
      <c r="AT1117" s="34">
        <v>0</v>
      </c>
      <c r="AU1117" s="34">
        <v>0</v>
      </c>
      <c r="AV1117" s="34">
        <v>0.13888888888888901</v>
      </c>
      <c r="AW1117" s="10"/>
      <c r="AX1117" s="8"/>
    </row>
    <row r="1118" spans="1:50">
      <c r="A1118" s="7"/>
      <c r="B1118" s="10"/>
      <c r="C1118" s="45" t="s">
        <v>1100</v>
      </c>
      <c r="D1118" s="23" t="s">
        <v>25</v>
      </c>
      <c r="E1118" s="83" t="s">
        <v>1162</v>
      </c>
      <c r="F1118" s="83" t="s">
        <v>1162</v>
      </c>
      <c r="G1118" s="83" t="s">
        <v>1162</v>
      </c>
      <c r="H1118" s="83" t="s">
        <v>1162</v>
      </c>
      <c r="I1118" s="25">
        <v>0.9</v>
      </c>
      <c r="J1118" s="26">
        <v>0.86842105263157898</v>
      </c>
      <c r="K1118" s="26">
        <v>0.80555555555555602</v>
      </c>
      <c r="L1118" s="27">
        <v>0.78787878787878796</v>
      </c>
      <c r="M1118" s="26">
        <v>0.75980392156862697</v>
      </c>
      <c r="N1118" s="28">
        <v>0.9</v>
      </c>
      <c r="O1118" s="26">
        <v>0.88178733031674195</v>
      </c>
      <c r="P1118" s="26">
        <v>0.96514575411913806</v>
      </c>
      <c r="Q1118" s="26">
        <v>0.91689750692520799</v>
      </c>
      <c r="R1118" s="26">
        <v>0.90467625899280601</v>
      </c>
      <c r="S1118" s="28">
        <v>0.9</v>
      </c>
      <c r="T1118" s="26">
        <v>0.70446832579185503</v>
      </c>
      <c r="U1118" s="26">
        <v>0.71007604562737603</v>
      </c>
      <c r="V1118" s="26">
        <v>0.78614958448753502</v>
      </c>
      <c r="W1118" s="26">
        <v>0.67661870503597099</v>
      </c>
      <c r="X1118" s="28">
        <v>0.92</v>
      </c>
      <c r="Y1118" s="28">
        <v>0</v>
      </c>
      <c r="Z1118" s="28">
        <v>1</v>
      </c>
      <c r="AA1118" s="28">
        <v>0</v>
      </c>
      <c r="AB1118" s="28">
        <v>1</v>
      </c>
      <c r="AC1118" s="28">
        <v>0.92</v>
      </c>
      <c r="AD1118" s="26">
        <v>0.99195710455764097</v>
      </c>
      <c r="AE1118" s="26">
        <v>0.99284436493738804</v>
      </c>
      <c r="AF1118" s="26">
        <v>0.96875</v>
      </c>
      <c r="AG1118" s="26">
        <v>0.99155524278676999</v>
      </c>
      <c r="AH1118" s="28">
        <v>0.92</v>
      </c>
      <c r="AI1118" s="26">
        <v>0.88574660633484203</v>
      </c>
      <c r="AJ1118" s="26">
        <v>0.91384225530566998</v>
      </c>
      <c r="AK1118" s="26">
        <v>0.91412742382271495</v>
      </c>
      <c r="AL1118" s="26">
        <v>0.88298063665247895</v>
      </c>
      <c r="AM1118" s="25">
        <v>0.99</v>
      </c>
      <c r="AN1118" s="30">
        <v>1</v>
      </c>
      <c r="AO1118" s="30">
        <v>1</v>
      </c>
      <c r="AP1118" s="30">
        <v>1</v>
      </c>
      <c r="AQ1118" s="30">
        <v>1</v>
      </c>
      <c r="AR1118" s="50">
        <v>7.2186152540827803E-2</v>
      </c>
      <c r="AS1118" s="34">
        <v>0.2</v>
      </c>
      <c r="AT1118" s="34">
        <v>0.2</v>
      </c>
      <c r="AU1118" s="34">
        <v>0.16666666666666699</v>
      </c>
      <c r="AV1118" s="34">
        <v>0.15384615384615399</v>
      </c>
      <c r="AW1118" s="10"/>
      <c r="AX1118" s="8"/>
    </row>
    <row r="1119" spans="1:50">
      <c r="A1119" s="7"/>
      <c r="B1119" s="10"/>
      <c r="C1119" s="45" t="s">
        <v>1100</v>
      </c>
      <c r="D1119" s="23" t="s">
        <v>25</v>
      </c>
      <c r="E1119" s="83" t="s">
        <v>1163</v>
      </c>
      <c r="F1119" s="83" t="s">
        <v>1163</v>
      </c>
      <c r="G1119" s="83" t="s">
        <v>1163</v>
      </c>
      <c r="H1119" s="83" t="s">
        <v>1163</v>
      </c>
      <c r="I1119" s="25">
        <v>0.9</v>
      </c>
      <c r="J1119" s="26">
        <v>0.95161290322580605</v>
      </c>
      <c r="K1119" s="26">
        <v>0.9</v>
      </c>
      <c r="L1119" s="27">
        <v>0.88888888888888895</v>
      </c>
      <c r="M1119" s="26">
        <v>0.91040462427745705</v>
      </c>
      <c r="N1119" s="28">
        <v>0.9</v>
      </c>
      <c r="O1119" s="26">
        <v>0.899780641623252</v>
      </c>
      <c r="P1119" s="26">
        <v>0.95589892161596701</v>
      </c>
      <c r="Q1119" s="26">
        <v>0.97589424572317296</v>
      </c>
      <c r="R1119" s="26">
        <v>0.93727313974591697</v>
      </c>
      <c r="S1119" s="28">
        <v>0.9</v>
      </c>
      <c r="T1119" s="26">
        <v>0.759117082533589</v>
      </c>
      <c r="U1119" s="26">
        <v>0.83051665861902502</v>
      </c>
      <c r="V1119" s="26">
        <v>0.88569206842923798</v>
      </c>
      <c r="W1119" s="26">
        <v>0.811564201451906</v>
      </c>
      <c r="X1119" s="28">
        <v>0.92</v>
      </c>
      <c r="Y1119" s="28">
        <v>0</v>
      </c>
      <c r="Z1119" s="28">
        <v>0</v>
      </c>
      <c r="AA1119" s="28">
        <v>0</v>
      </c>
      <c r="AB1119" s="28">
        <v>0</v>
      </c>
      <c r="AC1119" s="28">
        <v>0.92</v>
      </c>
      <c r="AD1119" s="26">
        <v>1</v>
      </c>
      <c r="AE1119" s="26">
        <v>1</v>
      </c>
      <c r="AF1119" s="26">
        <v>0.98994974874371899</v>
      </c>
      <c r="AG1119" s="26">
        <v>0.99458422655985601</v>
      </c>
      <c r="AH1119" s="28">
        <v>0.92</v>
      </c>
      <c r="AI1119" s="26">
        <v>0.91952289553057298</v>
      </c>
      <c r="AJ1119" s="26">
        <v>0.96426846933848398</v>
      </c>
      <c r="AK1119" s="26">
        <v>0.94142042509072099</v>
      </c>
      <c r="AL1119" s="26">
        <v>0.94875794010889303</v>
      </c>
      <c r="AM1119" s="25">
        <v>0.99</v>
      </c>
      <c r="AN1119" s="30">
        <v>1</v>
      </c>
      <c r="AO1119" s="30">
        <v>1</v>
      </c>
      <c r="AP1119" s="30">
        <v>1</v>
      </c>
      <c r="AQ1119" s="30">
        <v>1</v>
      </c>
      <c r="AR1119" s="50">
        <v>7.2186152540827803E-2</v>
      </c>
      <c r="AS1119" s="34">
        <v>0</v>
      </c>
      <c r="AT1119" s="34">
        <v>0.42857142857142899</v>
      </c>
      <c r="AU1119" s="34">
        <v>0</v>
      </c>
      <c r="AV1119" s="34">
        <v>7.69230769230769E-2</v>
      </c>
      <c r="AW1119" s="10"/>
      <c r="AX1119" s="8"/>
    </row>
    <row r="1120" spans="1:50">
      <c r="A1120" s="7"/>
      <c r="B1120" s="10"/>
      <c r="C1120" s="45" t="s">
        <v>1100</v>
      </c>
      <c r="D1120" s="23" t="s">
        <v>25</v>
      </c>
      <c r="E1120" s="83" t="s">
        <v>1164</v>
      </c>
      <c r="F1120" s="83" t="s">
        <v>1164</v>
      </c>
      <c r="G1120" s="83" t="s">
        <v>1164</v>
      </c>
      <c r="H1120" s="83" t="s">
        <v>1164</v>
      </c>
      <c r="I1120" s="25">
        <v>0.9</v>
      </c>
      <c r="J1120" s="26">
        <v>0.96250000000000002</v>
      </c>
      <c r="K1120" s="26">
        <v>0.97333333333333305</v>
      </c>
      <c r="L1120" s="27">
        <v>0.88888888888888895</v>
      </c>
      <c r="M1120" s="26">
        <v>0.92626728110599099</v>
      </c>
      <c r="N1120" s="28">
        <v>0.9</v>
      </c>
      <c r="O1120" s="26">
        <v>0.48033932135728502</v>
      </c>
      <c r="P1120" s="26">
        <v>0.83290203327171897</v>
      </c>
      <c r="Q1120" s="26">
        <v>0.95580538864121001</v>
      </c>
      <c r="R1120" s="26">
        <v>0.77122616039223302</v>
      </c>
      <c r="S1120" s="28">
        <v>0.9</v>
      </c>
      <c r="T1120" s="26">
        <v>0.47085828343313402</v>
      </c>
      <c r="U1120" s="26">
        <v>0.60234134319162003</v>
      </c>
      <c r="V1120" s="26">
        <v>0.65574723783679001</v>
      </c>
      <c r="W1120" s="26">
        <v>0.55653469837361502</v>
      </c>
      <c r="X1120" s="28">
        <v>0.92</v>
      </c>
      <c r="Y1120" s="28">
        <v>0</v>
      </c>
      <c r="Z1120" s="28">
        <v>0</v>
      </c>
      <c r="AA1120" s="28">
        <v>0</v>
      </c>
      <c r="AB1120" s="28">
        <v>1</v>
      </c>
      <c r="AC1120" s="28">
        <v>0.92</v>
      </c>
      <c r="AD1120" s="26">
        <v>0.99853013228809395</v>
      </c>
      <c r="AE1120" s="26">
        <v>0.99657853810264396</v>
      </c>
      <c r="AF1120" s="26">
        <v>0.99581908019764398</v>
      </c>
      <c r="AG1120" s="26">
        <v>0.98326753149088197</v>
      </c>
      <c r="AH1120" s="28">
        <v>0.92</v>
      </c>
      <c r="AI1120" s="26">
        <v>0.88672654690618802</v>
      </c>
      <c r="AJ1120" s="26">
        <v>0.91990141712877405</v>
      </c>
      <c r="AK1120" s="26">
        <v>0.92304710215158003</v>
      </c>
      <c r="AL1120" s="26">
        <v>0.91511879049676004</v>
      </c>
      <c r="AM1120" s="25">
        <v>0.99</v>
      </c>
      <c r="AN1120" s="30">
        <v>1</v>
      </c>
      <c r="AO1120" s="30">
        <v>1</v>
      </c>
      <c r="AP1120" s="30">
        <v>1</v>
      </c>
      <c r="AQ1120" s="30">
        <v>1</v>
      </c>
      <c r="AR1120" s="50">
        <v>7.2186152540827803E-2</v>
      </c>
      <c r="AS1120" s="34">
        <v>3.7037037037037E-2</v>
      </c>
      <c r="AT1120" s="34">
        <v>3.8461538461538498E-2</v>
      </c>
      <c r="AU1120" s="34">
        <v>4.7619047619047603E-2</v>
      </c>
      <c r="AV1120" s="34">
        <v>3.8461538461538498E-2</v>
      </c>
      <c r="AW1120" s="10"/>
      <c r="AX1120" s="8"/>
    </row>
    <row r="1121" spans="1:50">
      <c r="A1121" s="7"/>
      <c r="B1121" s="10"/>
      <c r="C1121" s="45" t="s">
        <v>1100</v>
      </c>
      <c r="D1121" s="23" t="s">
        <v>25</v>
      </c>
      <c r="E1121" s="83" t="s">
        <v>1165</v>
      </c>
      <c r="F1121" s="83" t="s">
        <v>1165</v>
      </c>
      <c r="G1121" s="83" t="s">
        <v>1165</v>
      </c>
      <c r="H1121" s="83" t="s">
        <v>1165</v>
      </c>
      <c r="I1121" s="25">
        <v>0.9</v>
      </c>
      <c r="J1121" s="26">
        <v>0</v>
      </c>
      <c r="K1121" s="26">
        <v>0</v>
      </c>
      <c r="L1121" s="27">
        <v>0</v>
      </c>
      <c r="M1121" s="26">
        <v>0</v>
      </c>
      <c r="N1121" s="28">
        <v>0.9</v>
      </c>
      <c r="O1121" s="26">
        <v>0.12819120043454599</v>
      </c>
      <c r="P1121" s="26">
        <v>0.15903975993998501</v>
      </c>
      <c r="Q1121" s="26">
        <v>0.17653061224489799</v>
      </c>
      <c r="R1121" s="26">
        <v>0.14431570494436199</v>
      </c>
      <c r="S1121" s="28">
        <v>0.9</v>
      </c>
      <c r="T1121" s="26">
        <v>1.9011406844106502E-2</v>
      </c>
      <c r="U1121" s="26">
        <v>0.107276819204801</v>
      </c>
      <c r="V1121" s="26">
        <v>2.3469387755102E-2</v>
      </c>
      <c r="W1121" s="26">
        <v>4.4281289434438501E-2</v>
      </c>
      <c r="X1121" s="28">
        <v>0.92</v>
      </c>
      <c r="Y1121" s="28">
        <v>0</v>
      </c>
      <c r="Z1121" s="28">
        <v>0</v>
      </c>
      <c r="AA1121" s="28">
        <v>0</v>
      </c>
      <c r="AB1121" s="28">
        <v>0</v>
      </c>
      <c r="AC1121" s="28">
        <v>0.92</v>
      </c>
      <c r="AD1121" s="26">
        <v>0</v>
      </c>
      <c r="AE1121" s="26">
        <v>0</v>
      </c>
      <c r="AF1121" s="26">
        <v>0</v>
      </c>
      <c r="AG1121" s="26">
        <v>1</v>
      </c>
      <c r="AH1121" s="28">
        <v>0.92</v>
      </c>
      <c r="AI1121" s="26">
        <v>8.3650190114068407E-2</v>
      </c>
      <c r="AJ1121" s="26">
        <v>0.131282820705176</v>
      </c>
      <c r="AK1121" s="26">
        <v>0.155102040816327</v>
      </c>
      <c r="AL1121" s="26">
        <v>0.101066880807617</v>
      </c>
      <c r="AM1121" s="25">
        <v>0.99</v>
      </c>
      <c r="AN1121" s="30">
        <v>0</v>
      </c>
      <c r="AO1121" s="30">
        <v>0</v>
      </c>
      <c r="AP1121" s="30">
        <v>0</v>
      </c>
      <c r="AQ1121" s="30">
        <v>0</v>
      </c>
      <c r="AR1121" s="50">
        <v>7.2186152540827803E-2</v>
      </c>
      <c r="AS1121" s="34">
        <v>0.25</v>
      </c>
      <c r="AT1121" s="34">
        <v>4.3478260869565202E-2</v>
      </c>
      <c r="AU1121" s="34">
        <v>0.16666666666666699</v>
      </c>
      <c r="AV1121" s="34">
        <v>0.170454545454545</v>
      </c>
      <c r="AW1121" s="10"/>
      <c r="AX1121" s="8"/>
    </row>
    <row r="1122" spans="1:50">
      <c r="A1122" s="7"/>
      <c r="B1122" s="10"/>
      <c r="C1122" s="45" t="s">
        <v>1100</v>
      </c>
      <c r="D1122" s="23" t="s">
        <v>25</v>
      </c>
      <c r="E1122" s="83" t="s">
        <v>1166</v>
      </c>
      <c r="F1122" s="83" t="s">
        <v>1166</v>
      </c>
      <c r="G1122" s="83" t="s">
        <v>1166</v>
      </c>
      <c r="H1122" s="83" t="s">
        <v>1166</v>
      </c>
      <c r="I1122" s="25">
        <v>0.9</v>
      </c>
      <c r="J1122" s="26">
        <v>0.95454545454545503</v>
      </c>
      <c r="K1122" s="26">
        <v>0.953125</v>
      </c>
      <c r="L1122" s="27">
        <v>0.94339622641509402</v>
      </c>
      <c r="M1122" s="26">
        <v>0.94214876033057804</v>
      </c>
      <c r="N1122" s="28">
        <v>0.9</v>
      </c>
      <c r="O1122" s="26">
        <v>0.88072487644151598</v>
      </c>
      <c r="P1122" s="26">
        <v>0.88631221719456998</v>
      </c>
      <c r="Q1122" s="26">
        <v>0.82156133828996303</v>
      </c>
      <c r="R1122" s="26">
        <v>0.81355420676704304</v>
      </c>
      <c r="S1122" s="28">
        <v>0.9</v>
      </c>
      <c r="T1122" s="26">
        <v>0.579406919275124</v>
      </c>
      <c r="U1122" s="26">
        <v>0.63178733031674195</v>
      </c>
      <c r="V1122" s="26">
        <v>0.68060718711276302</v>
      </c>
      <c r="W1122" s="26">
        <v>0.610006371349049</v>
      </c>
      <c r="X1122" s="28">
        <v>0.92</v>
      </c>
      <c r="Y1122" s="28">
        <v>0</v>
      </c>
      <c r="Z1122" s="28">
        <v>0</v>
      </c>
      <c r="AA1122" s="28">
        <v>0</v>
      </c>
      <c r="AB1122" s="28">
        <v>0</v>
      </c>
      <c r="AC1122" s="28">
        <v>0.92</v>
      </c>
      <c r="AD1122" s="26">
        <v>1</v>
      </c>
      <c r="AE1122" s="26">
        <v>1</v>
      </c>
      <c r="AF1122" s="26">
        <v>0.996835443037975</v>
      </c>
      <c r="AG1122" s="26">
        <v>0.99937146448774405</v>
      </c>
      <c r="AH1122" s="28">
        <v>0.92</v>
      </c>
      <c r="AI1122" s="26">
        <v>0.915980230642504</v>
      </c>
      <c r="AJ1122" s="26">
        <v>0.91121583411875595</v>
      </c>
      <c r="AK1122" s="26">
        <v>0.82775712515489497</v>
      </c>
      <c r="AL1122" s="26">
        <v>0.89132184293474603</v>
      </c>
      <c r="AM1122" s="25">
        <v>0.99</v>
      </c>
      <c r="AN1122" s="30">
        <v>1</v>
      </c>
      <c r="AO1122" s="30">
        <v>1</v>
      </c>
      <c r="AP1122" s="30">
        <v>1</v>
      </c>
      <c r="AQ1122" s="30">
        <v>1</v>
      </c>
      <c r="AR1122" s="50">
        <v>7.2186152540827803E-2</v>
      </c>
      <c r="AS1122" s="34">
        <v>5.8823529411764698E-2</v>
      </c>
      <c r="AT1122" s="34">
        <v>0.33333333333333298</v>
      </c>
      <c r="AU1122" s="34">
        <v>9.0909090909090898E-2</v>
      </c>
      <c r="AV1122" s="34">
        <v>0.107692307692308</v>
      </c>
      <c r="AW1122" s="10"/>
      <c r="AX1122" s="8"/>
    </row>
    <row r="1123" spans="1:50">
      <c r="A1123" s="7"/>
      <c r="B1123" s="10"/>
      <c r="C1123" s="45" t="s">
        <v>1100</v>
      </c>
      <c r="D1123" s="23" t="s">
        <v>25</v>
      </c>
      <c r="E1123" s="83" t="s">
        <v>1167</v>
      </c>
      <c r="F1123" s="83" t="s">
        <v>1167</v>
      </c>
      <c r="G1123" s="83" t="s">
        <v>1167</v>
      </c>
      <c r="H1123" s="83" t="s">
        <v>1167</v>
      </c>
      <c r="I1123" s="25">
        <v>0.9</v>
      </c>
      <c r="J1123" s="26">
        <v>0.92307692307692302</v>
      </c>
      <c r="K1123" s="26">
        <v>0.890625</v>
      </c>
      <c r="L1123" s="27">
        <v>0.875</v>
      </c>
      <c r="M1123" s="26">
        <v>0.89600000000000002</v>
      </c>
      <c r="N1123" s="28">
        <v>0.9</v>
      </c>
      <c r="O1123" s="26">
        <v>0.96977503005323695</v>
      </c>
      <c r="P1123" s="26">
        <v>0.95293644408688705</v>
      </c>
      <c r="Q1123" s="26">
        <v>0.98988877654196195</v>
      </c>
      <c r="R1123" s="26">
        <v>0.95737306606638795</v>
      </c>
      <c r="S1123" s="28">
        <v>0.9</v>
      </c>
      <c r="T1123" s="26">
        <v>0.63094624763867402</v>
      </c>
      <c r="U1123" s="26">
        <v>0.68664521319388605</v>
      </c>
      <c r="V1123" s="26">
        <v>0.73508594539939298</v>
      </c>
      <c r="W1123" s="26">
        <v>0.701825847715011</v>
      </c>
      <c r="X1123" s="28">
        <v>0.92</v>
      </c>
      <c r="Y1123" s="28">
        <v>0</v>
      </c>
      <c r="Z1123" s="28">
        <v>0</v>
      </c>
      <c r="AA1123" s="28">
        <v>0</v>
      </c>
      <c r="AB1123" s="28">
        <v>0</v>
      </c>
      <c r="AC1123" s="28">
        <v>0.92</v>
      </c>
      <c r="AD1123" s="26">
        <v>1</v>
      </c>
      <c r="AE1123" s="26">
        <v>1</v>
      </c>
      <c r="AF1123" s="26">
        <v>1</v>
      </c>
      <c r="AG1123" s="26">
        <v>1</v>
      </c>
      <c r="AH1123" s="28">
        <v>0.92</v>
      </c>
      <c r="AI1123" s="26">
        <v>0.94012695144964797</v>
      </c>
      <c r="AJ1123" s="26">
        <v>0.92377312952534196</v>
      </c>
      <c r="AK1123" s="26">
        <v>0.86518368722615402</v>
      </c>
      <c r="AL1123" s="26">
        <v>0.92451684349658803</v>
      </c>
      <c r="AM1123" s="25">
        <v>0.99</v>
      </c>
      <c r="AN1123" s="30">
        <v>1</v>
      </c>
      <c r="AO1123" s="30">
        <v>1</v>
      </c>
      <c r="AP1123" s="30">
        <v>1</v>
      </c>
      <c r="AQ1123" s="30">
        <v>1</v>
      </c>
      <c r="AR1123" s="50">
        <v>7.2186152540827803E-2</v>
      </c>
      <c r="AS1123" s="34">
        <v>-0.1</v>
      </c>
      <c r="AT1123" s="34">
        <v>0.1</v>
      </c>
      <c r="AU1123" s="34">
        <v>7.1428571428571397E-2</v>
      </c>
      <c r="AV1123" s="34">
        <v>9.0909090909090898E-2</v>
      </c>
      <c r="AW1123" s="10"/>
      <c r="AX1123" s="8"/>
    </row>
    <row r="1124" spans="1:50">
      <c r="A1124" s="7"/>
      <c r="B1124" s="10"/>
      <c r="C1124" s="45" t="s">
        <v>1100</v>
      </c>
      <c r="D1124" s="23" t="s">
        <v>25</v>
      </c>
      <c r="E1124" s="83" t="s">
        <v>1168</v>
      </c>
      <c r="F1124" s="83" t="s">
        <v>1168</v>
      </c>
      <c r="G1124" s="83" t="s">
        <v>1168</v>
      </c>
      <c r="H1124" s="83" t="s">
        <v>1168</v>
      </c>
      <c r="I1124" s="25">
        <v>0.9</v>
      </c>
      <c r="J1124" s="26">
        <v>0.875</v>
      </c>
      <c r="K1124" s="26">
        <v>0.95744680851063801</v>
      </c>
      <c r="L1124" s="27">
        <v>0.90909090909090895</v>
      </c>
      <c r="M1124" s="26">
        <v>0.93115942028985499</v>
      </c>
      <c r="N1124" s="28">
        <v>0.9</v>
      </c>
      <c r="O1124" s="26">
        <v>0.96578835529111795</v>
      </c>
      <c r="P1124" s="26">
        <v>0.98369122044033697</v>
      </c>
      <c r="Q1124" s="26">
        <v>0.98519407763105205</v>
      </c>
      <c r="R1124" s="26">
        <v>0.95224119530416196</v>
      </c>
      <c r="S1124" s="28">
        <v>0.9</v>
      </c>
      <c r="T1124" s="26">
        <v>0.72651933701657501</v>
      </c>
      <c r="U1124" s="26">
        <v>0.78282141886382195</v>
      </c>
      <c r="V1124" s="26">
        <v>0.79831932773109204</v>
      </c>
      <c r="W1124" s="26">
        <v>0.75880469583777999</v>
      </c>
      <c r="X1124" s="28">
        <v>0.92</v>
      </c>
      <c r="Y1124" s="28">
        <v>0</v>
      </c>
      <c r="Z1124" s="28">
        <v>1</v>
      </c>
      <c r="AA1124" s="28">
        <v>0</v>
      </c>
      <c r="AB1124" s="28">
        <v>1</v>
      </c>
      <c r="AC1124" s="28">
        <v>0.92</v>
      </c>
      <c r="AD1124" s="26">
        <v>1</v>
      </c>
      <c r="AE1124" s="26">
        <v>1</v>
      </c>
      <c r="AF1124" s="26">
        <v>1</v>
      </c>
      <c r="AG1124" s="26">
        <v>1</v>
      </c>
      <c r="AH1124" s="28">
        <v>0.92</v>
      </c>
      <c r="AI1124" s="26">
        <v>0.92116447088822795</v>
      </c>
      <c r="AJ1124" s="26">
        <v>0.92173913043478295</v>
      </c>
      <c r="AK1124" s="26">
        <v>0.92236894757903198</v>
      </c>
      <c r="AL1124" s="26">
        <v>0.92903197118591296</v>
      </c>
      <c r="AM1124" s="25">
        <v>0.99</v>
      </c>
      <c r="AN1124" s="30">
        <v>1</v>
      </c>
      <c r="AO1124" s="30">
        <v>1</v>
      </c>
      <c r="AP1124" s="30">
        <v>1</v>
      </c>
      <c r="AQ1124" s="30">
        <v>1</v>
      </c>
      <c r="AR1124" s="50">
        <v>7.2186152540827803E-2</v>
      </c>
      <c r="AS1124" s="34">
        <v>0</v>
      </c>
      <c r="AT1124" s="34">
        <v>0</v>
      </c>
      <c r="AU1124" s="34">
        <v>0</v>
      </c>
      <c r="AV1124" s="34">
        <v>0</v>
      </c>
      <c r="AW1124" s="10"/>
      <c r="AX1124" s="8"/>
    </row>
    <row r="1125" spans="1:50">
      <c r="A1125" s="7"/>
      <c r="B1125" s="10"/>
      <c r="C1125" s="45" t="s">
        <v>1100</v>
      </c>
      <c r="D1125" s="23" t="s">
        <v>25</v>
      </c>
      <c r="E1125" s="83" t="s">
        <v>1169</v>
      </c>
      <c r="F1125" s="83" t="s">
        <v>1169</v>
      </c>
      <c r="G1125" s="83" t="s">
        <v>1169</v>
      </c>
      <c r="H1125" s="83" t="s">
        <v>1169</v>
      </c>
      <c r="I1125" s="25">
        <v>0.9</v>
      </c>
      <c r="J1125" s="26">
        <v>0.95348837209302295</v>
      </c>
      <c r="K1125" s="26">
        <v>0.93023255813953498</v>
      </c>
      <c r="L1125" s="27">
        <v>0.9</v>
      </c>
      <c r="M1125" s="26">
        <v>0.88663967611336003</v>
      </c>
      <c r="N1125" s="28">
        <v>0.9</v>
      </c>
      <c r="O1125" s="26">
        <v>0.819361817198486</v>
      </c>
      <c r="P1125" s="26">
        <v>0.845954132410212</v>
      </c>
      <c r="Q1125" s="26">
        <v>0.90021691973969598</v>
      </c>
      <c r="R1125" s="26">
        <v>0.839287125582866</v>
      </c>
      <c r="S1125" s="28">
        <v>0.9</v>
      </c>
      <c r="T1125" s="26">
        <v>0.58752478817378795</v>
      </c>
      <c r="U1125" s="26">
        <v>0.61185633924707905</v>
      </c>
      <c r="V1125" s="26">
        <v>0.61135213304410696</v>
      </c>
      <c r="W1125" s="26">
        <v>0.60621986880581702</v>
      </c>
      <c r="X1125" s="28">
        <v>0.92</v>
      </c>
      <c r="Y1125" s="28">
        <v>0</v>
      </c>
      <c r="Z1125" s="28">
        <v>0</v>
      </c>
      <c r="AA1125" s="28">
        <v>0</v>
      </c>
      <c r="AB1125" s="28">
        <v>0</v>
      </c>
      <c r="AC1125" s="28">
        <v>0.92</v>
      </c>
      <c r="AD1125" s="26">
        <v>1</v>
      </c>
      <c r="AE1125" s="26">
        <v>1</v>
      </c>
      <c r="AF1125" s="26">
        <v>1</v>
      </c>
      <c r="AG1125" s="26">
        <v>0.99725274725274704</v>
      </c>
      <c r="AH1125" s="28">
        <v>0.92</v>
      </c>
      <c r="AI1125" s="26">
        <v>0.86334955831981297</v>
      </c>
      <c r="AJ1125" s="26">
        <v>0.84314149718736497</v>
      </c>
      <c r="AK1125" s="26">
        <v>0.80441070137382498</v>
      </c>
      <c r="AL1125" s="26">
        <v>0.83719276061013204</v>
      </c>
      <c r="AM1125" s="25">
        <v>0.99</v>
      </c>
      <c r="AN1125" s="30">
        <v>1</v>
      </c>
      <c r="AO1125" s="30">
        <v>1</v>
      </c>
      <c r="AP1125" s="30">
        <v>1</v>
      </c>
      <c r="AQ1125" s="30">
        <v>1</v>
      </c>
      <c r="AR1125" s="50">
        <v>7.2186152540827803E-2</v>
      </c>
      <c r="AS1125" s="34">
        <v>0.4</v>
      </c>
      <c r="AT1125" s="34">
        <v>0.27272727272727298</v>
      </c>
      <c r="AU1125" s="34">
        <v>0</v>
      </c>
      <c r="AV1125" s="34">
        <v>0.16666666666666699</v>
      </c>
      <c r="AW1125" s="10"/>
      <c r="AX1125" s="8"/>
    </row>
    <row r="1126" spans="1:50">
      <c r="A1126" s="7"/>
      <c r="B1126" s="10"/>
      <c r="C1126" s="45" t="s">
        <v>1100</v>
      </c>
      <c r="D1126" s="23" t="s">
        <v>25</v>
      </c>
      <c r="E1126" s="83" t="s">
        <v>1170</v>
      </c>
      <c r="F1126" s="83" t="s">
        <v>1170</v>
      </c>
      <c r="G1126" s="83" t="s">
        <v>1170</v>
      </c>
      <c r="H1126" s="83" t="s">
        <v>1170</v>
      </c>
      <c r="I1126" s="25">
        <v>0.9</v>
      </c>
      <c r="J1126" s="26">
        <v>0.98148148148148195</v>
      </c>
      <c r="K1126" s="26">
        <v>0.96153846153846201</v>
      </c>
      <c r="L1126" s="27">
        <v>1</v>
      </c>
      <c r="M1126" s="26">
        <v>0.98327759197324405</v>
      </c>
      <c r="N1126" s="28">
        <v>0.9</v>
      </c>
      <c r="O1126" s="26">
        <v>0.94137046537193103</v>
      </c>
      <c r="P1126" s="26">
        <v>0.95945945945945899</v>
      </c>
      <c r="Q1126" s="26">
        <v>0.97007481296758102</v>
      </c>
      <c r="R1126" s="26">
        <v>0.94331477905259598</v>
      </c>
      <c r="S1126" s="28">
        <v>0.9</v>
      </c>
      <c r="T1126" s="26">
        <v>0.64657383657017198</v>
      </c>
      <c r="U1126" s="26">
        <v>0.70379250217959899</v>
      </c>
      <c r="V1126" s="26">
        <v>0.83006768792304997</v>
      </c>
      <c r="W1126" s="26">
        <v>0.71036389109773201</v>
      </c>
      <c r="X1126" s="28">
        <v>0.92</v>
      </c>
      <c r="Y1126" s="28">
        <v>0</v>
      </c>
      <c r="Z1126" s="28">
        <v>0</v>
      </c>
      <c r="AA1126" s="28">
        <v>0</v>
      </c>
      <c r="AB1126" s="28">
        <v>0</v>
      </c>
      <c r="AC1126" s="28">
        <v>0.92</v>
      </c>
      <c r="AD1126" s="26">
        <v>0.99736842105263201</v>
      </c>
      <c r="AE1126" s="26">
        <v>0.99509803921568596</v>
      </c>
      <c r="AF1126" s="26">
        <v>0.98846153846153895</v>
      </c>
      <c r="AG1126" s="26">
        <v>0.99531737773152995</v>
      </c>
      <c r="AH1126" s="28">
        <v>0.92</v>
      </c>
      <c r="AI1126" s="26">
        <v>0.96336325334310302</v>
      </c>
      <c r="AJ1126" s="26">
        <v>0.93244715624318997</v>
      </c>
      <c r="AK1126" s="26">
        <v>0.92768079800498704</v>
      </c>
      <c r="AL1126" s="26">
        <v>0.95490515315588198</v>
      </c>
      <c r="AM1126" s="25">
        <v>0.99</v>
      </c>
      <c r="AN1126" s="30">
        <v>1</v>
      </c>
      <c r="AO1126" s="30">
        <v>1</v>
      </c>
      <c r="AP1126" s="30">
        <v>1</v>
      </c>
      <c r="AQ1126" s="30">
        <v>1</v>
      </c>
      <c r="AR1126" s="50">
        <v>7.2186152540827803E-2</v>
      </c>
      <c r="AS1126" s="34">
        <v>0</v>
      </c>
      <c r="AT1126" s="34">
        <v>0.14285714285714299</v>
      </c>
      <c r="AU1126" s="34">
        <v>0.2</v>
      </c>
      <c r="AV1126" s="34">
        <v>0.133333333333333</v>
      </c>
      <c r="AW1126" s="10"/>
      <c r="AX1126" s="8"/>
    </row>
    <row r="1127" spans="1:50">
      <c r="A1127" s="7"/>
      <c r="B1127" s="10"/>
      <c r="C1127" s="45" t="s">
        <v>1100</v>
      </c>
      <c r="D1127" s="23" t="s">
        <v>25</v>
      </c>
      <c r="E1127" s="83" t="s">
        <v>1171</v>
      </c>
      <c r="F1127" s="83" t="s">
        <v>1171</v>
      </c>
      <c r="G1127" s="83" t="s">
        <v>1171</v>
      </c>
      <c r="H1127" s="83" t="s">
        <v>1171</v>
      </c>
      <c r="I1127" s="25">
        <v>0.9</v>
      </c>
      <c r="J1127" s="26">
        <v>1</v>
      </c>
      <c r="K1127" s="26">
        <v>1</v>
      </c>
      <c r="L1127" s="27">
        <v>0.94444444444444398</v>
      </c>
      <c r="M1127" s="26">
        <v>0.98728813559322004</v>
      </c>
      <c r="N1127" s="28">
        <v>0.9</v>
      </c>
      <c r="O1127" s="26">
        <v>0.98564593301435399</v>
      </c>
      <c r="P1127" s="26">
        <v>0.98805223673242604</v>
      </c>
      <c r="Q1127" s="26">
        <v>0.98850574712643702</v>
      </c>
      <c r="R1127" s="26">
        <v>0.97894491129785199</v>
      </c>
      <c r="S1127" s="28">
        <v>0.9</v>
      </c>
      <c r="T1127" s="26">
        <v>0.82797903850535404</v>
      </c>
      <c r="U1127" s="26">
        <v>0.88691303139761002</v>
      </c>
      <c r="V1127" s="26">
        <v>0.92592592592592604</v>
      </c>
      <c r="W1127" s="26">
        <v>0.845284780578898</v>
      </c>
      <c r="X1127" s="28">
        <v>0.92</v>
      </c>
      <c r="Y1127" s="28">
        <v>0</v>
      </c>
      <c r="Z1127" s="28">
        <v>0</v>
      </c>
      <c r="AA1127" s="28">
        <v>0</v>
      </c>
      <c r="AB1127" s="28">
        <v>0</v>
      </c>
      <c r="AC1127" s="28">
        <v>0.92</v>
      </c>
      <c r="AD1127" s="26">
        <v>1</v>
      </c>
      <c r="AE1127" s="26">
        <v>1</v>
      </c>
      <c r="AF1127" s="26">
        <v>0.99047619047619095</v>
      </c>
      <c r="AG1127" s="26">
        <v>0.99843260188087801</v>
      </c>
      <c r="AH1127" s="28">
        <v>0.92</v>
      </c>
      <c r="AI1127" s="26">
        <v>0.95625427204374602</v>
      </c>
      <c r="AJ1127" s="26">
        <v>0.97054737427063098</v>
      </c>
      <c r="AK1127" s="26">
        <v>0.95104299702000805</v>
      </c>
      <c r="AL1127" s="26">
        <v>0.957843137254902</v>
      </c>
      <c r="AM1127" s="25">
        <v>0.99</v>
      </c>
      <c r="AN1127" s="30">
        <v>1</v>
      </c>
      <c r="AO1127" s="30">
        <v>1</v>
      </c>
      <c r="AP1127" s="30">
        <v>1</v>
      </c>
      <c r="AQ1127" s="30">
        <v>1</v>
      </c>
      <c r="AR1127" s="50">
        <v>7.2186152540827803E-2</v>
      </c>
      <c r="AS1127" s="34">
        <v>0</v>
      </c>
      <c r="AT1127" s="34">
        <v>0</v>
      </c>
      <c r="AU1127" s="34">
        <v>0.14285714285714299</v>
      </c>
      <c r="AV1127" s="34">
        <v>6.5217391304347797E-2</v>
      </c>
      <c r="AW1127" s="10"/>
      <c r="AX1127" s="8"/>
    </row>
    <row r="1128" spans="1:50">
      <c r="A1128" s="7"/>
      <c r="B1128" s="10"/>
      <c r="C1128" s="45" t="s">
        <v>1100</v>
      </c>
      <c r="D1128" s="23" t="s">
        <v>25</v>
      </c>
      <c r="E1128" s="83" t="s">
        <v>1172</v>
      </c>
      <c r="F1128" s="83" t="s">
        <v>1172</v>
      </c>
      <c r="G1128" s="83" t="s">
        <v>1172</v>
      </c>
      <c r="H1128" s="83" t="s">
        <v>1172</v>
      </c>
      <c r="I1128" s="25">
        <v>0.9</v>
      </c>
      <c r="J1128" s="26">
        <v>0.92105263157894701</v>
      </c>
      <c r="K1128" s="26">
        <v>0.91891891891891897</v>
      </c>
      <c r="L1128" s="27">
        <v>1</v>
      </c>
      <c r="M1128" s="26">
        <v>0.96744186046511604</v>
      </c>
      <c r="N1128" s="28">
        <v>0.9</v>
      </c>
      <c r="O1128" s="26">
        <v>0.92889647326507396</v>
      </c>
      <c r="P1128" s="26">
        <v>0.95405499477897704</v>
      </c>
      <c r="Q1128" s="26">
        <v>0.98889538281706602</v>
      </c>
      <c r="R1128" s="26">
        <v>0.96694314220459199</v>
      </c>
      <c r="S1128" s="28">
        <v>0.9</v>
      </c>
      <c r="T1128" s="26">
        <v>0.59328782707622296</v>
      </c>
      <c r="U1128" s="26">
        <v>0.62373825269752903</v>
      </c>
      <c r="V1128" s="26">
        <v>0.71361776738749305</v>
      </c>
      <c r="W1128" s="26">
        <v>0.63583363385022196</v>
      </c>
      <c r="X1128" s="28">
        <v>0.92</v>
      </c>
      <c r="Y1128" s="28">
        <v>0</v>
      </c>
      <c r="Z1128" s="28">
        <v>0</v>
      </c>
      <c r="AA1128" s="28">
        <v>0</v>
      </c>
      <c r="AB1128" s="28">
        <v>0</v>
      </c>
      <c r="AC1128" s="28">
        <v>0.92</v>
      </c>
      <c r="AD1128" s="26">
        <v>1</v>
      </c>
      <c r="AE1128" s="26">
        <v>1</v>
      </c>
      <c r="AF1128" s="26">
        <v>1</v>
      </c>
      <c r="AG1128" s="26">
        <v>0.99473684210526303</v>
      </c>
      <c r="AH1128" s="28">
        <v>0.92</v>
      </c>
      <c r="AI1128" s="26">
        <v>0.86888509670079594</v>
      </c>
      <c r="AJ1128" s="26">
        <v>0.93734772015315004</v>
      </c>
      <c r="AK1128" s="26">
        <v>0.85856224430157801</v>
      </c>
      <c r="AL1128" s="26">
        <v>0.91266979204231302</v>
      </c>
      <c r="AM1128" s="25">
        <v>0.99</v>
      </c>
      <c r="AN1128" s="30">
        <v>1</v>
      </c>
      <c r="AO1128" s="30">
        <v>1</v>
      </c>
      <c r="AP1128" s="30">
        <v>1</v>
      </c>
      <c r="AQ1128" s="30">
        <v>1</v>
      </c>
      <c r="AR1128" s="50">
        <v>7.2186152540827803E-2</v>
      </c>
      <c r="AS1128" s="34">
        <v>0.25</v>
      </c>
      <c r="AT1128" s="34">
        <v>0</v>
      </c>
      <c r="AU1128" s="34">
        <v>0</v>
      </c>
      <c r="AV1128" s="34">
        <v>0.108108108108108</v>
      </c>
      <c r="AW1128" s="10"/>
      <c r="AX1128" s="8"/>
    </row>
    <row r="1129" spans="1:50">
      <c r="A1129" s="7"/>
      <c r="B1129" s="10"/>
      <c r="C1129" s="45" t="s">
        <v>1100</v>
      </c>
      <c r="D1129" s="23" t="s">
        <v>25</v>
      </c>
      <c r="E1129" s="83" t="s">
        <v>1173</v>
      </c>
      <c r="F1129" s="83" t="s">
        <v>1173</v>
      </c>
      <c r="G1129" s="83" t="s">
        <v>1173</v>
      </c>
      <c r="H1129" s="83" t="s">
        <v>1173</v>
      </c>
      <c r="I1129" s="25">
        <v>0.9</v>
      </c>
      <c r="J1129" s="26">
        <v>0.81</v>
      </c>
      <c r="K1129" s="26">
        <v>0.80198019801980203</v>
      </c>
      <c r="L1129" s="27">
        <v>0.85106382978723405</v>
      </c>
      <c r="M1129" s="26">
        <v>0.815745393634841</v>
      </c>
      <c r="N1129" s="28">
        <v>0.9</v>
      </c>
      <c r="O1129" s="26">
        <v>0.88851390666821795</v>
      </c>
      <c r="P1129" s="26">
        <v>0.90405693950177901</v>
      </c>
      <c r="Q1129" s="26">
        <v>0.95251396648044695</v>
      </c>
      <c r="R1129" s="26">
        <v>0.90472738181545498</v>
      </c>
      <c r="S1129" s="28">
        <v>0.9</v>
      </c>
      <c r="T1129" s="26">
        <v>0.78040265332247205</v>
      </c>
      <c r="U1129" s="26">
        <v>0.82021352313167295</v>
      </c>
      <c r="V1129" s="26">
        <v>0.83566108007448803</v>
      </c>
      <c r="W1129" s="26">
        <v>0.80080497987550303</v>
      </c>
      <c r="X1129" s="28">
        <v>0.92</v>
      </c>
      <c r="Y1129" s="28">
        <v>0</v>
      </c>
      <c r="Z1129" s="28">
        <v>0</v>
      </c>
      <c r="AA1129" s="28">
        <v>0</v>
      </c>
      <c r="AB1129" s="28">
        <v>0</v>
      </c>
      <c r="AC1129" s="28">
        <v>0.92</v>
      </c>
      <c r="AD1129" s="26">
        <v>0.99911816578483204</v>
      </c>
      <c r="AE1129" s="26">
        <v>0.99416569428238</v>
      </c>
      <c r="AF1129" s="26">
        <v>0.99924585218702899</v>
      </c>
      <c r="AG1129" s="26">
        <v>0.99834012373623104</v>
      </c>
      <c r="AH1129" s="28">
        <v>0.92</v>
      </c>
      <c r="AI1129" s="26">
        <v>0.91609449551960898</v>
      </c>
      <c r="AJ1129" s="26">
        <v>0.93935943060498195</v>
      </c>
      <c r="AK1129" s="26">
        <v>0.95321229050279299</v>
      </c>
      <c r="AL1129" s="26">
        <v>0.94157646058848499</v>
      </c>
      <c r="AM1129" s="25">
        <v>0.99</v>
      </c>
      <c r="AN1129" s="30">
        <v>1</v>
      </c>
      <c r="AO1129" s="30">
        <v>1</v>
      </c>
      <c r="AP1129" s="30">
        <v>1</v>
      </c>
      <c r="AQ1129" s="30">
        <v>1</v>
      </c>
      <c r="AR1129" s="50">
        <v>7.2186152540827803E-2</v>
      </c>
      <c r="AS1129" s="34">
        <v>0.157894736842105</v>
      </c>
      <c r="AT1129" s="34">
        <v>4.3478260869565202E-2</v>
      </c>
      <c r="AU1129" s="34">
        <v>0.4</v>
      </c>
      <c r="AV1129" s="34">
        <v>0.13445378151260501</v>
      </c>
      <c r="AW1129" s="10"/>
      <c r="AX1129" s="8"/>
    </row>
    <row r="1130" spans="1:50">
      <c r="A1130" s="7"/>
      <c r="B1130" s="10"/>
      <c r="C1130" s="45" t="s">
        <v>1100</v>
      </c>
      <c r="D1130" s="23" t="s">
        <v>25</v>
      </c>
      <c r="E1130" s="83" t="s">
        <v>1174</v>
      </c>
      <c r="F1130" s="83" t="s">
        <v>1174</v>
      </c>
      <c r="G1130" s="83" t="s">
        <v>1174</v>
      </c>
      <c r="H1130" s="83" t="s">
        <v>1174</v>
      </c>
      <c r="I1130" s="25">
        <v>0.9</v>
      </c>
      <c r="J1130" s="26">
        <v>1</v>
      </c>
      <c r="K1130" s="26">
        <v>0.90476190476190499</v>
      </c>
      <c r="L1130" s="27">
        <v>0.86842105263157898</v>
      </c>
      <c r="M1130" s="26">
        <v>0.94736842105263197</v>
      </c>
      <c r="N1130" s="28">
        <v>0.9</v>
      </c>
      <c r="O1130" s="26">
        <v>0.98009506833036197</v>
      </c>
      <c r="P1130" s="26">
        <v>0.985627021200144</v>
      </c>
      <c r="Q1130" s="26">
        <v>0.98392857142857104</v>
      </c>
      <c r="R1130" s="26">
        <v>0.97706745243738402</v>
      </c>
      <c r="S1130" s="28">
        <v>0.9</v>
      </c>
      <c r="T1130" s="26">
        <v>0.73202614379084996</v>
      </c>
      <c r="U1130" s="26">
        <v>0.81063600431189398</v>
      </c>
      <c r="V1130" s="26">
        <v>0.84107142857142903</v>
      </c>
      <c r="W1130" s="26">
        <v>0.78515149574018295</v>
      </c>
      <c r="X1130" s="28">
        <v>0.92</v>
      </c>
      <c r="Y1130" s="28">
        <v>0</v>
      </c>
      <c r="Z1130" s="28">
        <v>0</v>
      </c>
      <c r="AA1130" s="28">
        <v>0</v>
      </c>
      <c r="AB1130" s="28">
        <v>0</v>
      </c>
      <c r="AC1130" s="28">
        <v>0.92</v>
      </c>
      <c r="AD1130" s="26">
        <v>1</v>
      </c>
      <c r="AE1130" s="26">
        <v>1</v>
      </c>
      <c r="AF1130" s="26">
        <v>1</v>
      </c>
      <c r="AG1130" s="26">
        <v>0.99851851851851803</v>
      </c>
      <c r="AH1130" s="28">
        <v>0.92</v>
      </c>
      <c r="AI1130" s="26">
        <v>0.94028520499108703</v>
      </c>
      <c r="AJ1130" s="26">
        <v>0.95400646784045995</v>
      </c>
      <c r="AK1130" s="26">
        <v>0.95535714285714302</v>
      </c>
      <c r="AL1130" s="26">
        <v>0.94798539491384304</v>
      </c>
      <c r="AM1130" s="25">
        <v>0.99</v>
      </c>
      <c r="AN1130" s="30">
        <v>1</v>
      </c>
      <c r="AO1130" s="30">
        <v>1</v>
      </c>
      <c r="AP1130" s="30">
        <v>1</v>
      </c>
      <c r="AQ1130" s="30">
        <v>1</v>
      </c>
      <c r="AR1130" s="50">
        <v>7.2186152540827803E-2</v>
      </c>
      <c r="AS1130" s="34">
        <v>0.2</v>
      </c>
      <c r="AT1130" s="34">
        <v>0</v>
      </c>
      <c r="AU1130" s="34">
        <v>0.33333333333333298</v>
      </c>
      <c r="AV1130" s="34">
        <v>9.6774193548387094E-2</v>
      </c>
      <c r="AW1130" s="10"/>
      <c r="AX1130" s="8"/>
    </row>
    <row r="1131" spans="1:50">
      <c r="A1131" s="7"/>
      <c r="B1131" s="10"/>
      <c r="C1131" s="45" t="s">
        <v>1100</v>
      </c>
      <c r="D1131" s="23" t="s">
        <v>25</v>
      </c>
      <c r="E1131" s="83" t="s">
        <v>1175</v>
      </c>
      <c r="F1131" s="83" t="s">
        <v>1175</v>
      </c>
      <c r="G1131" s="83" t="s">
        <v>1175</v>
      </c>
      <c r="H1131" s="83" t="s">
        <v>1175</v>
      </c>
      <c r="I1131" s="25">
        <v>0.9</v>
      </c>
      <c r="J1131" s="26">
        <v>0.9</v>
      </c>
      <c r="K1131" s="26">
        <v>0.93548387096774199</v>
      </c>
      <c r="L1131" s="27">
        <v>0.92</v>
      </c>
      <c r="M1131" s="26">
        <v>0.92485549132947997</v>
      </c>
      <c r="N1131" s="28">
        <v>0.9</v>
      </c>
      <c r="O1131" s="26">
        <v>0.973169923815833</v>
      </c>
      <c r="P1131" s="26">
        <v>0.99026858699883202</v>
      </c>
      <c r="Q1131" s="26">
        <v>0.93261455525606496</v>
      </c>
      <c r="R1131" s="26">
        <v>0.97530864197530898</v>
      </c>
      <c r="S1131" s="28">
        <v>0.9</v>
      </c>
      <c r="T1131" s="26">
        <v>0.70288174892348498</v>
      </c>
      <c r="U1131" s="26">
        <v>0.78941222265472899</v>
      </c>
      <c r="V1131" s="26">
        <v>0.80458221024258803</v>
      </c>
      <c r="W1131" s="26">
        <v>0.76373897707230998</v>
      </c>
      <c r="X1131" s="28">
        <v>0.92</v>
      </c>
      <c r="Y1131" s="28">
        <v>0</v>
      </c>
      <c r="Z1131" s="28">
        <v>0</v>
      </c>
      <c r="AA1131" s="28">
        <v>0</v>
      </c>
      <c r="AB1131" s="28">
        <v>0</v>
      </c>
      <c r="AC1131" s="28">
        <v>0.92</v>
      </c>
      <c r="AD1131" s="26">
        <v>1</v>
      </c>
      <c r="AE1131" s="26">
        <v>1</v>
      </c>
      <c r="AF1131" s="26">
        <v>0.96666666666666701</v>
      </c>
      <c r="AG1131" s="26">
        <v>0.99137931034482796</v>
      </c>
      <c r="AH1131" s="28">
        <v>0.92</v>
      </c>
      <c r="AI1131" s="26">
        <v>0.89201722424643903</v>
      </c>
      <c r="AJ1131" s="26">
        <v>0.94978590891397396</v>
      </c>
      <c r="AK1131" s="26">
        <v>0.89555256064690003</v>
      </c>
      <c r="AL1131" s="26">
        <v>0.923950617283951</v>
      </c>
      <c r="AM1131" s="25">
        <v>0.99</v>
      </c>
      <c r="AN1131" s="30">
        <v>1</v>
      </c>
      <c r="AO1131" s="30">
        <v>1</v>
      </c>
      <c r="AP1131" s="30">
        <v>1</v>
      </c>
      <c r="AQ1131" s="30">
        <v>1</v>
      </c>
      <c r="AR1131" s="50">
        <v>7.2186152540827803E-2</v>
      </c>
      <c r="AS1131" s="34">
        <v>0</v>
      </c>
      <c r="AT1131" s="34">
        <v>0.16666666666666699</v>
      </c>
      <c r="AU1131" s="34">
        <v>0.75</v>
      </c>
      <c r="AV1131" s="34">
        <v>0.28000000000000003</v>
      </c>
      <c r="AW1131" s="10"/>
      <c r="AX1131" s="8"/>
    </row>
    <row r="1132" spans="1:50">
      <c r="A1132" s="7"/>
      <c r="B1132" s="10"/>
      <c r="C1132" s="45" t="s">
        <v>1100</v>
      </c>
      <c r="D1132" s="23" t="s">
        <v>25</v>
      </c>
      <c r="E1132" s="83" t="s">
        <v>1176</v>
      </c>
      <c r="F1132" s="83" t="s">
        <v>1176</v>
      </c>
      <c r="G1132" s="83" t="s">
        <v>1176</v>
      </c>
      <c r="H1132" s="83" t="s">
        <v>1176</v>
      </c>
      <c r="I1132" s="25">
        <v>0.9</v>
      </c>
      <c r="J1132" s="26">
        <v>0.93055555555555602</v>
      </c>
      <c r="K1132" s="26">
        <v>0.94666666666666699</v>
      </c>
      <c r="L1132" s="27">
        <v>0.859375</v>
      </c>
      <c r="M1132" s="26">
        <v>0.89953271028037396</v>
      </c>
      <c r="N1132" s="28">
        <v>0.9</v>
      </c>
      <c r="O1132" s="26">
        <v>0.95244257521837605</v>
      </c>
      <c r="P1132" s="26">
        <v>0.95451939613988201</v>
      </c>
      <c r="Q1132" s="26">
        <v>0.91592920353982299</v>
      </c>
      <c r="R1132" s="26">
        <v>0.95202444101255601</v>
      </c>
      <c r="S1132" s="28">
        <v>0.9</v>
      </c>
      <c r="T1132" s="26">
        <v>0.75186023940472302</v>
      </c>
      <c r="U1132" s="26">
        <v>0.82132619912096305</v>
      </c>
      <c r="V1132" s="26">
        <v>0.88997050147492596</v>
      </c>
      <c r="W1132" s="26">
        <v>0.82491774659235895</v>
      </c>
      <c r="X1132" s="28">
        <v>0.92</v>
      </c>
      <c r="Y1132" s="28">
        <v>0</v>
      </c>
      <c r="Z1132" s="28">
        <v>0</v>
      </c>
      <c r="AA1132" s="28">
        <v>0</v>
      </c>
      <c r="AB1132" s="28">
        <v>0</v>
      </c>
      <c r="AC1132" s="28">
        <v>0.92</v>
      </c>
      <c r="AD1132" s="26">
        <v>1</v>
      </c>
      <c r="AE1132" s="26">
        <v>1</v>
      </c>
      <c r="AF1132" s="26">
        <v>0.99752781211372099</v>
      </c>
      <c r="AG1132" s="26">
        <v>0.99746777163904199</v>
      </c>
      <c r="AH1132" s="28">
        <v>0.92</v>
      </c>
      <c r="AI1132" s="26">
        <v>0.94742801682303501</v>
      </c>
      <c r="AJ1132" s="26">
        <v>0.958723485572329</v>
      </c>
      <c r="AK1132" s="26">
        <v>0.95309734513274302</v>
      </c>
      <c r="AL1132" s="26">
        <v>0.95833613106828697</v>
      </c>
      <c r="AM1132" s="25">
        <v>0.99</v>
      </c>
      <c r="AN1132" s="30">
        <v>1</v>
      </c>
      <c r="AO1132" s="30">
        <v>1</v>
      </c>
      <c r="AP1132" s="30">
        <v>1</v>
      </c>
      <c r="AQ1132" s="30">
        <v>1</v>
      </c>
      <c r="AR1132" s="50">
        <v>7.2186152540827803E-2</v>
      </c>
      <c r="AS1132" s="34">
        <v>0</v>
      </c>
      <c r="AT1132" s="34">
        <v>9.0909090909090898E-2</v>
      </c>
      <c r="AU1132" s="34">
        <v>0</v>
      </c>
      <c r="AV1132" s="34">
        <v>9.85915492957746E-2</v>
      </c>
      <c r="AW1132" s="10"/>
      <c r="AX1132" s="8"/>
    </row>
    <row r="1133" spans="1:50">
      <c r="A1133" s="7"/>
      <c r="B1133" s="10"/>
      <c r="C1133" s="45" t="s">
        <v>1100</v>
      </c>
      <c r="D1133" s="23" t="s">
        <v>25</v>
      </c>
      <c r="E1133" s="83" t="s">
        <v>1177</v>
      </c>
      <c r="F1133" s="83" t="s">
        <v>1177</v>
      </c>
      <c r="G1133" s="83" t="s">
        <v>1177</v>
      </c>
      <c r="H1133" s="83" t="s">
        <v>1177</v>
      </c>
      <c r="I1133" s="25">
        <v>0.9</v>
      </c>
      <c r="J1133" s="26">
        <v>0.8</v>
      </c>
      <c r="K1133" s="26">
        <v>0.86792452830188704</v>
      </c>
      <c r="L1133" s="27">
        <v>0.83333333333333304</v>
      </c>
      <c r="M1133" s="26">
        <v>0.81045751633986896</v>
      </c>
      <c r="N1133" s="28">
        <v>0.9</v>
      </c>
      <c r="O1133" s="26">
        <v>0.92459943449575899</v>
      </c>
      <c r="P1133" s="26">
        <v>0.92351468244935098</v>
      </c>
      <c r="Q1133" s="26">
        <v>0.90799120234604103</v>
      </c>
      <c r="R1133" s="26">
        <v>0.94292062209654603</v>
      </c>
      <c r="S1133" s="28">
        <v>0.9</v>
      </c>
      <c r="T1133" s="26">
        <v>0.657869934024505</v>
      </c>
      <c r="U1133" s="26">
        <v>0.73252902344639204</v>
      </c>
      <c r="V1133" s="26">
        <v>0.79105571847507306</v>
      </c>
      <c r="W1133" s="26">
        <v>0.74187032922641905</v>
      </c>
      <c r="X1133" s="28">
        <v>0.92</v>
      </c>
      <c r="Y1133" s="28">
        <v>0</v>
      </c>
      <c r="Z1133" s="28">
        <v>0</v>
      </c>
      <c r="AA1133" s="28">
        <v>0</v>
      </c>
      <c r="AB1133" s="28">
        <v>0</v>
      </c>
      <c r="AC1133" s="28">
        <v>0.92</v>
      </c>
      <c r="AD1133" s="26">
        <v>1</v>
      </c>
      <c r="AE1133" s="26">
        <v>0.98571428571428599</v>
      </c>
      <c r="AF1133" s="26">
        <v>0.98684210526315796</v>
      </c>
      <c r="AG1133" s="26">
        <v>0.99459459459459498</v>
      </c>
      <c r="AH1133" s="28">
        <v>0.92</v>
      </c>
      <c r="AI1133" s="26">
        <v>0.90216776625824702</v>
      </c>
      <c r="AJ1133" s="26">
        <v>0.93603460050079701</v>
      </c>
      <c r="AK1133" s="26">
        <v>0.90799120234604103</v>
      </c>
      <c r="AL1133" s="26">
        <v>0.92967077358109496</v>
      </c>
      <c r="AM1133" s="25">
        <v>0.99</v>
      </c>
      <c r="AN1133" s="30">
        <v>1</v>
      </c>
      <c r="AO1133" s="30">
        <v>1</v>
      </c>
      <c r="AP1133" s="30">
        <v>1</v>
      </c>
      <c r="AQ1133" s="30">
        <v>1</v>
      </c>
      <c r="AR1133" s="50">
        <v>7.2186152540827803E-2</v>
      </c>
      <c r="AS1133" s="34">
        <v>0</v>
      </c>
      <c r="AT1133" s="34">
        <v>0</v>
      </c>
      <c r="AU1133" s="34">
        <v>0</v>
      </c>
      <c r="AV1133" s="34">
        <v>6.1224489795918401E-2</v>
      </c>
      <c r="AW1133" s="10"/>
      <c r="AX1133" s="8"/>
    </row>
    <row r="1134" spans="1:50">
      <c r="A1134" s="7"/>
      <c r="B1134" s="10"/>
      <c r="C1134" s="45" t="s">
        <v>1100</v>
      </c>
      <c r="D1134" s="23" t="s">
        <v>25</v>
      </c>
      <c r="E1134" s="83" t="s">
        <v>1178</v>
      </c>
      <c r="F1134" s="83" t="s">
        <v>1178</v>
      </c>
      <c r="G1134" s="83" t="s">
        <v>1178</v>
      </c>
      <c r="H1134" s="83" t="s">
        <v>1178</v>
      </c>
      <c r="I1134" s="25">
        <v>0.9</v>
      </c>
      <c r="J1134" s="26">
        <v>0.82</v>
      </c>
      <c r="K1134" s="26">
        <v>0.88</v>
      </c>
      <c r="L1134" s="27">
        <v>0.85</v>
      </c>
      <c r="M1134" s="26">
        <v>0.80505415162454896</v>
      </c>
      <c r="N1134" s="28">
        <v>0.9</v>
      </c>
      <c r="O1134" s="26">
        <v>0.98155156102176</v>
      </c>
      <c r="P1134" s="26">
        <v>0.93416836586076302</v>
      </c>
      <c r="Q1134" s="26">
        <v>0.95809248554913296</v>
      </c>
      <c r="R1134" s="26">
        <v>0.96344447843377201</v>
      </c>
      <c r="S1134" s="28">
        <v>0.9</v>
      </c>
      <c r="T1134" s="26">
        <v>0.85217596972563903</v>
      </c>
      <c r="U1134" s="26">
        <v>0.85085930672880905</v>
      </c>
      <c r="V1134" s="26">
        <v>0.86223506743737999</v>
      </c>
      <c r="W1134" s="26">
        <v>0.84077699602324896</v>
      </c>
      <c r="X1134" s="28">
        <v>0.92</v>
      </c>
      <c r="Y1134" s="28">
        <v>0</v>
      </c>
      <c r="Z1134" s="28">
        <v>0</v>
      </c>
      <c r="AA1134" s="28">
        <v>0</v>
      </c>
      <c r="AB1134" s="28">
        <v>0</v>
      </c>
      <c r="AC1134" s="28">
        <v>0.92</v>
      </c>
      <c r="AD1134" s="26">
        <v>1</v>
      </c>
      <c r="AE1134" s="26">
        <v>0.99738562091503302</v>
      </c>
      <c r="AF1134" s="26">
        <v>0.99909665763324296</v>
      </c>
      <c r="AG1134" s="26">
        <v>0.994971715901948</v>
      </c>
      <c r="AH1134" s="28">
        <v>0.92</v>
      </c>
      <c r="AI1134" s="26">
        <v>0.94394512771996197</v>
      </c>
      <c r="AJ1134" s="26">
        <v>0.956610366919045</v>
      </c>
      <c r="AK1134" s="26">
        <v>0.95664739884393102</v>
      </c>
      <c r="AL1134" s="26">
        <v>0.95835032626427397</v>
      </c>
      <c r="AM1134" s="25">
        <v>0.99</v>
      </c>
      <c r="AN1134" s="30">
        <v>1</v>
      </c>
      <c r="AO1134" s="30">
        <v>1</v>
      </c>
      <c r="AP1134" s="30">
        <v>1</v>
      </c>
      <c r="AQ1134" s="30">
        <v>1</v>
      </c>
      <c r="AR1134" s="50">
        <v>7.2186152540827803E-2</v>
      </c>
      <c r="AS1134" s="34">
        <v>0.2</v>
      </c>
      <c r="AT1134" s="34">
        <v>0</v>
      </c>
      <c r="AU1134" s="34">
        <v>1</v>
      </c>
      <c r="AV1134" s="34">
        <v>7.4999999999999997E-2</v>
      </c>
      <c r="AW1134" s="10"/>
      <c r="AX1134" s="8"/>
    </row>
    <row r="1135" spans="1:50">
      <c r="A1135" s="7"/>
      <c r="B1135" s="10"/>
      <c r="C1135" s="45" t="s">
        <v>1100</v>
      </c>
      <c r="D1135" s="23" t="s">
        <v>25</v>
      </c>
      <c r="E1135" s="83" t="s">
        <v>1179</v>
      </c>
      <c r="F1135" s="83" t="s">
        <v>1179</v>
      </c>
      <c r="G1135" s="83" t="s">
        <v>1179</v>
      </c>
      <c r="H1135" s="83" t="s">
        <v>1179</v>
      </c>
      <c r="I1135" s="25">
        <v>0.9</v>
      </c>
      <c r="J1135" s="26">
        <v>0.93333333333333302</v>
      </c>
      <c r="K1135" s="26">
        <v>0.93333333333333302</v>
      </c>
      <c r="L1135" s="27">
        <v>0.85185185185185197</v>
      </c>
      <c r="M1135" s="26">
        <v>0.89080459770114895</v>
      </c>
      <c r="N1135" s="28">
        <v>0.9</v>
      </c>
      <c r="O1135" s="26">
        <v>0.97712609970674502</v>
      </c>
      <c r="P1135" s="26">
        <v>0.98729831788534195</v>
      </c>
      <c r="Q1135" s="26">
        <v>0.97651775486826997</v>
      </c>
      <c r="R1135" s="26">
        <v>0.97751142963054505</v>
      </c>
      <c r="S1135" s="28">
        <v>0.9</v>
      </c>
      <c r="T1135" s="26">
        <v>0.78739002932551305</v>
      </c>
      <c r="U1135" s="26">
        <v>0.81325094404394105</v>
      </c>
      <c r="V1135" s="26">
        <v>0.83963344788087102</v>
      </c>
      <c r="W1135" s="26">
        <v>0.80903249721981996</v>
      </c>
      <c r="X1135" s="28">
        <v>0.92</v>
      </c>
      <c r="Y1135" s="28">
        <v>0</v>
      </c>
      <c r="Z1135" s="28">
        <v>0</v>
      </c>
      <c r="AA1135" s="28">
        <v>0</v>
      </c>
      <c r="AB1135" s="28">
        <v>0</v>
      </c>
      <c r="AC1135" s="28">
        <v>0.92</v>
      </c>
      <c r="AD1135" s="26">
        <v>1</v>
      </c>
      <c r="AE1135" s="26">
        <v>1</v>
      </c>
      <c r="AF1135" s="26">
        <v>1</v>
      </c>
      <c r="AG1135" s="26">
        <v>1</v>
      </c>
      <c r="AH1135" s="28">
        <v>0.92</v>
      </c>
      <c r="AI1135" s="26">
        <v>0.92170087976539605</v>
      </c>
      <c r="AJ1135" s="26">
        <v>0.93649158942670796</v>
      </c>
      <c r="AK1135" s="26">
        <v>0.92096219931271495</v>
      </c>
      <c r="AL1135" s="26">
        <v>0.93926850364512504</v>
      </c>
      <c r="AM1135" s="25">
        <v>0.99</v>
      </c>
      <c r="AN1135" s="30">
        <v>1</v>
      </c>
      <c r="AO1135" s="30">
        <v>1</v>
      </c>
      <c r="AP1135" s="30">
        <v>1</v>
      </c>
      <c r="AQ1135" s="30">
        <v>1</v>
      </c>
      <c r="AR1135" s="50">
        <v>7.2186152540827803E-2</v>
      </c>
      <c r="AS1135" s="34">
        <v>0</v>
      </c>
      <c r="AT1135" s="34">
        <v>0.2</v>
      </c>
      <c r="AU1135" s="34">
        <v>0</v>
      </c>
      <c r="AV1135" s="34">
        <v>8.5714285714285701E-2</v>
      </c>
      <c r="AW1135" s="10"/>
      <c r="AX1135" s="8"/>
    </row>
    <row r="1136" spans="1:50">
      <c r="A1136" s="7"/>
      <c r="B1136" s="10"/>
      <c r="C1136" s="45" t="s">
        <v>1100</v>
      </c>
      <c r="D1136" s="23" t="s">
        <v>25</v>
      </c>
      <c r="E1136" s="83" t="s">
        <v>1180</v>
      </c>
      <c r="F1136" s="83" t="s">
        <v>1180</v>
      </c>
      <c r="G1136" s="83" t="s">
        <v>1180</v>
      </c>
      <c r="H1136" s="83" t="s">
        <v>1180</v>
      </c>
      <c r="I1136" s="25">
        <v>0.9</v>
      </c>
      <c r="J1136" s="26">
        <v>0.75</v>
      </c>
      <c r="K1136" s="26">
        <v>0.82608695652173902</v>
      </c>
      <c r="L1136" s="27">
        <v>0.89473684210526305</v>
      </c>
      <c r="M1136" s="26">
        <v>0.86153846153846203</v>
      </c>
      <c r="N1136" s="28">
        <v>0.9</v>
      </c>
      <c r="O1136" s="26">
        <v>0.95992179863147598</v>
      </c>
      <c r="P1136" s="26">
        <v>0.98770491803278704</v>
      </c>
      <c r="Q1136" s="26">
        <v>0.98817106460418602</v>
      </c>
      <c r="R1136" s="26">
        <v>0.98341041624773795</v>
      </c>
      <c r="S1136" s="28">
        <v>0.9</v>
      </c>
      <c r="T1136" s="26">
        <v>0.82649071358748805</v>
      </c>
      <c r="U1136" s="26">
        <v>0.89051522248243598</v>
      </c>
      <c r="V1136" s="26">
        <v>0.89899909008189305</v>
      </c>
      <c r="W1136" s="26">
        <v>0.86999798914136295</v>
      </c>
      <c r="X1136" s="28">
        <v>0.92</v>
      </c>
      <c r="Y1136" s="28">
        <v>0</v>
      </c>
      <c r="Z1136" s="28">
        <v>0</v>
      </c>
      <c r="AA1136" s="28">
        <v>0</v>
      </c>
      <c r="AB1136" s="28">
        <v>0</v>
      </c>
      <c r="AC1136" s="28">
        <v>0.92</v>
      </c>
      <c r="AD1136" s="26">
        <v>1</v>
      </c>
      <c r="AE1136" s="26">
        <v>1</v>
      </c>
      <c r="AF1136" s="26">
        <v>1</v>
      </c>
      <c r="AG1136" s="26">
        <v>1</v>
      </c>
      <c r="AH1136" s="28">
        <v>0.92</v>
      </c>
      <c r="AI1136" s="26">
        <v>0.93108504398826997</v>
      </c>
      <c r="AJ1136" s="26">
        <v>0.96018735362997698</v>
      </c>
      <c r="AK1136" s="26">
        <v>0.936305732484076</v>
      </c>
      <c r="AL1136" s="26">
        <v>0.952548507087564</v>
      </c>
      <c r="AM1136" s="25">
        <v>0.99</v>
      </c>
      <c r="AN1136" s="30">
        <v>1</v>
      </c>
      <c r="AO1136" s="30">
        <v>1</v>
      </c>
      <c r="AP1136" s="30">
        <v>1</v>
      </c>
      <c r="AQ1136" s="30">
        <v>1</v>
      </c>
      <c r="AR1136" s="50">
        <v>7.2186152540827803E-2</v>
      </c>
      <c r="AS1136" s="34">
        <v>0.5</v>
      </c>
      <c r="AT1136" s="34">
        <v>0</v>
      </c>
      <c r="AU1136" s="34">
        <v>0</v>
      </c>
      <c r="AV1136" s="34">
        <v>0.16129032258064499</v>
      </c>
      <c r="AW1136" s="10"/>
      <c r="AX1136" s="8"/>
    </row>
    <row r="1137" spans="1:50">
      <c r="A1137" s="7"/>
      <c r="B1137" s="10"/>
      <c r="C1137" s="45" t="s">
        <v>1100</v>
      </c>
      <c r="D1137" s="23" t="s">
        <v>25</v>
      </c>
      <c r="E1137" s="83" t="s">
        <v>1181</v>
      </c>
      <c r="F1137" s="83" t="s">
        <v>1181</v>
      </c>
      <c r="G1137" s="83" t="s">
        <v>1181</v>
      </c>
      <c r="H1137" s="83" t="s">
        <v>1181</v>
      </c>
      <c r="I1137" s="25">
        <v>0.9</v>
      </c>
      <c r="J1137" s="26">
        <v>0.87878787878787901</v>
      </c>
      <c r="K1137" s="26">
        <v>0.82758620689655205</v>
      </c>
      <c r="L1137" s="27">
        <v>0.64</v>
      </c>
      <c r="M1137" s="26">
        <v>0.78488372093023295</v>
      </c>
      <c r="N1137" s="28">
        <v>0.9</v>
      </c>
      <c r="O1137" s="26">
        <v>0.92828999211977903</v>
      </c>
      <c r="P1137" s="26">
        <v>0.94202898550724601</v>
      </c>
      <c r="Q1137" s="26">
        <v>0.88443519000520598</v>
      </c>
      <c r="R1137" s="26">
        <v>0.91105702749045903</v>
      </c>
      <c r="S1137" s="28">
        <v>0.9</v>
      </c>
      <c r="T1137" s="26">
        <v>0.79301287102705498</v>
      </c>
      <c r="U1137" s="26">
        <v>0.78890989287964697</v>
      </c>
      <c r="V1137" s="26">
        <v>0.83862571577303502</v>
      </c>
      <c r="W1137" s="26">
        <v>0.78870512749598998</v>
      </c>
      <c r="X1137" s="28">
        <v>0.92</v>
      </c>
      <c r="Y1137" s="28">
        <v>0</v>
      </c>
      <c r="Z1137" s="28">
        <v>0</v>
      </c>
      <c r="AA1137" s="28">
        <v>0</v>
      </c>
      <c r="AB1137" s="28">
        <v>0</v>
      </c>
      <c r="AC1137" s="28">
        <v>0.92</v>
      </c>
      <c r="AD1137" s="26">
        <v>0.97446236559139798</v>
      </c>
      <c r="AE1137" s="26">
        <v>0.69061876247505005</v>
      </c>
      <c r="AF1137" s="26">
        <v>0.22890173410404599</v>
      </c>
      <c r="AG1137" s="26">
        <v>0.74144209759650404</v>
      </c>
      <c r="AH1137" s="28">
        <v>0.92</v>
      </c>
      <c r="AI1137" s="26">
        <v>0.93590753874441801</v>
      </c>
      <c r="AJ1137" s="26">
        <v>0.94423440453686203</v>
      </c>
      <c r="AK1137" s="26">
        <v>0.92035398230088505</v>
      </c>
      <c r="AL1137" s="26">
        <v>0.93744123015653502</v>
      </c>
      <c r="AM1137" s="25">
        <v>0.99</v>
      </c>
      <c r="AN1137" s="30">
        <v>1</v>
      </c>
      <c r="AO1137" s="30">
        <v>1</v>
      </c>
      <c r="AP1137" s="30">
        <v>1</v>
      </c>
      <c r="AQ1137" s="30">
        <v>1</v>
      </c>
      <c r="AR1137" s="50">
        <v>7.2186152540827803E-2</v>
      </c>
      <c r="AS1137" s="34">
        <v>0.22222222222222199</v>
      </c>
      <c r="AT1137" s="34">
        <v>0</v>
      </c>
      <c r="AU1137" s="34">
        <v>0</v>
      </c>
      <c r="AV1137" s="34">
        <v>9.0909090909090898E-2</v>
      </c>
      <c r="AW1137" s="10"/>
      <c r="AX1137" s="8"/>
    </row>
    <row r="1138" spans="1:50">
      <c r="A1138" s="7"/>
      <c r="B1138" s="10"/>
      <c r="C1138" s="45" t="s">
        <v>1100</v>
      </c>
      <c r="D1138" s="23" t="s">
        <v>25</v>
      </c>
      <c r="E1138" s="83" t="s">
        <v>1182</v>
      </c>
      <c r="F1138" s="83" t="s">
        <v>1182</v>
      </c>
      <c r="G1138" s="83" t="s">
        <v>1182</v>
      </c>
      <c r="H1138" s="83" t="s">
        <v>1182</v>
      </c>
      <c r="I1138" s="25">
        <v>0.9</v>
      </c>
      <c r="J1138" s="26">
        <v>0.66666666666666696</v>
      </c>
      <c r="K1138" s="26">
        <v>0.81481481481481499</v>
      </c>
      <c r="L1138" s="27">
        <v>0.88</v>
      </c>
      <c r="M1138" s="26">
        <v>0.810126582278481</v>
      </c>
      <c r="N1138" s="28">
        <v>0.9</v>
      </c>
      <c r="O1138" s="26">
        <v>0.82314410480349298</v>
      </c>
      <c r="P1138" s="26">
        <v>0.974743150684932</v>
      </c>
      <c r="Q1138" s="26">
        <v>0.974829931972789</v>
      </c>
      <c r="R1138" s="26">
        <v>0.90886191893748602</v>
      </c>
      <c r="S1138" s="28">
        <v>0.9</v>
      </c>
      <c r="T1138" s="26">
        <v>0.75036390101892303</v>
      </c>
      <c r="U1138" s="26">
        <v>0.87071917808219201</v>
      </c>
      <c r="V1138" s="26">
        <v>0.89795918367346905</v>
      </c>
      <c r="W1138" s="26">
        <v>0.81726585756812498</v>
      </c>
      <c r="X1138" s="28">
        <v>0.92</v>
      </c>
      <c r="Y1138" s="28">
        <v>0</v>
      </c>
      <c r="Z1138" s="28">
        <v>0</v>
      </c>
      <c r="AA1138" s="28">
        <v>0</v>
      </c>
      <c r="AB1138" s="28">
        <v>0</v>
      </c>
      <c r="AC1138" s="28">
        <v>0.92</v>
      </c>
      <c r="AD1138" s="26">
        <v>1</v>
      </c>
      <c r="AE1138" s="26">
        <v>0.95098039215686303</v>
      </c>
      <c r="AF1138" s="26">
        <v>0.42732558139534899</v>
      </c>
      <c r="AG1138" s="26">
        <v>0.85696439725171802</v>
      </c>
      <c r="AH1138" s="28">
        <v>0.92</v>
      </c>
      <c r="AI1138" s="26">
        <v>0.90138282387190705</v>
      </c>
      <c r="AJ1138" s="26">
        <v>0.94905821917808197</v>
      </c>
      <c r="AK1138" s="26">
        <v>0.95170068027210897</v>
      </c>
      <c r="AL1138" s="26">
        <v>0.93893595908709304</v>
      </c>
      <c r="AM1138" s="25">
        <v>0.99</v>
      </c>
      <c r="AN1138" s="30">
        <v>1</v>
      </c>
      <c r="AO1138" s="30">
        <v>1</v>
      </c>
      <c r="AP1138" s="30">
        <v>1</v>
      </c>
      <c r="AQ1138" s="30">
        <v>1</v>
      </c>
      <c r="AR1138" s="50">
        <v>7.2186152540827803E-2</v>
      </c>
      <c r="AS1138" s="34">
        <v>0</v>
      </c>
      <c r="AT1138" s="34">
        <v>0.5</v>
      </c>
      <c r="AU1138" s="34">
        <v>0.5</v>
      </c>
      <c r="AV1138" s="34">
        <v>8.6956521739130405E-2</v>
      </c>
      <c r="AW1138" s="10"/>
      <c r="AX1138" s="8"/>
    </row>
    <row r="1139" spans="1:50">
      <c r="A1139" s="7"/>
      <c r="B1139" s="10"/>
      <c r="C1139" s="45" t="s">
        <v>1100</v>
      </c>
      <c r="D1139" s="23" t="s">
        <v>25</v>
      </c>
      <c r="E1139" s="83" t="s">
        <v>1183</v>
      </c>
      <c r="F1139" s="83" t="s">
        <v>1183</v>
      </c>
      <c r="G1139" s="83" t="s">
        <v>1183</v>
      </c>
      <c r="H1139" s="83" t="s">
        <v>1183</v>
      </c>
      <c r="I1139" s="25">
        <v>0.9</v>
      </c>
      <c r="J1139" s="26">
        <v>0.77777777777777801</v>
      </c>
      <c r="K1139" s="26">
        <v>0.89473684210526305</v>
      </c>
      <c r="L1139" s="27">
        <v>0.95</v>
      </c>
      <c r="M1139" s="26">
        <v>0.829059829059829</v>
      </c>
      <c r="N1139" s="28">
        <v>0.9</v>
      </c>
      <c r="O1139" s="26">
        <v>0.90043057050592001</v>
      </c>
      <c r="P1139" s="26">
        <v>0.99126930826057802</v>
      </c>
      <c r="Q1139" s="26">
        <v>0.98164146868250501</v>
      </c>
      <c r="R1139" s="26">
        <v>0.95571177504393701</v>
      </c>
      <c r="S1139" s="28">
        <v>0.9</v>
      </c>
      <c r="T1139" s="26">
        <v>0.62594187298170101</v>
      </c>
      <c r="U1139" s="26">
        <v>0.72196104768300895</v>
      </c>
      <c r="V1139" s="26">
        <v>0.75053995680345598</v>
      </c>
      <c r="W1139" s="26">
        <v>0.703925014645577</v>
      </c>
      <c r="X1139" s="28">
        <v>0.92</v>
      </c>
      <c r="Y1139" s="28">
        <v>0</v>
      </c>
      <c r="Z1139" s="28">
        <v>0</v>
      </c>
      <c r="AA1139" s="28">
        <v>0</v>
      </c>
      <c r="AB1139" s="28">
        <v>1</v>
      </c>
      <c r="AC1139" s="28">
        <v>0.92</v>
      </c>
      <c r="AD1139" s="26">
        <v>1</v>
      </c>
      <c r="AE1139" s="26">
        <v>1</v>
      </c>
      <c r="AF1139" s="26">
        <v>1</v>
      </c>
      <c r="AG1139" s="26">
        <v>1</v>
      </c>
      <c r="AH1139" s="28">
        <v>0.92</v>
      </c>
      <c r="AI1139" s="26">
        <v>0.92680301399354104</v>
      </c>
      <c r="AJ1139" s="26">
        <v>0.93216924110140997</v>
      </c>
      <c r="AK1139" s="26">
        <v>0.94384449244060498</v>
      </c>
      <c r="AL1139" s="26">
        <v>0.93919868791002803</v>
      </c>
      <c r="AM1139" s="25">
        <v>0.99</v>
      </c>
      <c r="AN1139" s="30">
        <v>0</v>
      </c>
      <c r="AO1139" s="30">
        <v>1</v>
      </c>
      <c r="AP1139" s="30">
        <v>0</v>
      </c>
      <c r="AQ1139" s="30">
        <v>1</v>
      </c>
      <c r="AR1139" s="50">
        <v>7.2186152540827803E-2</v>
      </c>
      <c r="AS1139" s="34">
        <v>0</v>
      </c>
      <c r="AT1139" s="34">
        <v>0</v>
      </c>
      <c r="AU1139" s="34">
        <v>0</v>
      </c>
      <c r="AV1139" s="34">
        <v>3.7037037037037E-2</v>
      </c>
      <c r="AW1139" s="10"/>
      <c r="AX1139" s="8"/>
    </row>
    <row r="1140" spans="1:50">
      <c r="A1140" s="7"/>
      <c r="B1140" s="10"/>
      <c r="C1140" s="45" t="s">
        <v>1100</v>
      </c>
      <c r="D1140" s="23" t="s">
        <v>25</v>
      </c>
      <c r="E1140" s="83" t="s">
        <v>1184</v>
      </c>
      <c r="F1140" s="83" t="s">
        <v>1184</v>
      </c>
      <c r="G1140" s="83" t="s">
        <v>1184</v>
      </c>
      <c r="H1140" s="83" t="s">
        <v>1184</v>
      </c>
      <c r="I1140" s="25">
        <v>0.9</v>
      </c>
      <c r="J1140" s="26">
        <v>0.88235294117647101</v>
      </c>
      <c r="K1140" s="26">
        <v>1</v>
      </c>
      <c r="L1140" s="27">
        <v>1</v>
      </c>
      <c r="M1140" s="26">
        <v>0.95049504950495001</v>
      </c>
      <c r="N1140" s="28">
        <v>0.9</v>
      </c>
      <c r="O1140" s="26">
        <v>0.93222506393861904</v>
      </c>
      <c r="P1140" s="26">
        <v>0.98934911242603596</v>
      </c>
      <c r="Q1140" s="26">
        <v>0.98722986247544198</v>
      </c>
      <c r="R1140" s="26">
        <v>0.97713729782317904</v>
      </c>
      <c r="S1140" s="28">
        <v>0.9</v>
      </c>
      <c r="T1140" s="26">
        <v>0.95396419437340196</v>
      </c>
      <c r="U1140" s="26">
        <v>0.95857988165680497</v>
      </c>
      <c r="V1140" s="26">
        <v>0.97838899803536294</v>
      </c>
      <c r="W1140" s="26">
        <v>0.95999027119056302</v>
      </c>
      <c r="X1140" s="28">
        <v>0.92</v>
      </c>
      <c r="Y1140" s="28">
        <v>0.94886363636363602</v>
      </c>
      <c r="Z1140" s="28">
        <v>0.97493734335839599</v>
      </c>
      <c r="AA1140" s="28">
        <v>0.97196261682243001</v>
      </c>
      <c r="AB1140" s="28">
        <v>0.95956607495069002</v>
      </c>
      <c r="AC1140" s="28">
        <v>0.92</v>
      </c>
      <c r="AD1140" s="26">
        <v>0.99744463373083503</v>
      </c>
      <c r="AE1140" s="26">
        <v>0.99768839574664803</v>
      </c>
      <c r="AF1140" s="26">
        <v>0.99709114414996802</v>
      </c>
      <c r="AG1140" s="26">
        <v>0.99790492703366596</v>
      </c>
      <c r="AH1140" s="28">
        <v>0.92</v>
      </c>
      <c r="AI1140" s="26">
        <v>0.97860125260960296</v>
      </c>
      <c r="AJ1140" s="26">
        <v>0.98659645763523196</v>
      </c>
      <c r="AK1140" s="26">
        <v>0.98547717842323701</v>
      </c>
      <c r="AL1140" s="26">
        <v>0.97912398790361899</v>
      </c>
      <c r="AM1140" s="25">
        <v>0.99</v>
      </c>
      <c r="AN1140" s="30">
        <v>1</v>
      </c>
      <c r="AO1140" s="30">
        <v>1</v>
      </c>
      <c r="AP1140" s="30">
        <v>1</v>
      </c>
      <c r="AQ1140" s="30">
        <v>1</v>
      </c>
      <c r="AR1140" s="50">
        <v>7.2186152540827803E-2</v>
      </c>
      <c r="AS1140" s="34">
        <v>0</v>
      </c>
      <c r="AT1140" s="34">
        <v>0</v>
      </c>
      <c r="AU1140" s="34">
        <v>0</v>
      </c>
      <c r="AV1140" s="34">
        <v>0</v>
      </c>
      <c r="AW1140" s="10"/>
      <c r="AX1140" s="8"/>
    </row>
    <row r="1141" spans="1:50">
      <c r="A1141" s="7"/>
      <c r="B1141" s="10"/>
      <c r="C1141" s="45" t="s">
        <v>1100</v>
      </c>
      <c r="D1141" s="23" t="s">
        <v>25</v>
      </c>
      <c r="E1141" s="83" t="s">
        <v>1185</v>
      </c>
      <c r="F1141" s="83" t="s">
        <v>1185</v>
      </c>
      <c r="G1141" s="83" t="s">
        <v>1185</v>
      </c>
      <c r="H1141" s="83" t="s">
        <v>1185</v>
      </c>
      <c r="I1141" s="25">
        <v>0.9</v>
      </c>
      <c r="J1141" s="26">
        <v>0.97368421052631604</v>
      </c>
      <c r="K1141" s="26">
        <v>0.97530864197530898</v>
      </c>
      <c r="L1141" s="27">
        <v>0.98412698412698396</v>
      </c>
      <c r="M1141" s="26">
        <v>0.971830985915493</v>
      </c>
      <c r="N1141" s="28">
        <v>0.9</v>
      </c>
      <c r="O1141" s="26">
        <v>0.96634967081199696</v>
      </c>
      <c r="P1141" s="26">
        <v>0.97638651545751098</v>
      </c>
      <c r="Q1141" s="26">
        <v>0.97395833333333304</v>
      </c>
      <c r="R1141" s="26">
        <v>0.972893870356204</v>
      </c>
      <c r="S1141" s="28">
        <v>0.9</v>
      </c>
      <c r="T1141" s="26">
        <v>0.94111192392099496</v>
      </c>
      <c r="U1141" s="26">
        <v>0.936150380612086</v>
      </c>
      <c r="V1141" s="26">
        <v>0.9296875</v>
      </c>
      <c r="W1141" s="26">
        <v>0.93418033059500405</v>
      </c>
      <c r="X1141" s="28">
        <v>0.92</v>
      </c>
      <c r="Y1141" s="28">
        <v>0.95758780649436703</v>
      </c>
      <c r="Z1141" s="28">
        <v>0.957324840764331</v>
      </c>
      <c r="AA1141" s="28">
        <v>0.95402298850574696</v>
      </c>
      <c r="AB1141" s="28">
        <v>0.95098289507276001</v>
      </c>
      <c r="AC1141" s="28">
        <v>0.92</v>
      </c>
      <c r="AD1141" s="26">
        <v>0.99853709508881905</v>
      </c>
      <c r="AE1141" s="26">
        <v>0.99751367478866204</v>
      </c>
      <c r="AF1141" s="26">
        <v>0.99641255605381196</v>
      </c>
      <c r="AG1141" s="26">
        <v>0.99783963179811497</v>
      </c>
      <c r="AH1141" s="28">
        <v>0.92</v>
      </c>
      <c r="AI1141" s="26">
        <v>0.97362763365343297</v>
      </c>
      <c r="AJ1141" s="26">
        <v>0.97552753152703198</v>
      </c>
      <c r="AK1141" s="26">
        <v>0.964748784440843</v>
      </c>
      <c r="AL1141" s="26">
        <v>0.97243035035880099</v>
      </c>
      <c r="AM1141" s="25">
        <v>0.99</v>
      </c>
      <c r="AN1141" s="30">
        <v>1</v>
      </c>
      <c r="AO1141" s="30">
        <v>1</v>
      </c>
      <c r="AP1141" s="30">
        <v>1</v>
      </c>
      <c r="AQ1141" s="30">
        <v>1</v>
      </c>
      <c r="AR1141" s="50">
        <v>7.2186152540827803E-2</v>
      </c>
      <c r="AS1141" s="34">
        <v>0</v>
      </c>
      <c r="AT1141" s="34">
        <v>4.7619047619047603E-2</v>
      </c>
      <c r="AU1141" s="34">
        <v>0</v>
      </c>
      <c r="AV1141" s="34">
        <v>0</v>
      </c>
      <c r="AW1141" s="10"/>
      <c r="AX1141" s="8"/>
    </row>
    <row r="1142" spans="1:50">
      <c r="A1142" s="7"/>
      <c r="B1142" s="10"/>
      <c r="C1142" s="45" t="s">
        <v>1100</v>
      </c>
      <c r="D1142" s="23" t="s">
        <v>25</v>
      </c>
      <c r="E1142" s="83" t="s">
        <v>1186</v>
      </c>
      <c r="F1142" s="83" t="s">
        <v>1186</v>
      </c>
      <c r="G1142" s="83" t="s">
        <v>1186</v>
      </c>
      <c r="H1142" s="83" t="s">
        <v>1186</v>
      </c>
      <c r="I1142" s="25">
        <v>0.9</v>
      </c>
      <c r="J1142" s="26">
        <v>0.98591549295774605</v>
      </c>
      <c r="K1142" s="26">
        <v>0.987179487179487</v>
      </c>
      <c r="L1142" s="27">
        <v>0.96923076923076901</v>
      </c>
      <c r="M1142" s="26">
        <v>0.94915254237288105</v>
      </c>
      <c r="N1142" s="28">
        <v>0.9</v>
      </c>
      <c r="O1142" s="26">
        <v>0.98906743940990505</v>
      </c>
      <c r="P1142" s="26">
        <v>0.9609375</v>
      </c>
      <c r="Q1142" s="26">
        <v>0.986411065275419</v>
      </c>
      <c r="R1142" s="26">
        <v>0.95833228682657301</v>
      </c>
      <c r="S1142" s="28">
        <v>0.9</v>
      </c>
      <c r="T1142" s="26">
        <v>0.93848788198103295</v>
      </c>
      <c r="U1142" s="26">
        <v>0.91324626865671599</v>
      </c>
      <c r="V1142" s="26">
        <v>0.93326862412035905</v>
      </c>
      <c r="W1142" s="26">
        <v>0.92367198292101005</v>
      </c>
      <c r="X1142" s="28">
        <v>0.92</v>
      </c>
      <c r="Y1142" s="28">
        <v>0</v>
      </c>
      <c r="Z1142" s="28">
        <v>0</v>
      </c>
      <c r="AA1142" s="28">
        <v>0</v>
      </c>
      <c r="AB1142" s="28">
        <v>0.5</v>
      </c>
      <c r="AC1142" s="28">
        <v>0.92</v>
      </c>
      <c r="AD1142" s="26">
        <v>0.99458728010825403</v>
      </c>
      <c r="AE1142" s="26">
        <v>0.99572039942938695</v>
      </c>
      <c r="AF1142" s="26">
        <v>0.99462090163934402</v>
      </c>
      <c r="AG1142" s="26">
        <v>0.995229637147932</v>
      </c>
      <c r="AH1142" s="28">
        <v>0.92</v>
      </c>
      <c r="AI1142" s="26">
        <v>0.98353746872119097</v>
      </c>
      <c r="AJ1142" s="26">
        <v>0.98857276119403004</v>
      </c>
      <c r="AK1142" s="26">
        <v>0.98495510798349895</v>
      </c>
      <c r="AL1142" s="26">
        <v>0.98304744204736705</v>
      </c>
      <c r="AM1142" s="25">
        <v>0.99</v>
      </c>
      <c r="AN1142" s="30">
        <v>1</v>
      </c>
      <c r="AO1142" s="30">
        <v>1</v>
      </c>
      <c r="AP1142" s="30">
        <v>1</v>
      </c>
      <c r="AQ1142" s="30">
        <v>1</v>
      </c>
      <c r="AR1142" s="50">
        <v>7.2186152540827803E-2</v>
      </c>
      <c r="AS1142" s="34">
        <v>0.15</v>
      </c>
      <c r="AT1142" s="34">
        <v>3.7037037037037E-2</v>
      </c>
      <c r="AU1142" s="34">
        <v>5.2631578947368397E-2</v>
      </c>
      <c r="AV1142" s="34">
        <v>6.4000000000000001E-2</v>
      </c>
      <c r="AW1142" s="10"/>
      <c r="AX1142" s="8"/>
    </row>
    <row r="1143" spans="1:50">
      <c r="A1143" s="7"/>
      <c r="B1143" s="10"/>
      <c r="C1143" s="45" t="s">
        <v>1100</v>
      </c>
      <c r="D1143" s="23" t="s">
        <v>25</v>
      </c>
      <c r="E1143" s="83" t="s">
        <v>1187</v>
      </c>
      <c r="F1143" s="83" t="s">
        <v>1187</v>
      </c>
      <c r="G1143" s="83" t="s">
        <v>1187</v>
      </c>
      <c r="H1143" s="83" t="s">
        <v>1187</v>
      </c>
      <c r="I1143" s="25">
        <v>0.9</v>
      </c>
      <c r="J1143" s="26">
        <v>0.87755102040816302</v>
      </c>
      <c r="K1143" s="26">
        <v>0.98</v>
      </c>
      <c r="L1143" s="27">
        <v>0.97499999999999998</v>
      </c>
      <c r="M1143" s="26">
        <v>0.91756272401433703</v>
      </c>
      <c r="N1143" s="28">
        <v>0.9</v>
      </c>
      <c r="O1143" s="26">
        <v>0.98831312017640605</v>
      </c>
      <c r="P1143" s="26">
        <v>0.98288690476190499</v>
      </c>
      <c r="Q1143" s="26">
        <v>0.98358821335322599</v>
      </c>
      <c r="R1143" s="26">
        <v>0.98373057837793898</v>
      </c>
      <c r="S1143" s="28">
        <v>0.9</v>
      </c>
      <c r="T1143" s="26">
        <v>0.95854465270121303</v>
      </c>
      <c r="U1143" s="26">
        <v>0.95033482142857095</v>
      </c>
      <c r="V1143" s="26">
        <v>0.95673256247668803</v>
      </c>
      <c r="W1143" s="26">
        <v>0.95627592939071004</v>
      </c>
      <c r="X1143" s="28">
        <v>0.92</v>
      </c>
      <c r="Y1143" s="28">
        <v>0.96747967479674801</v>
      </c>
      <c r="Z1143" s="28">
        <v>0.98198970840480304</v>
      </c>
      <c r="AA1143" s="28">
        <v>0.96742671009771997</v>
      </c>
      <c r="AB1143" s="28">
        <v>0.96869481457697904</v>
      </c>
      <c r="AC1143" s="28">
        <v>0.92</v>
      </c>
      <c r="AD1143" s="26">
        <v>0.99875505757858696</v>
      </c>
      <c r="AE1143" s="26">
        <v>0.99726815240833899</v>
      </c>
      <c r="AF1143" s="26">
        <v>0.99810198658737204</v>
      </c>
      <c r="AG1143" s="26">
        <v>0.99855624424364597</v>
      </c>
      <c r="AH1143" s="28">
        <v>0.92</v>
      </c>
      <c r="AI1143" s="26">
        <v>0.98456201214223804</v>
      </c>
      <c r="AJ1143" s="26">
        <v>0.98838275756649296</v>
      </c>
      <c r="AK1143" s="26">
        <v>0.97927858787413702</v>
      </c>
      <c r="AL1143" s="26">
        <v>0.98276813240305005</v>
      </c>
      <c r="AM1143" s="25">
        <v>0.99</v>
      </c>
      <c r="AN1143" s="30">
        <v>1</v>
      </c>
      <c r="AO1143" s="30">
        <v>1</v>
      </c>
      <c r="AP1143" s="30">
        <v>1</v>
      </c>
      <c r="AQ1143" s="30">
        <v>1</v>
      </c>
      <c r="AR1143" s="50">
        <v>7.2186152540827803E-2</v>
      </c>
      <c r="AS1143" s="34">
        <v>0</v>
      </c>
      <c r="AT1143" s="34">
        <v>0</v>
      </c>
      <c r="AU1143" s="34">
        <v>5.8823529411764698E-2</v>
      </c>
      <c r="AV1143" s="34">
        <v>-7.6923076923076901E-3</v>
      </c>
      <c r="AW1143" s="10"/>
      <c r="AX1143" s="8"/>
    </row>
    <row r="1144" spans="1:50">
      <c r="A1144" s="7"/>
      <c r="B1144" s="10"/>
      <c r="C1144" s="45" t="s">
        <v>1100</v>
      </c>
      <c r="D1144" s="23" t="s">
        <v>25</v>
      </c>
      <c r="E1144" s="83" t="s">
        <v>1188</v>
      </c>
      <c r="F1144" s="83" t="s">
        <v>1188</v>
      </c>
      <c r="G1144" s="83" t="s">
        <v>1188</v>
      </c>
      <c r="H1144" s="83" t="s">
        <v>1188</v>
      </c>
      <c r="I1144" s="25">
        <v>0.9</v>
      </c>
      <c r="J1144" s="26">
        <v>0.83333333333333304</v>
      </c>
      <c r="K1144" s="26">
        <v>0.91304347826086996</v>
      </c>
      <c r="L1144" s="27">
        <v>0.95</v>
      </c>
      <c r="M1144" s="26">
        <v>0.890625</v>
      </c>
      <c r="N1144" s="28">
        <v>0.9</v>
      </c>
      <c r="O1144" s="26">
        <v>0.97039638735574496</v>
      </c>
      <c r="P1144" s="26">
        <v>0.97389816003423202</v>
      </c>
      <c r="Q1144" s="26">
        <v>0.96704249783174301</v>
      </c>
      <c r="R1144" s="26">
        <v>0.93949846182530095</v>
      </c>
      <c r="S1144" s="28">
        <v>0.9</v>
      </c>
      <c r="T1144" s="26">
        <v>0.89111891620672401</v>
      </c>
      <c r="U1144" s="26">
        <v>0.905006418485237</v>
      </c>
      <c r="V1144" s="26">
        <v>0.92627927146574196</v>
      </c>
      <c r="W1144" s="26">
        <v>0.88943786706441696</v>
      </c>
      <c r="X1144" s="28">
        <v>0.92</v>
      </c>
      <c r="Y1144" s="28">
        <v>0.94392523364486003</v>
      </c>
      <c r="Z1144" s="28">
        <v>0.91681735985533497</v>
      </c>
      <c r="AA1144" s="28">
        <v>0.95306122448979602</v>
      </c>
      <c r="AB1144" s="28">
        <v>0.93149085247177899</v>
      </c>
      <c r="AC1144" s="28">
        <v>0.92</v>
      </c>
      <c r="AD1144" s="26">
        <v>0.99675982179019895</v>
      </c>
      <c r="AE1144" s="26">
        <v>0.99929453262786605</v>
      </c>
      <c r="AF1144" s="26">
        <v>0.99931444241316303</v>
      </c>
      <c r="AG1144" s="26">
        <v>0.99844286941580795</v>
      </c>
      <c r="AH1144" s="28">
        <v>0.92</v>
      </c>
      <c r="AI1144" s="26">
        <v>0.96034696406443598</v>
      </c>
      <c r="AJ1144" s="26">
        <v>0.96401384083045005</v>
      </c>
      <c r="AK1144" s="26">
        <v>0.97200243457090696</v>
      </c>
      <c r="AL1144" s="26">
        <v>0.96277075812274404</v>
      </c>
      <c r="AM1144" s="25">
        <v>0.99</v>
      </c>
      <c r="AN1144" s="30">
        <v>1</v>
      </c>
      <c r="AO1144" s="30">
        <v>1</v>
      </c>
      <c r="AP1144" s="30">
        <v>1</v>
      </c>
      <c r="AQ1144" s="30">
        <v>1</v>
      </c>
      <c r="AR1144" s="50">
        <v>7.2186152540827803E-2</v>
      </c>
      <c r="AS1144" s="34">
        <v>0</v>
      </c>
      <c r="AT1144" s="34">
        <v>0</v>
      </c>
      <c r="AU1144" s="34">
        <v>0.2</v>
      </c>
      <c r="AV1144" s="34">
        <v>3.3898305084745797E-2</v>
      </c>
      <c r="AW1144" s="10"/>
      <c r="AX1144" s="8"/>
    </row>
    <row r="1145" spans="1:50">
      <c r="A1145" s="7"/>
      <c r="B1145" s="10"/>
      <c r="C1145" s="45" t="s">
        <v>1100</v>
      </c>
      <c r="D1145" s="23" t="s">
        <v>25</v>
      </c>
      <c r="E1145" s="83" t="s">
        <v>1189</v>
      </c>
      <c r="F1145" s="83" t="s">
        <v>1189</v>
      </c>
      <c r="G1145" s="83" t="s">
        <v>1189</v>
      </c>
      <c r="H1145" s="83" t="s">
        <v>1189</v>
      </c>
      <c r="I1145" s="25">
        <v>0.9</v>
      </c>
      <c r="J1145" s="26">
        <v>1</v>
      </c>
      <c r="K1145" s="26">
        <v>1</v>
      </c>
      <c r="L1145" s="27">
        <v>1</v>
      </c>
      <c r="M1145" s="26">
        <v>0.97740112994350303</v>
      </c>
      <c r="N1145" s="28">
        <v>0.9</v>
      </c>
      <c r="O1145" s="26">
        <v>0.98441869756292399</v>
      </c>
      <c r="P1145" s="26">
        <v>0.98923611111111098</v>
      </c>
      <c r="Q1145" s="26">
        <v>0.98534542916957402</v>
      </c>
      <c r="R1145" s="26">
        <v>0.98735623429050201</v>
      </c>
      <c r="S1145" s="28">
        <v>0.9</v>
      </c>
      <c r="T1145" s="26">
        <v>0.94047143427886504</v>
      </c>
      <c r="U1145" s="26">
        <v>0.89756944444444398</v>
      </c>
      <c r="V1145" s="26">
        <v>0.94277739009071904</v>
      </c>
      <c r="W1145" s="26">
        <v>0.92863127427831504</v>
      </c>
      <c r="X1145" s="28">
        <v>0.92</v>
      </c>
      <c r="Y1145" s="28">
        <v>0.96875</v>
      </c>
      <c r="Z1145" s="28">
        <v>0.96703296703296704</v>
      </c>
      <c r="AA1145" s="28">
        <v>0.96417910447761201</v>
      </c>
      <c r="AB1145" s="28">
        <v>0.97025580011897705</v>
      </c>
      <c r="AC1145" s="28">
        <v>0.92</v>
      </c>
      <c r="AD1145" s="26">
        <v>1</v>
      </c>
      <c r="AE1145" s="26">
        <v>1</v>
      </c>
      <c r="AF1145" s="26">
        <v>0.99803149606299202</v>
      </c>
      <c r="AG1145" s="26">
        <v>0.99911543564794303</v>
      </c>
      <c r="AH1145" s="28">
        <v>0.92</v>
      </c>
      <c r="AI1145" s="26">
        <v>0.979436152570481</v>
      </c>
      <c r="AJ1145" s="26">
        <v>0.98059866962305997</v>
      </c>
      <c r="AK1145" s="26">
        <v>0.97479790775083197</v>
      </c>
      <c r="AL1145" s="26">
        <v>0.98108058941240694</v>
      </c>
      <c r="AM1145" s="25">
        <v>0.99</v>
      </c>
      <c r="AN1145" s="30">
        <v>1</v>
      </c>
      <c r="AO1145" s="30">
        <v>1</v>
      </c>
      <c r="AP1145" s="30">
        <v>1</v>
      </c>
      <c r="AQ1145" s="30">
        <v>1</v>
      </c>
      <c r="AR1145" s="50">
        <v>7.2186152540827803E-2</v>
      </c>
      <c r="AS1145" s="34">
        <v>0</v>
      </c>
      <c r="AT1145" s="34">
        <v>0.16666666666666699</v>
      </c>
      <c r="AU1145" s="34">
        <v>0</v>
      </c>
      <c r="AV1145" s="34">
        <v>2.7777777777777801E-2</v>
      </c>
      <c r="AW1145" s="10"/>
      <c r="AX1145" s="8"/>
    </row>
    <row r="1146" spans="1:50">
      <c r="A1146" s="7"/>
      <c r="B1146" s="10"/>
      <c r="C1146" s="45" t="s">
        <v>1100</v>
      </c>
      <c r="D1146" s="23" t="s">
        <v>25</v>
      </c>
      <c r="E1146" s="83" t="s">
        <v>1190</v>
      </c>
      <c r="F1146" s="83" t="s">
        <v>1190</v>
      </c>
      <c r="G1146" s="83" t="s">
        <v>1190</v>
      </c>
      <c r="H1146" s="83" t="s">
        <v>1190</v>
      </c>
      <c r="I1146" s="25">
        <v>0.9</v>
      </c>
      <c r="J1146" s="26">
        <v>0.90769230769230802</v>
      </c>
      <c r="K1146" s="26">
        <v>0.85294117647058798</v>
      </c>
      <c r="L1146" s="27">
        <v>0.87931034482758597</v>
      </c>
      <c r="M1146" s="26">
        <v>0.88800000000000001</v>
      </c>
      <c r="N1146" s="28">
        <v>0.9</v>
      </c>
      <c r="O1146" s="26">
        <v>0.92039503217118102</v>
      </c>
      <c r="P1146" s="26">
        <v>0.77478420088935396</v>
      </c>
      <c r="Q1146" s="26">
        <v>0.93965975544922897</v>
      </c>
      <c r="R1146" s="26">
        <v>0.89351772318616496</v>
      </c>
      <c r="S1146" s="28">
        <v>0.9</v>
      </c>
      <c r="T1146" s="26">
        <v>0.885530450396529</v>
      </c>
      <c r="U1146" s="26">
        <v>0.87405179178655501</v>
      </c>
      <c r="V1146" s="26">
        <v>0.92105263157894701</v>
      </c>
      <c r="W1146" s="26">
        <v>0.88870755311229499</v>
      </c>
      <c r="X1146" s="28">
        <v>0.92</v>
      </c>
      <c r="Y1146" s="28">
        <v>0.93469910371318798</v>
      </c>
      <c r="Z1146" s="28">
        <v>0.93144208037825105</v>
      </c>
      <c r="AA1146" s="28">
        <v>0.91618310767246902</v>
      </c>
      <c r="AB1146" s="28">
        <v>0.918490287681338</v>
      </c>
      <c r="AC1146" s="28">
        <v>0.92</v>
      </c>
      <c r="AD1146" s="26">
        <v>0.99759615384615397</v>
      </c>
      <c r="AE1146" s="26">
        <v>0.99894514767932496</v>
      </c>
      <c r="AF1146" s="26">
        <v>0.99853694220921696</v>
      </c>
      <c r="AG1146" s="26">
        <v>0.99819037278320699</v>
      </c>
      <c r="AH1146" s="28">
        <v>0.92</v>
      </c>
      <c r="AI1146" s="26">
        <v>0.96312916919345104</v>
      </c>
      <c r="AJ1146" s="26">
        <v>0.95791390019276101</v>
      </c>
      <c r="AK1146" s="26">
        <v>0.94560511951816295</v>
      </c>
      <c r="AL1146" s="26">
        <v>0.95044239567125699</v>
      </c>
      <c r="AM1146" s="25">
        <v>0.99</v>
      </c>
      <c r="AN1146" s="30">
        <v>1</v>
      </c>
      <c r="AO1146" s="30">
        <v>1</v>
      </c>
      <c r="AP1146" s="30">
        <v>1</v>
      </c>
      <c r="AQ1146" s="30">
        <v>1</v>
      </c>
      <c r="AR1146" s="50">
        <v>7.2186152540827803E-2</v>
      </c>
      <c r="AS1146" s="34">
        <v>0</v>
      </c>
      <c r="AT1146" s="34">
        <v>-5.7142857142857099E-2</v>
      </c>
      <c r="AU1146" s="34">
        <v>0</v>
      </c>
      <c r="AV1146" s="34">
        <v>-1.34529147982063E-2</v>
      </c>
      <c r="AW1146" s="10"/>
      <c r="AX1146" s="8"/>
    </row>
    <row r="1147" spans="1:50">
      <c r="A1147" s="7"/>
      <c r="B1147" s="10"/>
      <c r="C1147" s="45" t="s">
        <v>1100</v>
      </c>
      <c r="D1147" s="23" t="s">
        <v>25</v>
      </c>
      <c r="E1147" s="83" t="s">
        <v>1191</v>
      </c>
      <c r="F1147" s="83" t="s">
        <v>1191</v>
      </c>
      <c r="G1147" s="83" t="s">
        <v>1191</v>
      </c>
      <c r="H1147" s="83" t="s">
        <v>1191</v>
      </c>
      <c r="I1147" s="25">
        <v>0.9</v>
      </c>
      <c r="J1147" s="26">
        <v>0.9375</v>
      </c>
      <c r="K1147" s="26">
        <v>0.984615384615385</v>
      </c>
      <c r="L1147" s="27">
        <v>0.98076923076923095</v>
      </c>
      <c r="M1147" s="26">
        <v>0.96253602305475505</v>
      </c>
      <c r="N1147" s="28">
        <v>0.9</v>
      </c>
      <c r="O1147" s="26">
        <v>0.97491638795986602</v>
      </c>
      <c r="P1147" s="26">
        <v>0.98826003154021402</v>
      </c>
      <c r="Q1147" s="26">
        <v>0.98479215951334897</v>
      </c>
      <c r="R1147" s="26">
        <v>0.98546337817638296</v>
      </c>
      <c r="S1147" s="28">
        <v>0.9</v>
      </c>
      <c r="T1147" s="26">
        <v>0.95317725752508398</v>
      </c>
      <c r="U1147" s="26">
        <v>0.95619414753811105</v>
      </c>
      <c r="V1147" s="26">
        <v>0.94896924636701596</v>
      </c>
      <c r="W1147" s="26">
        <v>0.94637518684603905</v>
      </c>
      <c r="X1147" s="28">
        <v>0.92</v>
      </c>
      <c r="Y1147" s="28">
        <v>0.98183391003460196</v>
      </c>
      <c r="Z1147" s="28">
        <v>0.98100303951367795</v>
      </c>
      <c r="AA1147" s="28">
        <v>0.97737909516380606</v>
      </c>
      <c r="AB1147" s="28">
        <v>0.97866419294990703</v>
      </c>
      <c r="AC1147" s="28">
        <v>0.92</v>
      </c>
      <c r="AD1147" s="26">
        <v>0.998691442030882</v>
      </c>
      <c r="AE1147" s="26">
        <v>0.99426797229519903</v>
      </c>
      <c r="AF1147" s="26">
        <v>0.99744720352750105</v>
      </c>
      <c r="AG1147" s="26">
        <v>0.99216658007273895</v>
      </c>
      <c r="AH1147" s="28">
        <v>0.92</v>
      </c>
      <c r="AI1147" s="26">
        <v>0.98956228956228998</v>
      </c>
      <c r="AJ1147" s="26">
        <v>0.991171863875837</v>
      </c>
      <c r="AK1147" s="26">
        <v>0.98797736916548795</v>
      </c>
      <c r="AL1147" s="26">
        <v>0.98853445681612995</v>
      </c>
      <c r="AM1147" s="25">
        <v>0.99</v>
      </c>
      <c r="AN1147" s="30">
        <v>1</v>
      </c>
      <c r="AO1147" s="30">
        <v>1</v>
      </c>
      <c r="AP1147" s="30">
        <v>1</v>
      </c>
      <c r="AQ1147" s="30">
        <v>1</v>
      </c>
      <c r="AR1147" s="50">
        <v>7.2186152540827803E-2</v>
      </c>
      <c r="AS1147" s="34">
        <v>0</v>
      </c>
      <c r="AT1147" s="34">
        <v>8.3333333333333301E-2</v>
      </c>
      <c r="AU1147" s="34">
        <v>0</v>
      </c>
      <c r="AV1147" s="34">
        <v>4.1958041958042001E-2</v>
      </c>
      <c r="AW1147" s="10"/>
      <c r="AX1147" s="8"/>
    </row>
    <row r="1148" spans="1:50">
      <c r="A1148" s="7"/>
      <c r="B1148" s="10"/>
      <c r="C1148" s="45" t="s">
        <v>1100</v>
      </c>
      <c r="D1148" s="23" t="s">
        <v>25</v>
      </c>
      <c r="E1148" s="83" t="s">
        <v>1192</v>
      </c>
      <c r="F1148" s="83" t="s">
        <v>1192</v>
      </c>
      <c r="G1148" s="83" t="s">
        <v>1192</v>
      </c>
      <c r="H1148" s="83" t="s">
        <v>1192</v>
      </c>
      <c r="I1148" s="25">
        <v>0.9</v>
      </c>
      <c r="J1148" s="26">
        <v>0.87878787878787901</v>
      </c>
      <c r="K1148" s="26">
        <v>0.91428571428571404</v>
      </c>
      <c r="L1148" s="27">
        <v>0.84745762711864403</v>
      </c>
      <c r="M1148" s="26">
        <v>0.86149584487534603</v>
      </c>
      <c r="N1148" s="28">
        <v>0.9</v>
      </c>
      <c r="O1148" s="26">
        <v>0.94503950834064998</v>
      </c>
      <c r="P1148" s="26">
        <v>0.94245402663284705</v>
      </c>
      <c r="Q1148" s="26">
        <v>0.93890865954922897</v>
      </c>
      <c r="R1148" s="26">
        <v>0.93571857686402804</v>
      </c>
      <c r="S1148" s="28">
        <v>0.9</v>
      </c>
      <c r="T1148" s="26">
        <v>0.90008779631255498</v>
      </c>
      <c r="U1148" s="26">
        <v>0.90409004438807905</v>
      </c>
      <c r="V1148" s="26">
        <v>0.92586002372479204</v>
      </c>
      <c r="W1148" s="26">
        <v>0.89112876309992695</v>
      </c>
      <c r="X1148" s="28">
        <v>0.92</v>
      </c>
      <c r="Y1148" s="28">
        <v>0.948868398994132</v>
      </c>
      <c r="Z1148" s="28">
        <v>0.95702005730659001</v>
      </c>
      <c r="AA1148" s="28">
        <v>0.97088693297224105</v>
      </c>
      <c r="AB1148" s="28">
        <v>0.96237337192474703</v>
      </c>
      <c r="AC1148" s="28">
        <v>0.92</v>
      </c>
      <c r="AD1148" s="26">
        <v>0.99687499999999996</v>
      </c>
      <c r="AE1148" s="26">
        <v>0.99731182795698903</v>
      </c>
      <c r="AF1148" s="26">
        <v>0.99393326592517695</v>
      </c>
      <c r="AG1148" s="26">
        <v>0.997171390636726</v>
      </c>
      <c r="AH1148" s="28">
        <v>0.92</v>
      </c>
      <c r="AI1148" s="26">
        <v>0.97386759581881499</v>
      </c>
      <c r="AJ1148" s="26">
        <v>0.98078920041536899</v>
      </c>
      <c r="AK1148" s="26">
        <v>0.97917096308517204</v>
      </c>
      <c r="AL1148" s="26">
        <v>0.97892709915382903</v>
      </c>
      <c r="AM1148" s="25">
        <v>0.99</v>
      </c>
      <c r="AN1148" s="30">
        <v>1</v>
      </c>
      <c r="AO1148" s="30">
        <v>1</v>
      </c>
      <c r="AP1148" s="30">
        <v>1</v>
      </c>
      <c r="AQ1148" s="30">
        <v>1</v>
      </c>
      <c r="AR1148" s="50">
        <v>7.2186152540827803E-2</v>
      </c>
      <c r="AS1148" s="34">
        <v>-3.5714285714285698E-2</v>
      </c>
      <c r="AT1148" s="34">
        <v>0</v>
      </c>
      <c r="AU1148" s="34">
        <v>0.4</v>
      </c>
      <c r="AV1148" s="34">
        <v>4.5454545454545497E-2</v>
      </c>
      <c r="AW1148" s="10"/>
      <c r="AX1148" s="8"/>
    </row>
    <row r="1149" spans="1:50">
      <c r="A1149" s="7"/>
      <c r="B1149" s="10"/>
      <c r="C1149" s="45" t="s">
        <v>1100</v>
      </c>
      <c r="D1149" s="23" t="s">
        <v>25</v>
      </c>
      <c r="E1149" s="83" t="s">
        <v>1193</v>
      </c>
      <c r="F1149" s="83" t="s">
        <v>1193</v>
      </c>
      <c r="G1149" s="83" t="s">
        <v>1193</v>
      </c>
      <c r="H1149" s="83" t="s">
        <v>1193</v>
      </c>
      <c r="I1149" s="25">
        <v>0.9</v>
      </c>
      <c r="J1149" s="26">
        <v>0.97560975609756095</v>
      </c>
      <c r="K1149" s="26">
        <v>0.97674418604651203</v>
      </c>
      <c r="L1149" s="27">
        <v>0.94444444444444398</v>
      </c>
      <c r="M1149" s="26">
        <v>0.97033898305084698</v>
      </c>
      <c r="N1149" s="28">
        <v>0.9</v>
      </c>
      <c r="O1149" s="26">
        <v>0.99148838279273099</v>
      </c>
      <c r="P1149" s="26">
        <v>0.99004784688995195</v>
      </c>
      <c r="Q1149" s="26">
        <v>0.99198250728863002</v>
      </c>
      <c r="R1149" s="26">
        <v>0.99066822196300597</v>
      </c>
      <c r="S1149" s="28">
        <v>0.9</v>
      </c>
      <c r="T1149" s="26">
        <v>0.95675178283873896</v>
      </c>
      <c r="U1149" s="26">
        <v>0.95425837320574203</v>
      </c>
      <c r="V1149" s="26">
        <v>0.96246355685131202</v>
      </c>
      <c r="W1149" s="26">
        <v>0.95667388768538597</v>
      </c>
      <c r="X1149" s="28">
        <v>0.92</v>
      </c>
      <c r="Y1149" s="28">
        <v>0.98048327137546498</v>
      </c>
      <c r="Z1149" s="28">
        <v>0.98697318007662804</v>
      </c>
      <c r="AA1149" s="28">
        <v>0.98768689533860998</v>
      </c>
      <c r="AB1149" s="28">
        <v>0.98567041965199598</v>
      </c>
      <c r="AC1149" s="28">
        <v>0.92</v>
      </c>
      <c r="AD1149" s="26">
        <v>1</v>
      </c>
      <c r="AE1149" s="26">
        <v>0.99723374827109301</v>
      </c>
      <c r="AF1149" s="26">
        <v>1</v>
      </c>
      <c r="AG1149" s="26">
        <v>0.99911680282623105</v>
      </c>
      <c r="AH1149" s="28">
        <v>0.92</v>
      </c>
      <c r="AI1149" s="26">
        <v>0.98875161349806395</v>
      </c>
      <c r="AJ1149" s="26">
        <v>0.99372128637059698</v>
      </c>
      <c r="AK1149" s="26">
        <v>0.993302421432251</v>
      </c>
      <c r="AL1149" s="26">
        <v>0.99266749255030595</v>
      </c>
      <c r="AM1149" s="25">
        <v>0.99</v>
      </c>
      <c r="AN1149" s="30">
        <v>1</v>
      </c>
      <c r="AO1149" s="30">
        <v>1</v>
      </c>
      <c r="AP1149" s="30">
        <v>1</v>
      </c>
      <c r="AQ1149" s="30">
        <v>1</v>
      </c>
      <c r="AR1149" s="50">
        <v>7.2186152540827803E-2</v>
      </c>
      <c r="AS1149" s="34">
        <v>0</v>
      </c>
      <c r="AT1149" s="34">
        <v>0</v>
      </c>
      <c r="AU1149" s="34">
        <v>7.69230769230769E-2</v>
      </c>
      <c r="AV1149" s="34">
        <v>2.1052631578947399E-2</v>
      </c>
      <c r="AW1149" s="10"/>
      <c r="AX1149" s="8"/>
    </row>
    <row r="1150" spans="1:50">
      <c r="A1150" s="7"/>
      <c r="B1150" s="10"/>
      <c r="C1150" s="45" t="s">
        <v>1100</v>
      </c>
      <c r="D1150" s="23" t="s">
        <v>25</v>
      </c>
      <c r="E1150" s="83" t="s">
        <v>1194</v>
      </c>
      <c r="F1150" s="83" t="s">
        <v>1194</v>
      </c>
      <c r="G1150" s="83" t="s">
        <v>1194</v>
      </c>
      <c r="H1150" s="83" t="s">
        <v>1194</v>
      </c>
      <c r="I1150" s="25">
        <v>0.9</v>
      </c>
      <c r="J1150" s="26">
        <v>0.96153846153846201</v>
      </c>
      <c r="K1150" s="26">
        <v>0.96296296296296302</v>
      </c>
      <c r="L1150" s="27">
        <v>1</v>
      </c>
      <c r="M1150" s="26">
        <v>0.94117647058823495</v>
      </c>
      <c r="N1150" s="28">
        <v>0.9</v>
      </c>
      <c r="O1150" s="26">
        <v>0.95862607338017203</v>
      </c>
      <c r="P1150" s="26">
        <v>0.97915168943206299</v>
      </c>
      <c r="Q1150" s="26">
        <v>0.97865243495663801</v>
      </c>
      <c r="R1150" s="26">
        <v>0.97770401904899296</v>
      </c>
      <c r="S1150" s="28">
        <v>0.9</v>
      </c>
      <c r="T1150" s="26">
        <v>0.94535519125683098</v>
      </c>
      <c r="U1150" s="26">
        <v>0.932782171099928</v>
      </c>
      <c r="V1150" s="26">
        <v>0.95130086724482998</v>
      </c>
      <c r="W1150" s="26">
        <v>0.94537845443394197</v>
      </c>
      <c r="X1150" s="28">
        <v>0.92</v>
      </c>
      <c r="Y1150" s="28">
        <v>0.96434359805510494</v>
      </c>
      <c r="Z1150" s="28">
        <v>0.972622478386167</v>
      </c>
      <c r="AA1150" s="28">
        <v>0.96844993141289404</v>
      </c>
      <c r="AB1150" s="28">
        <v>0.96742165684145198</v>
      </c>
      <c r="AC1150" s="28">
        <v>0.92</v>
      </c>
      <c r="AD1150" s="26">
        <v>0.99847211611917497</v>
      </c>
      <c r="AE1150" s="26">
        <v>0.99929128277817103</v>
      </c>
      <c r="AF1150" s="26">
        <v>0.99003322259136195</v>
      </c>
      <c r="AG1150" s="26">
        <v>0.99576659038901605</v>
      </c>
      <c r="AH1150" s="28">
        <v>0.92</v>
      </c>
      <c r="AI1150" s="26">
        <v>0.97829506134004396</v>
      </c>
      <c r="AJ1150" s="26">
        <v>0.98302646720368203</v>
      </c>
      <c r="AK1150" s="26">
        <v>0.97756841633019298</v>
      </c>
      <c r="AL1150" s="26">
        <v>0.98278990809576805</v>
      </c>
      <c r="AM1150" s="25">
        <v>0.99</v>
      </c>
      <c r="AN1150" s="30">
        <v>1</v>
      </c>
      <c r="AO1150" s="30">
        <v>1</v>
      </c>
      <c r="AP1150" s="30">
        <v>1</v>
      </c>
      <c r="AQ1150" s="30">
        <v>1</v>
      </c>
      <c r="AR1150" s="50">
        <v>7.2186152540827803E-2</v>
      </c>
      <c r="AS1150" s="34">
        <v>0.1</v>
      </c>
      <c r="AT1150" s="34">
        <v>0</v>
      </c>
      <c r="AU1150" s="34">
        <v>0</v>
      </c>
      <c r="AV1150" s="34">
        <v>1.8181818181818198E-2</v>
      </c>
      <c r="AW1150" s="10"/>
      <c r="AX1150" s="8"/>
    </row>
    <row r="1151" spans="1:50">
      <c r="A1151" s="7"/>
      <c r="B1151" s="10"/>
      <c r="C1151" s="45" t="s">
        <v>1100</v>
      </c>
      <c r="D1151" s="23" t="s">
        <v>25</v>
      </c>
      <c r="E1151" s="83" t="s">
        <v>1195</v>
      </c>
      <c r="F1151" s="83" t="s">
        <v>1195</v>
      </c>
      <c r="G1151" s="83" t="s">
        <v>1195</v>
      </c>
      <c r="H1151" s="83" t="s">
        <v>1195</v>
      </c>
      <c r="I1151" s="25">
        <v>0.9</v>
      </c>
      <c r="J1151" s="26">
        <v>1</v>
      </c>
      <c r="K1151" s="26">
        <v>0.97826086956521696</v>
      </c>
      <c r="L1151" s="27">
        <v>0.97297297297297303</v>
      </c>
      <c r="M1151" s="26">
        <v>0.98155737704918</v>
      </c>
      <c r="N1151" s="28">
        <v>0.9</v>
      </c>
      <c r="O1151" s="26">
        <v>0.94449936449654004</v>
      </c>
      <c r="P1151" s="26">
        <v>0.96116033499211095</v>
      </c>
      <c r="Q1151" s="26">
        <v>0.97786865528025002</v>
      </c>
      <c r="R1151" s="26">
        <v>0.95743440233236199</v>
      </c>
      <c r="S1151" s="28">
        <v>0.9</v>
      </c>
      <c r="T1151" s="26">
        <v>0.93306030221720104</v>
      </c>
      <c r="U1151" s="26">
        <v>0.93652142250273096</v>
      </c>
      <c r="V1151" s="26">
        <v>0.93721433726244896</v>
      </c>
      <c r="W1151" s="26">
        <v>0.92218393851046898</v>
      </c>
      <c r="X1151" s="28">
        <v>0.92</v>
      </c>
      <c r="Y1151" s="28">
        <v>0.96066481994459796</v>
      </c>
      <c r="Z1151" s="28">
        <v>0.961852861035422</v>
      </c>
      <c r="AA1151" s="28">
        <v>0.96436781609195399</v>
      </c>
      <c r="AB1151" s="28">
        <v>0.95592819520584804</v>
      </c>
      <c r="AC1151" s="28">
        <v>0.92</v>
      </c>
      <c r="AD1151" s="26">
        <v>0.98612074947952799</v>
      </c>
      <c r="AE1151" s="26">
        <v>0.99242424242424199</v>
      </c>
      <c r="AF1151" s="26">
        <v>0.99533883112226595</v>
      </c>
      <c r="AG1151" s="26">
        <v>0.99255279034690802</v>
      </c>
      <c r="AH1151" s="28">
        <v>0.92</v>
      </c>
      <c r="AI1151" s="26">
        <v>0.97434166103983799</v>
      </c>
      <c r="AJ1151" s="26">
        <v>0.97756601151479094</v>
      </c>
      <c r="AK1151" s="26">
        <v>0.97201967101916198</v>
      </c>
      <c r="AL1151" s="26">
        <v>0.97093530074628498</v>
      </c>
      <c r="AM1151" s="25">
        <v>0.99</v>
      </c>
      <c r="AN1151" s="30">
        <v>1</v>
      </c>
      <c r="AO1151" s="30">
        <v>1</v>
      </c>
      <c r="AP1151" s="30">
        <v>1</v>
      </c>
      <c r="AQ1151" s="30">
        <v>1</v>
      </c>
      <c r="AR1151" s="50">
        <v>7.2186152540827803E-2</v>
      </c>
      <c r="AS1151" s="34">
        <v>3.03030303030303E-2</v>
      </c>
      <c r="AT1151" s="34">
        <v>8.1081081081081099E-2</v>
      </c>
      <c r="AU1151" s="34">
        <v>0</v>
      </c>
      <c r="AV1151" s="34">
        <v>0.06</v>
      </c>
      <c r="AW1151" s="10"/>
      <c r="AX1151" s="8"/>
    </row>
    <row r="1152" spans="1:50">
      <c r="A1152" s="7"/>
      <c r="B1152" s="10"/>
      <c r="C1152" s="45" t="s">
        <v>1100</v>
      </c>
      <c r="D1152" s="23" t="s">
        <v>25</v>
      </c>
      <c r="E1152" s="83" t="s">
        <v>1196</v>
      </c>
      <c r="F1152" s="83" t="s">
        <v>1196</v>
      </c>
      <c r="G1152" s="83" t="s">
        <v>1196</v>
      </c>
      <c r="H1152" s="83" t="s">
        <v>1196</v>
      </c>
      <c r="I1152" s="25">
        <v>0.9</v>
      </c>
      <c r="J1152" s="26">
        <v>0.93650793650793696</v>
      </c>
      <c r="K1152" s="26">
        <v>0.939393939393939</v>
      </c>
      <c r="L1152" s="27">
        <v>0.91836734693877597</v>
      </c>
      <c r="M1152" s="26">
        <v>0.92899408284023699</v>
      </c>
      <c r="N1152" s="28">
        <v>0.9</v>
      </c>
      <c r="O1152" s="26">
        <v>0.94451962110960797</v>
      </c>
      <c r="P1152" s="26">
        <v>0.894813144329897</v>
      </c>
      <c r="Q1152" s="26">
        <v>0.92983018263377104</v>
      </c>
      <c r="R1152" s="26">
        <v>0.93031039706866803</v>
      </c>
      <c r="S1152" s="28">
        <v>0.9</v>
      </c>
      <c r="T1152" s="26">
        <v>0.89039242219215198</v>
      </c>
      <c r="U1152" s="26">
        <v>0.86211340206185605</v>
      </c>
      <c r="V1152" s="26">
        <v>0.90003204101249601</v>
      </c>
      <c r="W1152" s="26">
        <v>0.86890039812563902</v>
      </c>
      <c r="X1152" s="28">
        <v>0.92</v>
      </c>
      <c r="Y1152" s="28">
        <v>0.93496557000765101</v>
      </c>
      <c r="Z1152" s="28">
        <v>0.88478915662650603</v>
      </c>
      <c r="AA1152" s="28">
        <v>0.92125984251968496</v>
      </c>
      <c r="AB1152" s="28">
        <v>0.90412887081639004</v>
      </c>
      <c r="AC1152" s="28">
        <v>0.92</v>
      </c>
      <c r="AD1152" s="26">
        <v>1</v>
      </c>
      <c r="AE1152" s="26">
        <v>0.984994640943194</v>
      </c>
      <c r="AF1152" s="26">
        <v>0.98877455565949501</v>
      </c>
      <c r="AG1152" s="26">
        <v>0.98923428879020303</v>
      </c>
      <c r="AH1152" s="28">
        <v>0.92</v>
      </c>
      <c r="AI1152" s="26">
        <v>0.968672839506173</v>
      </c>
      <c r="AJ1152" s="26">
        <v>0.96311040339702803</v>
      </c>
      <c r="AK1152" s="26">
        <v>0.96014575267592805</v>
      </c>
      <c r="AL1152" s="26">
        <v>0.96454553296719103</v>
      </c>
      <c r="AM1152" s="25">
        <v>0.99</v>
      </c>
      <c r="AN1152" s="30">
        <v>1</v>
      </c>
      <c r="AO1152" s="30">
        <v>1</v>
      </c>
      <c r="AP1152" s="30">
        <v>1</v>
      </c>
      <c r="AQ1152" s="30">
        <v>1</v>
      </c>
      <c r="AR1152" s="50">
        <v>7.2186152540827803E-2</v>
      </c>
      <c r="AS1152" s="34">
        <v>0</v>
      </c>
      <c r="AT1152" s="34">
        <v>3.7037037037037E-2</v>
      </c>
      <c r="AU1152" s="34">
        <v>0</v>
      </c>
      <c r="AV1152" s="34">
        <v>1.6666666666666701E-2</v>
      </c>
      <c r="AW1152" s="10"/>
      <c r="AX1152" s="8"/>
    </row>
    <row r="1153" spans="1:50">
      <c r="A1153" s="7"/>
      <c r="B1153" s="10"/>
      <c r="C1153" s="45" t="s">
        <v>1100</v>
      </c>
      <c r="D1153" s="23" t="s">
        <v>25</v>
      </c>
      <c r="E1153" s="83" t="s">
        <v>1197</v>
      </c>
      <c r="F1153" s="83" t="s">
        <v>1197</v>
      </c>
      <c r="G1153" s="83" t="s">
        <v>1197</v>
      </c>
      <c r="H1153" s="83" t="s">
        <v>1197</v>
      </c>
      <c r="I1153" s="25">
        <v>0.9</v>
      </c>
      <c r="J1153" s="26">
        <v>0.95744680851063801</v>
      </c>
      <c r="K1153" s="26">
        <v>0.95833333333333304</v>
      </c>
      <c r="L1153" s="27">
        <v>0.92857142857142905</v>
      </c>
      <c r="M1153" s="26">
        <v>0.94696969696969702</v>
      </c>
      <c r="N1153" s="28">
        <v>0.9</v>
      </c>
      <c r="O1153" s="26">
        <v>0.91597692500627004</v>
      </c>
      <c r="P1153" s="26">
        <v>0.93139431616340995</v>
      </c>
      <c r="Q1153" s="26">
        <v>0.89858490566037696</v>
      </c>
      <c r="R1153" s="26">
        <v>0.913062180375663</v>
      </c>
      <c r="S1153" s="28">
        <v>0.9</v>
      </c>
      <c r="T1153" s="26">
        <v>0.87108101329320298</v>
      </c>
      <c r="U1153" s="26">
        <v>0.89320603907637697</v>
      </c>
      <c r="V1153" s="26">
        <v>0.84386792452830195</v>
      </c>
      <c r="W1153" s="26">
        <v>0.87062084787076399</v>
      </c>
      <c r="X1153" s="28">
        <v>0.92</v>
      </c>
      <c r="Y1153" s="28">
        <v>0.93030009680542103</v>
      </c>
      <c r="Z1153" s="28">
        <v>0.94917127071823204</v>
      </c>
      <c r="AA1153" s="28">
        <v>0.93964716805942405</v>
      </c>
      <c r="AB1153" s="28">
        <v>0.94400615739849902</v>
      </c>
      <c r="AC1153" s="28">
        <v>0.92</v>
      </c>
      <c r="AD1153" s="26">
        <v>0.99115044247787598</v>
      </c>
      <c r="AE1153" s="26">
        <v>0.99454545454545495</v>
      </c>
      <c r="AF1153" s="26">
        <v>0.99779735682819404</v>
      </c>
      <c r="AG1153" s="26">
        <v>0.99559183673469398</v>
      </c>
      <c r="AH1153" s="28">
        <v>0.92</v>
      </c>
      <c r="AI1153" s="26">
        <v>0.95059760956175299</v>
      </c>
      <c r="AJ1153" s="26">
        <v>0.97208356442965405</v>
      </c>
      <c r="AK1153" s="26">
        <v>0.96183922427275603</v>
      </c>
      <c r="AL1153" s="26">
        <v>0.96627105666156199</v>
      </c>
      <c r="AM1153" s="25">
        <v>0.99</v>
      </c>
      <c r="AN1153" s="30">
        <v>1</v>
      </c>
      <c r="AO1153" s="30">
        <v>1</v>
      </c>
      <c r="AP1153" s="30">
        <v>1</v>
      </c>
      <c r="AQ1153" s="30">
        <v>1</v>
      </c>
      <c r="AR1153" s="50">
        <v>7.2186152540827803E-2</v>
      </c>
      <c r="AS1153" s="34">
        <v>0</v>
      </c>
      <c r="AT1153" s="34">
        <v>0</v>
      </c>
      <c r="AU1153" s="34">
        <v>0.11111111111111099</v>
      </c>
      <c r="AV1153" s="34">
        <v>1.38888888888889E-2</v>
      </c>
      <c r="AW1153" s="10"/>
      <c r="AX1153" s="8"/>
    </row>
    <row r="1154" spans="1:50">
      <c r="A1154" s="7"/>
      <c r="B1154" s="10"/>
      <c r="C1154" s="45" t="s">
        <v>1100</v>
      </c>
      <c r="D1154" s="23" t="s">
        <v>25</v>
      </c>
      <c r="E1154" s="83" t="s">
        <v>1198</v>
      </c>
      <c r="F1154" s="83" t="s">
        <v>1198</v>
      </c>
      <c r="G1154" s="83" t="s">
        <v>1198</v>
      </c>
      <c r="H1154" s="83" t="s">
        <v>1198</v>
      </c>
      <c r="I1154" s="25">
        <v>0.9</v>
      </c>
      <c r="J1154" s="26">
        <v>0.96923076923076901</v>
      </c>
      <c r="K1154" s="26">
        <v>1</v>
      </c>
      <c r="L1154" s="27">
        <v>1</v>
      </c>
      <c r="M1154" s="26">
        <v>0.97837837837837804</v>
      </c>
      <c r="N1154" s="28">
        <v>0.9</v>
      </c>
      <c r="O1154" s="26">
        <v>0.94855930705320801</v>
      </c>
      <c r="P1154" s="26">
        <v>0.94556602362793496</v>
      </c>
      <c r="Q1154" s="26">
        <v>0.96684923609109297</v>
      </c>
      <c r="R1154" s="26">
        <v>0.95602668548335401</v>
      </c>
      <c r="S1154" s="28">
        <v>0.9</v>
      </c>
      <c r="T1154" s="26">
        <v>0.88333038713098799</v>
      </c>
      <c r="U1154" s="26">
        <v>0.85912965455361101</v>
      </c>
      <c r="V1154" s="26">
        <v>0.91207840876333202</v>
      </c>
      <c r="W1154" s="26">
        <v>0.885528257104368</v>
      </c>
      <c r="X1154" s="28">
        <v>0.92</v>
      </c>
      <c r="Y1154" s="28">
        <v>0.94150417827298005</v>
      </c>
      <c r="Z1154" s="28">
        <v>0.93139841688654401</v>
      </c>
      <c r="AA1154" s="28">
        <v>0.92967741935483905</v>
      </c>
      <c r="AB1154" s="28">
        <v>0.92665356908971797</v>
      </c>
      <c r="AC1154" s="28">
        <v>0.92</v>
      </c>
      <c r="AD1154" s="26">
        <v>0.99303135888501703</v>
      </c>
      <c r="AE1154" s="26">
        <v>0.99462365591397806</v>
      </c>
      <c r="AF1154" s="26">
        <v>0.99248120300751896</v>
      </c>
      <c r="AG1154" s="26">
        <v>0.99392423159399601</v>
      </c>
      <c r="AH1154" s="28">
        <v>0.92</v>
      </c>
      <c r="AI1154" s="26">
        <v>0.96574087128154495</v>
      </c>
      <c r="AJ1154" s="26">
        <v>0.96696330610752201</v>
      </c>
      <c r="AK1154" s="26">
        <v>0.95916334661354596</v>
      </c>
      <c r="AL1154" s="26">
        <v>0.96619863454849897</v>
      </c>
      <c r="AM1154" s="25">
        <v>0.99</v>
      </c>
      <c r="AN1154" s="30">
        <v>1</v>
      </c>
      <c r="AO1154" s="30">
        <v>1</v>
      </c>
      <c r="AP1154" s="30">
        <v>1</v>
      </c>
      <c r="AQ1154" s="30">
        <v>1</v>
      </c>
      <c r="AR1154" s="50">
        <v>7.2186152540827803E-2</v>
      </c>
      <c r="AS1154" s="34">
        <v>-4.1666666666666699E-2</v>
      </c>
      <c r="AT1154" s="34">
        <v>0</v>
      </c>
      <c r="AU1154" s="34">
        <v>6.25E-2</v>
      </c>
      <c r="AV1154" s="34">
        <v>0</v>
      </c>
      <c r="AW1154" s="10"/>
      <c r="AX1154" s="8"/>
    </row>
    <row r="1155" spans="1:50">
      <c r="A1155" s="7"/>
      <c r="B1155" s="10"/>
      <c r="C1155" s="45" t="s">
        <v>1100</v>
      </c>
      <c r="D1155" s="23" t="s">
        <v>25</v>
      </c>
      <c r="E1155" s="83" t="s">
        <v>1199</v>
      </c>
      <c r="F1155" s="83" t="s">
        <v>1199</v>
      </c>
      <c r="G1155" s="83" t="s">
        <v>1199</v>
      </c>
      <c r="H1155" s="83" t="s">
        <v>1199</v>
      </c>
      <c r="I1155" s="25">
        <v>0.9</v>
      </c>
      <c r="J1155" s="26">
        <v>0.95652173913043503</v>
      </c>
      <c r="K1155" s="26">
        <v>0.97826086956521696</v>
      </c>
      <c r="L1155" s="27">
        <v>0.94594594594594605</v>
      </c>
      <c r="M1155" s="26">
        <v>0.96850393700787396</v>
      </c>
      <c r="N1155" s="28">
        <v>0.9</v>
      </c>
      <c r="O1155" s="26">
        <v>0.97191610380376803</v>
      </c>
      <c r="P1155" s="26">
        <v>0.98339483394833904</v>
      </c>
      <c r="Q1155" s="26">
        <v>0.98991541964866603</v>
      </c>
      <c r="R1155" s="26">
        <v>0.98283029098138397</v>
      </c>
      <c r="S1155" s="28">
        <v>0.9</v>
      </c>
      <c r="T1155" s="26">
        <v>0.90472804834696097</v>
      </c>
      <c r="U1155" s="26">
        <v>0.89003690036900396</v>
      </c>
      <c r="V1155" s="26">
        <v>0.931034482758621</v>
      </c>
      <c r="W1155" s="26">
        <v>0.90601843484547295</v>
      </c>
      <c r="X1155" s="28">
        <v>0.92</v>
      </c>
      <c r="Y1155" s="28">
        <v>0</v>
      </c>
      <c r="Z1155" s="28">
        <v>0</v>
      </c>
      <c r="AA1155" s="28">
        <v>0</v>
      </c>
      <c r="AB1155" s="28">
        <v>0</v>
      </c>
      <c r="AC1155" s="28">
        <v>0.92</v>
      </c>
      <c r="AD1155" s="26">
        <v>0.99683877766069595</v>
      </c>
      <c r="AE1155" s="26">
        <v>1</v>
      </c>
      <c r="AF1155" s="26">
        <v>0.999386503067485</v>
      </c>
      <c r="AG1155" s="26">
        <v>0.998469908194492</v>
      </c>
      <c r="AH1155" s="28">
        <v>0.92</v>
      </c>
      <c r="AI1155" s="26">
        <v>0.964641080312722</v>
      </c>
      <c r="AJ1155" s="26">
        <v>0.97527675276752801</v>
      </c>
      <c r="AK1155" s="26">
        <v>0.97462589459987004</v>
      </c>
      <c r="AL1155" s="26">
        <v>0.97621715401019304</v>
      </c>
      <c r="AM1155" s="25">
        <v>0.99</v>
      </c>
      <c r="AN1155" s="30">
        <v>1</v>
      </c>
      <c r="AO1155" s="30">
        <v>1</v>
      </c>
      <c r="AP1155" s="30">
        <v>1</v>
      </c>
      <c r="AQ1155" s="30">
        <v>1</v>
      </c>
      <c r="AR1155" s="50">
        <v>7.2186152540827803E-2</v>
      </c>
      <c r="AS1155" s="34">
        <v>0</v>
      </c>
      <c r="AT1155" s="34">
        <v>0</v>
      </c>
      <c r="AU1155" s="34">
        <v>7.1428571428571397E-2</v>
      </c>
      <c r="AV1155" s="34">
        <v>7.3529411764705899E-3</v>
      </c>
      <c r="AW1155" s="10"/>
      <c r="AX1155" s="8"/>
    </row>
    <row r="1156" spans="1:50">
      <c r="A1156" s="7"/>
      <c r="B1156" s="10"/>
      <c r="C1156" s="45" t="s">
        <v>1100</v>
      </c>
      <c r="D1156" s="23" t="s">
        <v>25</v>
      </c>
      <c r="E1156" s="83" t="s">
        <v>1200</v>
      </c>
      <c r="F1156" s="83" t="s">
        <v>1200</v>
      </c>
      <c r="G1156" s="83" t="s">
        <v>1200</v>
      </c>
      <c r="H1156" s="83" t="s">
        <v>1200</v>
      </c>
      <c r="I1156" s="25">
        <v>0.9</v>
      </c>
      <c r="J1156" s="26">
        <v>0.79310344827586199</v>
      </c>
      <c r="K1156" s="26">
        <v>0.88461538461538503</v>
      </c>
      <c r="L1156" s="27">
        <v>0.88</v>
      </c>
      <c r="M1156" s="26">
        <v>0.88961038961038996</v>
      </c>
      <c r="N1156" s="28">
        <v>0.9</v>
      </c>
      <c r="O1156" s="26">
        <v>0.974907749077491</v>
      </c>
      <c r="P1156" s="26">
        <v>0.97155688622754499</v>
      </c>
      <c r="Q1156" s="26">
        <v>0.94302848575712095</v>
      </c>
      <c r="R1156" s="26">
        <v>0.97638634978671501</v>
      </c>
      <c r="S1156" s="28">
        <v>0.9</v>
      </c>
      <c r="T1156" s="26">
        <v>0.82841328413284099</v>
      </c>
      <c r="U1156" s="26">
        <v>0.77058383233532901</v>
      </c>
      <c r="V1156" s="26">
        <v>0.88455772113942999</v>
      </c>
      <c r="W1156" s="26">
        <v>0.83577087141986595</v>
      </c>
      <c r="X1156" s="28">
        <v>0.92</v>
      </c>
      <c r="Y1156" s="28">
        <v>0</v>
      </c>
      <c r="Z1156" s="28">
        <v>0</v>
      </c>
      <c r="AA1156" s="28">
        <v>0</v>
      </c>
      <c r="AB1156" s="28">
        <v>0</v>
      </c>
      <c r="AC1156" s="28">
        <v>0.92</v>
      </c>
      <c r="AD1156" s="26">
        <v>1</v>
      </c>
      <c r="AE1156" s="26">
        <v>0.99277978339350204</v>
      </c>
      <c r="AF1156" s="26">
        <v>0.94982078853046603</v>
      </c>
      <c r="AG1156" s="26">
        <v>0.98969072164948502</v>
      </c>
      <c r="AH1156" s="28">
        <v>0.92</v>
      </c>
      <c r="AI1156" s="26">
        <v>0.95353982300884998</v>
      </c>
      <c r="AJ1156" s="26">
        <v>0.96110695587135397</v>
      </c>
      <c r="AK1156" s="26">
        <v>0.96476761619190399</v>
      </c>
      <c r="AL1156" s="26">
        <v>0.96116356990557394</v>
      </c>
      <c r="AM1156" s="25">
        <v>0.99</v>
      </c>
      <c r="AN1156" s="30">
        <v>1</v>
      </c>
      <c r="AO1156" s="30">
        <v>1</v>
      </c>
      <c r="AP1156" s="30">
        <v>1</v>
      </c>
      <c r="AQ1156" s="30">
        <v>1</v>
      </c>
      <c r="AR1156" s="50">
        <v>7.2186152540827803E-2</v>
      </c>
      <c r="AS1156" s="34">
        <v>0.28571428571428598</v>
      </c>
      <c r="AT1156" s="34">
        <v>0</v>
      </c>
      <c r="AU1156" s="34">
        <v>0.25</v>
      </c>
      <c r="AV1156" s="34">
        <v>0.1</v>
      </c>
      <c r="AW1156" s="10"/>
      <c r="AX1156" s="8"/>
    </row>
    <row r="1157" spans="1:50">
      <c r="A1157" s="7"/>
      <c r="B1157" s="10"/>
      <c r="C1157" s="45" t="s">
        <v>1100</v>
      </c>
      <c r="D1157" s="23" t="s">
        <v>25</v>
      </c>
      <c r="E1157" s="83" t="s">
        <v>1201</v>
      </c>
      <c r="F1157" s="83" t="s">
        <v>1201</v>
      </c>
      <c r="G1157" s="83" t="s">
        <v>1201</v>
      </c>
      <c r="H1157" s="83" t="s">
        <v>1201</v>
      </c>
      <c r="I1157" s="25">
        <v>0.9</v>
      </c>
      <c r="J1157" s="26">
        <v>0.96969696969696995</v>
      </c>
      <c r="K1157" s="26">
        <v>0.96969696969696995</v>
      </c>
      <c r="L1157" s="27">
        <v>0.92</v>
      </c>
      <c r="M1157" s="26">
        <v>0.93258426966292096</v>
      </c>
      <c r="N1157" s="28">
        <v>0.9</v>
      </c>
      <c r="O1157" s="26">
        <v>0.984406438631791</v>
      </c>
      <c r="P1157" s="26">
        <v>0.98098859315589304</v>
      </c>
      <c r="Q1157" s="26">
        <v>0.98689384010484904</v>
      </c>
      <c r="R1157" s="26">
        <v>0.82583197579706802</v>
      </c>
      <c r="S1157" s="28">
        <v>0.9</v>
      </c>
      <c r="T1157" s="26">
        <v>0.80005030181086501</v>
      </c>
      <c r="U1157" s="26">
        <v>0.83222433460076095</v>
      </c>
      <c r="V1157" s="26">
        <v>0.78156400174748797</v>
      </c>
      <c r="W1157" s="26">
        <v>0.79860367698394197</v>
      </c>
      <c r="X1157" s="28">
        <v>0.92</v>
      </c>
      <c r="Y1157" s="28">
        <v>0</v>
      </c>
      <c r="Z1157" s="28">
        <v>0</v>
      </c>
      <c r="AA1157" s="28">
        <v>0</v>
      </c>
      <c r="AB1157" s="28">
        <v>0</v>
      </c>
      <c r="AC1157" s="28">
        <v>0.92</v>
      </c>
      <c r="AD1157" s="26">
        <v>1</v>
      </c>
      <c r="AE1157" s="26">
        <v>1</v>
      </c>
      <c r="AF1157" s="26">
        <v>1</v>
      </c>
      <c r="AG1157" s="26">
        <v>1</v>
      </c>
      <c r="AH1157" s="28">
        <v>0.92</v>
      </c>
      <c r="AI1157" s="26">
        <v>0.94494720965309198</v>
      </c>
      <c r="AJ1157" s="26">
        <v>0.96104513064133001</v>
      </c>
      <c r="AK1157" s="26">
        <v>0.96505024027959796</v>
      </c>
      <c r="AL1157" s="26">
        <v>0.96519149332216503</v>
      </c>
      <c r="AM1157" s="25">
        <v>0.99</v>
      </c>
      <c r="AN1157" s="30">
        <v>1</v>
      </c>
      <c r="AO1157" s="30">
        <v>1</v>
      </c>
      <c r="AP1157" s="30">
        <v>1</v>
      </c>
      <c r="AQ1157" s="30">
        <v>1</v>
      </c>
      <c r="AR1157" s="50">
        <v>7.2186152540827803E-2</v>
      </c>
      <c r="AS1157" s="34">
        <v>0</v>
      </c>
      <c r="AT1157" s="34">
        <v>0.15384615384615399</v>
      </c>
      <c r="AU1157" s="34">
        <v>0.22222222222222199</v>
      </c>
      <c r="AV1157" s="34">
        <v>5.8823529411764698E-2</v>
      </c>
      <c r="AW1157" s="10"/>
      <c r="AX1157" s="8"/>
    </row>
    <row r="1158" spans="1:50">
      <c r="A1158" s="7"/>
      <c r="B1158" s="10"/>
      <c r="C1158" s="45" t="s">
        <v>1100</v>
      </c>
      <c r="D1158" s="23" t="s">
        <v>25</v>
      </c>
      <c r="E1158" s="83" t="s">
        <v>1202</v>
      </c>
      <c r="F1158" s="83" t="s">
        <v>1202</v>
      </c>
      <c r="G1158" s="83" t="s">
        <v>1202</v>
      </c>
      <c r="H1158" s="83" t="s">
        <v>1202</v>
      </c>
      <c r="I1158" s="25">
        <v>0.9</v>
      </c>
      <c r="J1158" s="26">
        <v>0.88888888888888895</v>
      </c>
      <c r="K1158" s="26">
        <v>0.97297297297297303</v>
      </c>
      <c r="L1158" s="27">
        <v>0.92857142857142905</v>
      </c>
      <c r="M1158" s="26">
        <v>0.91326530612244905</v>
      </c>
      <c r="N1158" s="28">
        <v>0.9</v>
      </c>
      <c r="O1158" s="26">
        <v>0.92484548825710799</v>
      </c>
      <c r="P1158" s="26">
        <v>0.96241152062484703</v>
      </c>
      <c r="Q1158" s="26">
        <v>0.99105040037682501</v>
      </c>
      <c r="R1158" s="26">
        <v>0.957273499575234</v>
      </c>
      <c r="S1158" s="28">
        <v>0.9</v>
      </c>
      <c r="T1158" s="26">
        <v>0.72484548825710804</v>
      </c>
      <c r="U1158" s="26">
        <v>0.75787161337564102</v>
      </c>
      <c r="V1158" s="26">
        <v>0.77484691474328804</v>
      </c>
      <c r="W1158" s="26">
        <v>0.72470141422217804</v>
      </c>
      <c r="X1158" s="28">
        <v>0.92</v>
      </c>
      <c r="Y1158" s="28">
        <v>0</v>
      </c>
      <c r="Z1158" s="28">
        <v>0</v>
      </c>
      <c r="AA1158" s="28">
        <v>0</v>
      </c>
      <c r="AB1158" s="28">
        <v>0</v>
      </c>
      <c r="AC1158" s="28">
        <v>0.92</v>
      </c>
      <c r="AD1158" s="26">
        <v>1</v>
      </c>
      <c r="AE1158" s="26">
        <v>1</v>
      </c>
      <c r="AF1158" s="26">
        <v>1</v>
      </c>
      <c r="AG1158" s="26">
        <v>1</v>
      </c>
      <c r="AH1158" s="28">
        <v>0.92</v>
      </c>
      <c r="AI1158" s="26">
        <v>0.95302843016069205</v>
      </c>
      <c r="AJ1158" s="26">
        <v>0.94971930680986105</v>
      </c>
      <c r="AK1158" s="26">
        <v>0.94959962317475299</v>
      </c>
      <c r="AL1158" s="26">
        <v>0.95187646794263203</v>
      </c>
      <c r="AM1158" s="25">
        <v>0.99</v>
      </c>
      <c r="AN1158" s="30">
        <v>1</v>
      </c>
      <c r="AO1158" s="30">
        <v>1</v>
      </c>
      <c r="AP1158" s="30">
        <v>1</v>
      </c>
      <c r="AQ1158" s="30">
        <v>1</v>
      </c>
      <c r="AR1158" s="50">
        <v>7.2186152540827803E-2</v>
      </c>
      <c r="AS1158" s="34">
        <v>0</v>
      </c>
      <c r="AT1158" s="34">
        <v>9.0909090909090898E-2</v>
      </c>
      <c r="AU1158" s="34">
        <v>0</v>
      </c>
      <c r="AV1158" s="34">
        <v>0.10958904109589</v>
      </c>
      <c r="AW1158" s="10"/>
      <c r="AX1158" s="8"/>
    </row>
    <row r="1159" spans="1:50">
      <c r="A1159" s="7"/>
      <c r="B1159" s="10"/>
      <c r="C1159" s="45" t="s">
        <v>1100</v>
      </c>
      <c r="D1159" s="23" t="s">
        <v>25</v>
      </c>
      <c r="E1159" s="83" t="s">
        <v>1203</v>
      </c>
      <c r="F1159" s="83" t="s">
        <v>1203</v>
      </c>
      <c r="G1159" s="83" t="s">
        <v>1203</v>
      </c>
      <c r="H1159" s="83" t="s">
        <v>1203</v>
      </c>
      <c r="I1159" s="25">
        <v>0.9</v>
      </c>
      <c r="J1159" s="26">
        <v>0.96703296703296704</v>
      </c>
      <c r="K1159" s="26">
        <v>0.98901098901098905</v>
      </c>
      <c r="L1159" s="27">
        <v>0.88461538461538503</v>
      </c>
      <c r="M1159" s="26">
        <v>0.91816367265469101</v>
      </c>
      <c r="N1159" s="28">
        <v>0.9</v>
      </c>
      <c r="O1159" s="26">
        <v>0.95525033229951295</v>
      </c>
      <c r="P1159" s="26">
        <v>0.95130042462844999</v>
      </c>
      <c r="Q1159" s="26">
        <v>0.96333957720096297</v>
      </c>
      <c r="R1159" s="26">
        <v>0.95784828867535599</v>
      </c>
      <c r="S1159" s="28">
        <v>0.9</v>
      </c>
      <c r="T1159" s="26">
        <v>0.90872840053167903</v>
      </c>
      <c r="U1159" s="26">
        <v>0.91905520169851396</v>
      </c>
      <c r="V1159" s="26">
        <v>0.91169387208991204</v>
      </c>
      <c r="W1159" s="26">
        <v>0.91610299880976598</v>
      </c>
      <c r="X1159" s="28">
        <v>0.92</v>
      </c>
      <c r="Y1159" s="28">
        <v>0.94167167769091997</v>
      </c>
      <c r="Z1159" s="28">
        <v>0.96292134831460696</v>
      </c>
      <c r="AA1159" s="28">
        <v>0.93862815884476503</v>
      </c>
      <c r="AB1159" s="28">
        <v>0.94987957334556705</v>
      </c>
      <c r="AC1159" s="28">
        <v>0.92</v>
      </c>
      <c r="AD1159" s="26">
        <v>0.998944591029024</v>
      </c>
      <c r="AE1159" s="26">
        <v>1</v>
      </c>
      <c r="AF1159" s="26">
        <v>0.99772727272727302</v>
      </c>
      <c r="AG1159" s="26">
        <v>0.99928443649373899</v>
      </c>
      <c r="AH1159" s="28">
        <v>0.92</v>
      </c>
      <c r="AI1159" s="26">
        <v>0.95470713777566996</v>
      </c>
      <c r="AJ1159" s="26">
        <v>0.97370398196844499</v>
      </c>
      <c r="AK1159" s="26">
        <v>0.95629629629629598</v>
      </c>
      <c r="AL1159" s="26">
        <v>0.96370164466064401</v>
      </c>
      <c r="AM1159" s="25">
        <v>0.99</v>
      </c>
      <c r="AN1159" s="30">
        <v>1</v>
      </c>
      <c r="AO1159" s="30">
        <v>1</v>
      </c>
      <c r="AP1159" s="30">
        <v>1</v>
      </c>
      <c r="AQ1159" s="30">
        <v>1</v>
      </c>
      <c r="AR1159" s="50">
        <v>7.2186152540827803E-2</v>
      </c>
      <c r="AS1159" s="34">
        <v>8.1081081081081099E-2</v>
      </c>
      <c r="AT1159" s="34">
        <v>6.25E-2</v>
      </c>
      <c r="AU1159" s="34">
        <v>0</v>
      </c>
      <c r="AV1159" s="34">
        <v>4.91803278688525E-2</v>
      </c>
      <c r="AW1159" s="10"/>
      <c r="AX1159" s="8"/>
    </row>
    <row r="1160" spans="1:50">
      <c r="A1160" s="7"/>
      <c r="B1160" s="10"/>
      <c r="C1160" s="45" t="s">
        <v>1100</v>
      </c>
      <c r="D1160" s="23" t="s">
        <v>25</v>
      </c>
      <c r="E1160" s="83" t="s">
        <v>1204</v>
      </c>
      <c r="F1160" s="83" t="s">
        <v>1204</v>
      </c>
      <c r="G1160" s="83" t="s">
        <v>1204</v>
      </c>
      <c r="H1160" s="83" t="s">
        <v>1204</v>
      </c>
      <c r="I1160" s="25">
        <v>0.9</v>
      </c>
      <c r="J1160" s="26">
        <v>0.94827586206896597</v>
      </c>
      <c r="K1160" s="26">
        <v>0.91803278688524603</v>
      </c>
      <c r="L1160" s="27">
        <v>0.91666666666666696</v>
      </c>
      <c r="M1160" s="26">
        <v>0.93518518518518501</v>
      </c>
      <c r="N1160" s="28">
        <v>0.9</v>
      </c>
      <c r="O1160" s="26">
        <v>0.925686336383717</v>
      </c>
      <c r="P1160" s="26">
        <v>0.91467473524962195</v>
      </c>
      <c r="Q1160" s="26">
        <v>0.98817823582903896</v>
      </c>
      <c r="R1160" s="26">
        <v>0.93759436336185198</v>
      </c>
      <c r="S1160" s="28">
        <v>0.9</v>
      </c>
      <c r="T1160" s="26">
        <v>0.90801514673398598</v>
      </c>
      <c r="U1160" s="26">
        <v>0.89485627836611203</v>
      </c>
      <c r="V1160" s="26">
        <v>0.92937253713246404</v>
      </c>
      <c r="W1160" s="26">
        <v>0.91416079516859605</v>
      </c>
      <c r="X1160" s="28">
        <v>0.92</v>
      </c>
      <c r="Y1160" s="28">
        <v>0</v>
      </c>
      <c r="Z1160" s="28">
        <v>0</v>
      </c>
      <c r="AA1160" s="28">
        <v>0</v>
      </c>
      <c r="AB1160" s="28">
        <v>0</v>
      </c>
      <c r="AC1160" s="28">
        <v>0.92</v>
      </c>
      <c r="AD1160" s="26">
        <v>0.99935233160621795</v>
      </c>
      <c r="AE1160" s="26">
        <v>0.99940511600238002</v>
      </c>
      <c r="AF1160" s="26">
        <v>0.997899159663866</v>
      </c>
      <c r="AG1160" s="26">
        <v>0.998428690267123</v>
      </c>
      <c r="AH1160" s="28">
        <v>0.92</v>
      </c>
      <c r="AI1160" s="26">
        <v>0.97886101908818401</v>
      </c>
      <c r="AJ1160" s="26">
        <v>0.97851739788199699</v>
      </c>
      <c r="AK1160" s="26">
        <v>0.979387693240376</v>
      </c>
      <c r="AL1160" s="26">
        <v>0.97502594910829399</v>
      </c>
      <c r="AM1160" s="25">
        <v>0.99</v>
      </c>
      <c r="AN1160" s="30">
        <v>1</v>
      </c>
      <c r="AO1160" s="30">
        <v>1</v>
      </c>
      <c r="AP1160" s="30">
        <v>1</v>
      </c>
      <c r="AQ1160" s="30">
        <v>1</v>
      </c>
      <c r="AR1160" s="50">
        <v>7.2186152540827803E-2</v>
      </c>
      <c r="AS1160" s="34">
        <v>0</v>
      </c>
      <c r="AT1160" s="34">
        <v>0</v>
      </c>
      <c r="AU1160" s="34">
        <v>8.3333333333333301E-2</v>
      </c>
      <c r="AV1160" s="34">
        <v>3.9215686274509803E-2</v>
      </c>
      <c r="AW1160" s="10"/>
      <c r="AX1160" s="8"/>
    </row>
    <row r="1161" spans="1:50">
      <c r="A1161" s="7"/>
      <c r="B1161" s="10"/>
      <c r="C1161" s="45" t="s">
        <v>1100</v>
      </c>
      <c r="D1161" s="23" t="s">
        <v>25</v>
      </c>
      <c r="E1161" s="83" t="s">
        <v>1205</v>
      </c>
      <c r="F1161" s="83" t="s">
        <v>1205</v>
      </c>
      <c r="G1161" s="83" t="s">
        <v>1205</v>
      </c>
      <c r="H1161" s="83" t="s">
        <v>1205</v>
      </c>
      <c r="I1161" s="25">
        <v>0.9</v>
      </c>
      <c r="J1161" s="26">
        <v>0.98076923076923095</v>
      </c>
      <c r="K1161" s="26">
        <v>1</v>
      </c>
      <c r="L1161" s="27">
        <v>1</v>
      </c>
      <c r="M1161" s="26">
        <v>0.97133757961783396</v>
      </c>
      <c r="N1161" s="28">
        <v>0.9</v>
      </c>
      <c r="O1161" s="26">
        <v>0.94660194174757295</v>
      </c>
      <c r="P1161" s="26">
        <v>0.89107827038861498</v>
      </c>
      <c r="Q1161" s="26">
        <v>0.973611658133123</v>
      </c>
      <c r="R1161" s="26">
        <v>0.93042368148089005</v>
      </c>
      <c r="S1161" s="28">
        <v>0.9</v>
      </c>
      <c r="T1161" s="26">
        <v>0.76044744617982296</v>
      </c>
      <c r="U1161" s="26">
        <v>0.79365079365079405</v>
      </c>
      <c r="V1161" s="26">
        <v>0.84127609294997996</v>
      </c>
      <c r="W1161" s="26">
        <v>0.78760073406207598</v>
      </c>
      <c r="X1161" s="28">
        <v>0.92</v>
      </c>
      <c r="Y1161" s="28">
        <v>0.86007462686567204</v>
      </c>
      <c r="Z1161" s="28">
        <v>0.88980263157894701</v>
      </c>
      <c r="AA1161" s="28">
        <v>0.90808510638297901</v>
      </c>
      <c r="AB1161" s="28">
        <v>0.87277051129607597</v>
      </c>
      <c r="AC1161" s="28">
        <v>0.92</v>
      </c>
      <c r="AD1161" s="26">
        <v>0.99834437086092698</v>
      </c>
      <c r="AE1161" s="26">
        <v>0.99051008303677301</v>
      </c>
      <c r="AF1161" s="26">
        <v>0.99799398194583799</v>
      </c>
      <c r="AG1161" s="26">
        <v>0.99560490400185098</v>
      </c>
      <c r="AH1161" s="28">
        <v>0.92</v>
      </c>
      <c r="AI1161" s="26">
        <v>0.91428571428571404</v>
      </c>
      <c r="AJ1161" s="26">
        <v>0.93177067781427303</v>
      </c>
      <c r="AK1161" s="26">
        <v>0.93457189014539599</v>
      </c>
      <c r="AL1161" s="26">
        <v>0.92595703440478105</v>
      </c>
      <c r="AM1161" s="25">
        <v>0.99</v>
      </c>
      <c r="AN1161" s="30">
        <v>1</v>
      </c>
      <c r="AO1161" s="30">
        <v>1</v>
      </c>
      <c r="AP1161" s="30">
        <v>1</v>
      </c>
      <c r="AQ1161" s="30">
        <v>1</v>
      </c>
      <c r="AR1161" s="50">
        <v>7.2186152540827803E-2</v>
      </c>
      <c r="AS1161" s="34">
        <v>5.2631578947368397E-2</v>
      </c>
      <c r="AT1161" s="34">
        <v>0.04</v>
      </c>
      <c r="AU1161" s="34">
        <v>0</v>
      </c>
      <c r="AV1161" s="34">
        <v>4.91803278688525E-2</v>
      </c>
      <c r="AW1161" s="10"/>
      <c r="AX1161" s="8"/>
    </row>
    <row r="1162" spans="1:50">
      <c r="A1162" s="7"/>
      <c r="B1162" s="10"/>
      <c r="C1162" s="45" t="s">
        <v>1100</v>
      </c>
      <c r="D1162" s="23" t="s">
        <v>25</v>
      </c>
      <c r="E1162" s="83" t="s">
        <v>1206</v>
      </c>
      <c r="F1162" s="83" t="s">
        <v>1206</v>
      </c>
      <c r="G1162" s="83" t="s">
        <v>1206</v>
      </c>
      <c r="H1162" s="83" t="s">
        <v>1206</v>
      </c>
      <c r="I1162" s="25">
        <v>0.9</v>
      </c>
      <c r="J1162" s="26">
        <v>0.96</v>
      </c>
      <c r="K1162" s="26">
        <v>1</v>
      </c>
      <c r="L1162" s="27">
        <v>0.97297297297297303</v>
      </c>
      <c r="M1162" s="26">
        <v>0.97426470588235303</v>
      </c>
      <c r="N1162" s="28">
        <v>0.9</v>
      </c>
      <c r="O1162" s="26">
        <v>0.963917525773196</v>
      </c>
      <c r="P1162" s="26">
        <v>0.89904284412032798</v>
      </c>
      <c r="Q1162" s="26">
        <v>0.97929792979297903</v>
      </c>
      <c r="R1162" s="26">
        <v>0.94125018073160105</v>
      </c>
      <c r="S1162" s="28">
        <v>0.9</v>
      </c>
      <c r="T1162" s="26">
        <v>0.91261659302896403</v>
      </c>
      <c r="U1162" s="26">
        <v>0.89243391066545097</v>
      </c>
      <c r="V1162" s="26">
        <v>0.90189018901890206</v>
      </c>
      <c r="W1162" s="26">
        <v>0.90047713142802099</v>
      </c>
      <c r="X1162" s="28">
        <v>0.92</v>
      </c>
      <c r="Y1162" s="28">
        <v>0.93353174603174605</v>
      </c>
      <c r="Z1162" s="28">
        <v>0.94078319006685796</v>
      </c>
      <c r="AA1162" s="28">
        <v>0.93958333333333299</v>
      </c>
      <c r="AB1162" s="28">
        <v>0.93681482957942996</v>
      </c>
      <c r="AC1162" s="28">
        <v>0.92</v>
      </c>
      <c r="AD1162" s="26">
        <v>0.99233296823658301</v>
      </c>
      <c r="AE1162" s="26">
        <v>0.99597180261832796</v>
      </c>
      <c r="AF1162" s="26">
        <v>0.98614958448753498</v>
      </c>
      <c r="AG1162" s="26">
        <v>0.992963252541048</v>
      </c>
      <c r="AH1162" s="28">
        <v>0.92</v>
      </c>
      <c r="AI1162" s="26">
        <v>0.96241637150728099</v>
      </c>
      <c r="AJ1162" s="26">
        <v>0.96632934682612703</v>
      </c>
      <c r="AK1162" s="26">
        <v>0.96197360150848499</v>
      </c>
      <c r="AL1162" s="26">
        <v>0.96545835597298801</v>
      </c>
      <c r="AM1162" s="25">
        <v>0.99</v>
      </c>
      <c r="AN1162" s="30">
        <v>1</v>
      </c>
      <c r="AO1162" s="30">
        <v>1</v>
      </c>
      <c r="AP1162" s="30">
        <v>1</v>
      </c>
      <c r="AQ1162" s="30">
        <v>1</v>
      </c>
      <c r="AR1162" s="50">
        <v>7.2186152540827803E-2</v>
      </c>
      <c r="AS1162" s="34">
        <v>4.5454545454545497E-2</v>
      </c>
      <c r="AT1162" s="34">
        <v>0</v>
      </c>
      <c r="AU1162" s="34">
        <v>6.6666666666666693E-2</v>
      </c>
      <c r="AV1162" s="34">
        <v>1.9801980198019799E-2</v>
      </c>
      <c r="AW1162" s="10"/>
      <c r="AX1162" s="8"/>
    </row>
    <row r="1163" spans="1:50">
      <c r="A1163" s="7"/>
      <c r="B1163" s="10"/>
      <c r="C1163" s="45" t="s">
        <v>1100</v>
      </c>
      <c r="D1163" s="23" t="s">
        <v>25</v>
      </c>
      <c r="E1163" s="83" t="s">
        <v>1207</v>
      </c>
      <c r="F1163" s="83" t="s">
        <v>1207</v>
      </c>
      <c r="G1163" s="83" t="s">
        <v>1207</v>
      </c>
      <c r="H1163" s="83" t="s">
        <v>1207</v>
      </c>
      <c r="I1163" s="25">
        <v>0.9</v>
      </c>
      <c r="J1163" s="26">
        <v>1</v>
      </c>
      <c r="K1163" s="26">
        <v>1</v>
      </c>
      <c r="L1163" s="27">
        <v>1</v>
      </c>
      <c r="M1163" s="26">
        <v>0.98816568047337305</v>
      </c>
      <c r="N1163" s="28">
        <v>0.9</v>
      </c>
      <c r="O1163" s="26">
        <v>0.98445092322643302</v>
      </c>
      <c r="P1163" s="26">
        <v>0.98333333333333295</v>
      </c>
      <c r="Q1163" s="26">
        <v>0.97543668122270699</v>
      </c>
      <c r="R1163" s="26">
        <v>0.97878112001928996</v>
      </c>
      <c r="S1163" s="28">
        <v>0.9</v>
      </c>
      <c r="T1163" s="26">
        <v>0.96307094266277904</v>
      </c>
      <c r="U1163" s="26">
        <v>0.96839080459770099</v>
      </c>
      <c r="V1163" s="26">
        <v>0.97106986899563297</v>
      </c>
      <c r="W1163" s="26">
        <v>0.96539875821327403</v>
      </c>
      <c r="X1163" s="28">
        <v>0.92</v>
      </c>
      <c r="Y1163" s="28">
        <v>0.96589147286821697</v>
      </c>
      <c r="Z1163" s="28">
        <v>0.97895902547065305</v>
      </c>
      <c r="AA1163" s="28">
        <v>0.982698961937716</v>
      </c>
      <c r="AB1163" s="28">
        <v>0.98059387421089494</v>
      </c>
      <c r="AC1163" s="28">
        <v>0.92</v>
      </c>
      <c r="AD1163" s="26">
        <v>0.99913194444444398</v>
      </c>
      <c r="AE1163" s="26">
        <v>0.99607458292443596</v>
      </c>
      <c r="AF1163" s="26">
        <v>0.99375866851594996</v>
      </c>
      <c r="AG1163" s="26">
        <v>0.997966889340691</v>
      </c>
      <c r="AH1163" s="28">
        <v>0.92</v>
      </c>
      <c r="AI1163" s="26">
        <v>0.98338692390139304</v>
      </c>
      <c r="AJ1163" s="26">
        <v>0.986535828388864</v>
      </c>
      <c r="AK1163" s="26">
        <v>0.99037037037037001</v>
      </c>
      <c r="AL1163" s="26">
        <v>0.98720406402760497</v>
      </c>
      <c r="AM1163" s="25">
        <v>0.99</v>
      </c>
      <c r="AN1163" s="30">
        <v>1</v>
      </c>
      <c r="AO1163" s="30">
        <v>1</v>
      </c>
      <c r="AP1163" s="30">
        <v>1</v>
      </c>
      <c r="AQ1163" s="30">
        <v>1</v>
      </c>
      <c r="AR1163" s="50">
        <v>7.2186152540827803E-2</v>
      </c>
      <c r="AS1163" s="34">
        <v>0</v>
      </c>
      <c r="AT1163" s="34">
        <v>0</v>
      </c>
      <c r="AU1163" s="34">
        <v>5.5555555555555601E-2</v>
      </c>
      <c r="AV1163" s="34">
        <v>3.8461538461538498E-2</v>
      </c>
      <c r="AW1163" s="10"/>
      <c r="AX1163" s="8"/>
    </row>
    <row r="1164" spans="1:50">
      <c r="A1164" s="7"/>
      <c r="B1164" s="10"/>
      <c r="C1164" s="45" t="s">
        <v>1100</v>
      </c>
      <c r="D1164" s="23" t="s">
        <v>25</v>
      </c>
      <c r="E1164" s="83" t="s">
        <v>1208</v>
      </c>
      <c r="F1164" s="83" t="s">
        <v>1208</v>
      </c>
      <c r="G1164" s="83" t="s">
        <v>1208</v>
      </c>
      <c r="H1164" s="83" t="s">
        <v>1208</v>
      </c>
      <c r="I1164" s="25">
        <v>0.9</v>
      </c>
      <c r="J1164" s="26">
        <v>0.95121951219512202</v>
      </c>
      <c r="K1164" s="26">
        <v>0.97560975609756095</v>
      </c>
      <c r="L1164" s="27">
        <v>0.89743589743589702</v>
      </c>
      <c r="M1164" s="26">
        <v>0.94827586206896597</v>
      </c>
      <c r="N1164" s="28">
        <v>0.9</v>
      </c>
      <c r="O1164" s="26">
        <v>0.98720107780397404</v>
      </c>
      <c r="P1164" s="26">
        <v>0.98190045248868796</v>
      </c>
      <c r="Q1164" s="26">
        <v>0.98334401024983997</v>
      </c>
      <c r="R1164" s="26">
        <v>0.98358898787594595</v>
      </c>
      <c r="S1164" s="28">
        <v>0.9</v>
      </c>
      <c r="T1164" s="26">
        <v>0.91007073088582002</v>
      </c>
      <c r="U1164" s="26">
        <v>0.89653092006033197</v>
      </c>
      <c r="V1164" s="26">
        <v>0.91159513132607295</v>
      </c>
      <c r="W1164" s="26">
        <v>0.90649072275437104</v>
      </c>
      <c r="X1164" s="28">
        <v>0.92</v>
      </c>
      <c r="Y1164" s="28">
        <v>0.95116279069767395</v>
      </c>
      <c r="Z1164" s="28">
        <v>0.95342752485609605</v>
      </c>
      <c r="AA1164" s="28">
        <v>0.962125197264598</v>
      </c>
      <c r="AB1164" s="28">
        <v>0.94969262295082002</v>
      </c>
      <c r="AC1164" s="28">
        <v>0.92</v>
      </c>
      <c r="AD1164" s="26">
        <v>0.99385488064287397</v>
      </c>
      <c r="AE1164" s="26">
        <v>0.98772555602182099</v>
      </c>
      <c r="AF1164" s="26">
        <v>0.98241162058102904</v>
      </c>
      <c r="AG1164" s="26">
        <v>0.98466631273226901</v>
      </c>
      <c r="AH1164" s="28">
        <v>0.92</v>
      </c>
      <c r="AI1164" s="26">
        <v>0.96673064619321802</v>
      </c>
      <c r="AJ1164" s="26">
        <v>0.96938384998086502</v>
      </c>
      <c r="AK1164" s="26">
        <v>0.96881316777360704</v>
      </c>
      <c r="AL1164" s="26">
        <v>0.96391251518833498</v>
      </c>
      <c r="AM1164" s="25">
        <v>0.99</v>
      </c>
      <c r="AN1164" s="30">
        <v>1</v>
      </c>
      <c r="AO1164" s="30">
        <v>1</v>
      </c>
      <c r="AP1164" s="30">
        <v>1</v>
      </c>
      <c r="AQ1164" s="30">
        <v>1</v>
      </c>
      <c r="AR1164" s="50">
        <v>7.2186152540827803E-2</v>
      </c>
      <c r="AS1164" s="34">
        <v>0.11764705882352899</v>
      </c>
      <c r="AT1164" s="34">
        <v>0.16666666666666699</v>
      </c>
      <c r="AU1164" s="34">
        <v>0</v>
      </c>
      <c r="AV1164" s="34">
        <v>7.1428571428571397E-2</v>
      </c>
      <c r="AW1164" s="10"/>
      <c r="AX1164" s="8"/>
    </row>
    <row r="1165" spans="1:50">
      <c r="A1165" s="7"/>
      <c r="B1165" s="10"/>
      <c r="C1165" s="45" t="s">
        <v>1100</v>
      </c>
      <c r="D1165" s="23" t="s">
        <v>25</v>
      </c>
      <c r="E1165" s="83" t="s">
        <v>1209</v>
      </c>
      <c r="F1165" s="83" t="s">
        <v>1209</v>
      </c>
      <c r="G1165" s="83" t="s">
        <v>1209</v>
      </c>
      <c r="H1165" s="83" t="s">
        <v>1209</v>
      </c>
      <c r="I1165" s="25">
        <v>0.9</v>
      </c>
      <c r="J1165" s="26">
        <v>1</v>
      </c>
      <c r="K1165" s="26">
        <v>1</v>
      </c>
      <c r="L1165" s="27">
        <v>1</v>
      </c>
      <c r="M1165" s="26">
        <v>1</v>
      </c>
      <c r="N1165" s="28">
        <v>0.9</v>
      </c>
      <c r="O1165" s="26">
        <v>0.866529245039938</v>
      </c>
      <c r="P1165" s="26">
        <v>0.91554959785522805</v>
      </c>
      <c r="Q1165" s="26">
        <v>0.88072986203827297</v>
      </c>
      <c r="R1165" s="26">
        <v>0.86480311132717502</v>
      </c>
      <c r="S1165" s="28">
        <v>0.9</v>
      </c>
      <c r="T1165" s="26">
        <v>0.91728935841278003</v>
      </c>
      <c r="U1165" s="26">
        <v>0.93521000893655004</v>
      </c>
      <c r="V1165" s="26">
        <v>0.90698709390298204</v>
      </c>
      <c r="W1165" s="26">
        <v>0.90612542537676199</v>
      </c>
      <c r="X1165" s="28">
        <v>0.92</v>
      </c>
      <c r="Y1165" s="28">
        <v>0.94386422976501305</v>
      </c>
      <c r="Z1165" s="28">
        <v>0.96309963099631002</v>
      </c>
      <c r="AA1165" s="28">
        <v>0.93286410395235497</v>
      </c>
      <c r="AB1165" s="28">
        <v>0.92504244482173204</v>
      </c>
      <c r="AC1165" s="28">
        <v>0.92</v>
      </c>
      <c r="AD1165" s="26">
        <v>0.996661101836394</v>
      </c>
      <c r="AE1165" s="26">
        <v>0.99602681897193901</v>
      </c>
      <c r="AF1165" s="26">
        <v>0.98975228546151595</v>
      </c>
      <c r="AG1165" s="26">
        <v>0.99325701400633104</v>
      </c>
      <c r="AH1165" s="28">
        <v>0.92</v>
      </c>
      <c r="AI1165" s="26">
        <v>0.96537216828479</v>
      </c>
      <c r="AJ1165" s="26">
        <v>0.97570850202429105</v>
      </c>
      <c r="AK1165" s="26">
        <v>0.94723986321445997</v>
      </c>
      <c r="AL1165" s="26">
        <v>0.94983618717932905</v>
      </c>
      <c r="AM1165" s="25">
        <v>0.99</v>
      </c>
      <c r="AN1165" s="30">
        <v>1</v>
      </c>
      <c r="AO1165" s="30">
        <v>1</v>
      </c>
      <c r="AP1165" s="30">
        <v>1</v>
      </c>
      <c r="AQ1165" s="30">
        <v>1</v>
      </c>
      <c r="AR1165" s="50">
        <v>7.2186152540827803E-2</v>
      </c>
      <c r="AS1165" s="34">
        <v>0</v>
      </c>
      <c r="AT1165" s="34">
        <v>0</v>
      </c>
      <c r="AU1165" s="34">
        <v>0.230769230769231</v>
      </c>
      <c r="AV1165" s="34">
        <v>0.04</v>
      </c>
      <c r="AW1165" s="10"/>
      <c r="AX1165" s="8"/>
    </row>
    <row r="1166" spans="1:50">
      <c r="A1166" s="7"/>
      <c r="B1166" s="10"/>
      <c r="C1166" s="45" t="s">
        <v>1100</v>
      </c>
      <c r="D1166" s="23" t="s">
        <v>25</v>
      </c>
      <c r="E1166" s="83" t="s">
        <v>1210</v>
      </c>
      <c r="F1166" s="83" t="s">
        <v>1210</v>
      </c>
      <c r="G1166" s="83" t="s">
        <v>1210</v>
      </c>
      <c r="H1166" s="83" t="s">
        <v>1210</v>
      </c>
      <c r="I1166" s="25">
        <v>0.9</v>
      </c>
      <c r="J1166" s="26">
        <v>0.84848484848484895</v>
      </c>
      <c r="K1166" s="26">
        <v>0.96969696969696995</v>
      </c>
      <c r="L1166" s="27">
        <v>0.92307692307692302</v>
      </c>
      <c r="M1166" s="26">
        <v>0.89385474860335201</v>
      </c>
      <c r="N1166" s="28">
        <v>0.9</v>
      </c>
      <c r="O1166" s="26">
        <v>0.97398134511536605</v>
      </c>
      <c r="P1166" s="26">
        <v>0.952505446623094</v>
      </c>
      <c r="Q1166" s="26">
        <v>0.96527159394479101</v>
      </c>
      <c r="R1166" s="26">
        <v>0.96226598118149198</v>
      </c>
      <c r="S1166" s="28">
        <v>0.9</v>
      </c>
      <c r="T1166" s="26">
        <v>0.90181639666175795</v>
      </c>
      <c r="U1166" s="26">
        <v>0.91938997821350799</v>
      </c>
      <c r="V1166" s="26">
        <v>0.89581478183437202</v>
      </c>
      <c r="W1166" s="26">
        <v>0.90658647783490198</v>
      </c>
      <c r="X1166" s="28">
        <v>0.92</v>
      </c>
      <c r="Y1166" s="28">
        <v>0.95</v>
      </c>
      <c r="Z1166" s="28">
        <v>0.95827538247566102</v>
      </c>
      <c r="AA1166" s="28">
        <v>0.95572519083969498</v>
      </c>
      <c r="AB1166" s="28">
        <v>0.94731003882418197</v>
      </c>
      <c r="AC1166" s="28">
        <v>0.92</v>
      </c>
      <c r="AD1166" s="26">
        <v>0.99396081897186594</v>
      </c>
      <c r="AE1166" s="26">
        <v>0.99213394763456597</v>
      </c>
      <c r="AF1166" s="26">
        <v>0.64147664071190202</v>
      </c>
      <c r="AG1166" s="26">
        <v>0.88357625629717296</v>
      </c>
      <c r="AH1166" s="28">
        <v>0.92</v>
      </c>
      <c r="AI1166" s="26">
        <v>0.95554901383573698</v>
      </c>
      <c r="AJ1166" s="26">
        <v>0.97053308331100996</v>
      </c>
      <c r="AK1166" s="26">
        <v>0.96302382908792095</v>
      </c>
      <c r="AL1166" s="26">
        <v>0.95982423101067205</v>
      </c>
      <c r="AM1166" s="25">
        <v>0.99</v>
      </c>
      <c r="AN1166" s="30">
        <v>1</v>
      </c>
      <c r="AO1166" s="30">
        <v>1</v>
      </c>
      <c r="AP1166" s="30">
        <v>1</v>
      </c>
      <c r="AQ1166" s="30">
        <v>1</v>
      </c>
      <c r="AR1166" s="50">
        <v>7.2186152540827803E-2</v>
      </c>
      <c r="AS1166" s="34">
        <v>0</v>
      </c>
      <c r="AT1166" s="34">
        <v>3.8461538461538498E-2</v>
      </c>
      <c r="AU1166" s="34">
        <v>0.125</v>
      </c>
      <c r="AV1166" s="34">
        <v>4.0268456375838903E-2</v>
      </c>
      <c r="AW1166" s="10"/>
      <c r="AX1166" s="8"/>
    </row>
    <row r="1167" spans="1:50">
      <c r="A1167" s="7"/>
      <c r="B1167" s="10"/>
      <c r="C1167" s="45" t="s">
        <v>1100</v>
      </c>
      <c r="D1167" s="23" t="s">
        <v>25</v>
      </c>
      <c r="E1167" s="83" t="s">
        <v>1211</v>
      </c>
      <c r="F1167" s="83" t="s">
        <v>1211</v>
      </c>
      <c r="G1167" s="83" t="s">
        <v>1211</v>
      </c>
      <c r="H1167" s="83" t="s">
        <v>1211</v>
      </c>
      <c r="I1167" s="25">
        <v>0.9</v>
      </c>
      <c r="J1167" s="26">
        <v>0.94736842105263197</v>
      </c>
      <c r="K1167" s="26">
        <v>0.9</v>
      </c>
      <c r="L1167" s="27">
        <v>0.97142857142857097</v>
      </c>
      <c r="M1167" s="26">
        <v>0.934579439252336</v>
      </c>
      <c r="N1167" s="28">
        <v>0.9</v>
      </c>
      <c r="O1167" s="26">
        <v>0.98377208799134497</v>
      </c>
      <c r="P1167" s="26">
        <v>0.98786089238845098</v>
      </c>
      <c r="Q1167" s="26">
        <v>0.99123904881101399</v>
      </c>
      <c r="R1167" s="26">
        <v>0.98974430046427797</v>
      </c>
      <c r="S1167" s="28">
        <v>0.9</v>
      </c>
      <c r="T1167" s="26">
        <v>0.94049765596826496</v>
      </c>
      <c r="U1167" s="26">
        <v>0.94061679790026198</v>
      </c>
      <c r="V1167" s="26">
        <v>0.91489361702127703</v>
      </c>
      <c r="W1167" s="26">
        <v>0.93811932645000395</v>
      </c>
      <c r="X1167" s="28">
        <v>0.92</v>
      </c>
      <c r="Y1167" s="28">
        <v>0.95404939689833401</v>
      </c>
      <c r="Z1167" s="28">
        <v>0.96340852130325805</v>
      </c>
      <c r="AA1167" s="28">
        <v>0.96059394631639095</v>
      </c>
      <c r="AB1167" s="28">
        <v>0.95905577606016301</v>
      </c>
      <c r="AC1167" s="28">
        <v>0.92</v>
      </c>
      <c r="AD1167" s="26">
        <v>0.99602879126334098</v>
      </c>
      <c r="AE1167" s="26">
        <v>0.99514672686230199</v>
      </c>
      <c r="AF1167" s="26">
        <v>0.99396740833594499</v>
      </c>
      <c r="AG1167" s="26">
        <v>0.98810030472753296</v>
      </c>
      <c r="AH1167" s="28">
        <v>0.92</v>
      </c>
      <c r="AI1167" s="26">
        <v>0.96457041629760898</v>
      </c>
      <c r="AJ1167" s="26">
        <v>0.97699781875867497</v>
      </c>
      <c r="AK1167" s="26">
        <v>0.97104477611940299</v>
      </c>
      <c r="AL1167" s="26">
        <v>0.97313619325281098</v>
      </c>
      <c r="AM1167" s="25">
        <v>0.99</v>
      </c>
      <c r="AN1167" s="30">
        <v>1</v>
      </c>
      <c r="AO1167" s="30">
        <v>1</v>
      </c>
      <c r="AP1167" s="30">
        <v>1</v>
      </c>
      <c r="AQ1167" s="30">
        <v>1</v>
      </c>
      <c r="AR1167" s="50">
        <v>7.2186152540827803E-2</v>
      </c>
      <c r="AS1167" s="34">
        <v>0</v>
      </c>
      <c r="AT1167" s="34">
        <v>0.133333333333333</v>
      </c>
      <c r="AU1167" s="34">
        <v>0</v>
      </c>
      <c r="AV1167" s="34">
        <v>3.125E-2</v>
      </c>
      <c r="AW1167" s="10"/>
      <c r="AX1167" s="8"/>
    </row>
    <row r="1168" spans="1:50">
      <c r="A1168" s="7"/>
      <c r="B1168" s="10"/>
      <c r="C1168" s="45" t="s">
        <v>1100</v>
      </c>
      <c r="D1168" s="23" t="s">
        <v>25</v>
      </c>
      <c r="E1168" s="83" t="s">
        <v>1212</v>
      </c>
      <c r="F1168" s="83" t="s">
        <v>1212</v>
      </c>
      <c r="G1168" s="83" t="s">
        <v>1212</v>
      </c>
      <c r="H1168" s="83" t="s">
        <v>1212</v>
      </c>
      <c r="I1168" s="25">
        <v>0.9</v>
      </c>
      <c r="J1168" s="26">
        <v>0.88235294117647101</v>
      </c>
      <c r="K1168" s="26">
        <v>0.91428571428571404</v>
      </c>
      <c r="L1168" s="27">
        <v>0.87096774193548399</v>
      </c>
      <c r="M1168" s="26">
        <v>0.89119170984455998</v>
      </c>
      <c r="N1168" s="28">
        <v>0.9</v>
      </c>
      <c r="O1168" s="26">
        <v>0.98530682800345704</v>
      </c>
      <c r="P1168" s="26">
        <v>0.98493485342019504</v>
      </c>
      <c r="Q1168" s="26">
        <v>0.98214285714285698</v>
      </c>
      <c r="R1168" s="26">
        <v>0.97475252020706604</v>
      </c>
      <c r="S1168" s="28">
        <v>0.9</v>
      </c>
      <c r="T1168" s="26">
        <v>0.917458945548833</v>
      </c>
      <c r="U1168" s="26">
        <v>0.92956026058631902</v>
      </c>
      <c r="V1168" s="26">
        <v>0.92460317460317498</v>
      </c>
      <c r="W1168" s="26">
        <v>0.91308691308691303</v>
      </c>
      <c r="X1168" s="28">
        <v>0.92</v>
      </c>
      <c r="Y1168" s="28">
        <v>0.94623655913978499</v>
      </c>
      <c r="Z1168" s="28">
        <v>0.96021699819168205</v>
      </c>
      <c r="AA1168" s="28">
        <v>0.96187882913546596</v>
      </c>
      <c r="AB1168" s="28">
        <v>0.94312067640276698</v>
      </c>
      <c r="AC1168" s="28">
        <v>0.92</v>
      </c>
      <c r="AD1168" s="26">
        <v>0.99702127659574502</v>
      </c>
      <c r="AE1168" s="26">
        <v>0.99468520032706498</v>
      </c>
      <c r="AF1168" s="26">
        <v>0.996604029884537</v>
      </c>
      <c r="AG1168" s="26">
        <v>0.98947865380724398</v>
      </c>
      <c r="AH1168" s="28">
        <v>0.92</v>
      </c>
      <c r="AI1168" s="26">
        <v>0.95658185840707999</v>
      </c>
      <c r="AJ1168" s="26">
        <v>0.971567436208991</v>
      </c>
      <c r="AK1168" s="26">
        <v>0.96729915220024199</v>
      </c>
      <c r="AL1168" s="26">
        <v>0.95631609714619803</v>
      </c>
      <c r="AM1168" s="25">
        <v>0.99</v>
      </c>
      <c r="AN1168" s="30">
        <v>0.99285714285714299</v>
      </c>
      <c r="AO1168" s="30">
        <v>1</v>
      </c>
      <c r="AP1168" s="30">
        <v>1</v>
      </c>
      <c r="AQ1168" s="30">
        <v>0.99885189437428201</v>
      </c>
      <c r="AR1168" s="50">
        <v>7.2186152540827803E-2</v>
      </c>
      <c r="AS1168" s="34">
        <v>0.05</v>
      </c>
      <c r="AT1168" s="34">
        <v>4.7619047619047603E-2</v>
      </c>
      <c r="AU1168" s="34">
        <v>0</v>
      </c>
      <c r="AV1168" s="34">
        <v>1.94174757281553E-2</v>
      </c>
      <c r="AW1168" s="10"/>
      <c r="AX1168" s="8"/>
    </row>
    <row r="1169" spans="1:50">
      <c r="A1169" s="7"/>
      <c r="B1169" s="10"/>
      <c r="C1169" s="45" t="s">
        <v>1100</v>
      </c>
      <c r="D1169" s="23" t="s">
        <v>25</v>
      </c>
      <c r="E1169" s="83" t="s">
        <v>1213</v>
      </c>
      <c r="F1169" s="83" t="s">
        <v>1213</v>
      </c>
      <c r="G1169" s="83" t="s">
        <v>1213</v>
      </c>
      <c r="H1169" s="83" t="s">
        <v>1213</v>
      </c>
      <c r="I1169" s="25">
        <v>0.9</v>
      </c>
      <c r="J1169" s="26">
        <v>0.94444444444444398</v>
      </c>
      <c r="K1169" s="26">
        <v>0.94444444444444398</v>
      </c>
      <c r="L1169" s="27">
        <v>0.91304347826086996</v>
      </c>
      <c r="M1169" s="26">
        <v>0.95138888888888895</v>
      </c>
      <c r="N1169" s="28">
        <v>0.9</v>
      </c>
      <c r="O1169" s="26">
        <v>0.98029433774008501</v>
      </c>
      <c r="P1169" s="26">
        <v>0.98876151944257096</v>
      </c>
      <c r="Q1169" s="26">
        <v>0.90946502057613199</v>
      </c>
      <c r="R1169" s="26">
        <v>0.97222637001642498</v>
      </c>
      <c r="S1169" s="28">
        <v>0.9</v>
      </c>
      <c r="T1169" s="26">
        <v>0.95210775754552301</v>
      </c>
      <c r="U1169" s="26">
        <v>0.93841312654529097</v>
      </c>
      <c r="V1169" s="26">
        <v>0.86922725194330097</v>
      </c>
      <c r="W1169" s="26">
        <v>0.93151162211935701</v>
      </c>
      <c r="X1169" s="28">
        <v>0.92</v>
      </c>
      <c r="Y1169" s="28">
        <v>0.96536212325685999</v>
      </c>
      <c r="Z1169" s="28">
        <v>0.96343913218159904</v>
      </c>
      <c r="AA1169" s="28">
        <v>0.94695571955719604</v>
      </c>
      <c r="AB1169" s="28">
        <v>0.95575570830370504</v>
      </c>
      <c r="AC1169" s="28">
        <v>0.92</v>
      </c>
      <c r="AD1169" s="26">
        <v>0.99415570862032998</v>
      </c>
      <c r="AE1169" s="26">
        <v>0.99652014652014698</v>
      </c>
      <c r="AF1169" s="26">
        <v>0.99663110612015704</v>
      </c>
      <c r="AG1169" s="26">
        <v>0.99620686464982899</v>
      </c>
      <c r="AH1169" s="28">
        <v>0.92</v>
      </c>
      <c r="AI1169" s="26">
        <v>0.97401347449470599</v>
      </c>
      <c r="AJ1169" s="26">
        <v>0.97578901859057499</v>
      </c>
      <c r="AK1169" s="26">
        <v>0.96050516647531603</v>
      </c>
      <c r="AL1169" s="26">
        <v>0.97026135808500202</v>
      </c>
      <c r="AM1169" s="25">
        <v>0.99</v>
      </c>
      <c r="AN1169" s="30">
        <v>1</v>
      </c>
      <c r="AO1169" s="30">
        <v>1</v>
      </c>
      <c r="AP1169" s="30">
        <v>1</v>
      </c>
      <c r="AQ1169" s="30">
        <v>1</v>
      </c>
      <c r="AR1169" s="50">
        <v>7.2186152540827803E-2</v>
      </c>
      <c r="AS1169" s="34">
        <v>0</v>
      </c>
      <c r="AT1169" s="34">
        <v>0.11764705882352899</v>
      </c>
      <c r="AU1169" s="34">
        <v>6.6666666666666693E-2</v>
      </c>
      <c r="AV1169" s="34">
        <v>6.0344827586206899E-2</v>
      </c>
      <c r="AW1169" s="10"/>
      <c r="AX1169" s="8"/>
    </row>
    <row r="1170" spans="1:50">
      <c r="A1170" s="7"/>
      <c r="B1170" s="10"/>
      <c r="C1170" s="45" t="s">
        <v>1100</v>
      </c>
      <c r="D1170" s="23" t="s">
        <v>25</v>
      </c>
      <c r="E1170" s="83" t="s">
        <v>1214</v>
      </c>
      <c r="F1170" s="83" t="s">
        <v>1214</v>
      </c>
      <c r="G1170" s="83" t="s">
        <v>1214</v>
      </c>
      <c r="H1170" s="83" t="s">
        <v>1214</v>
      </c>
      <c r="I1170" s="25">
        <v>0.9</v>
      </c>
      <c r="J1170" s="26">
        <v>0.92105263157894701</v>
      </c>
      <c r="K1170" s="26">
        <v>1</v>
      </c>
      <c r="L1170" s="27">
        <v>0.97058823529411797</v>
      </c>
      <c r="M1170" s="26">
        <v>0.95794392523364502</v>
      </c>
      <c r="N1170" s="28">
        <v>0.9</v>
      </c>
      <c r="O1170" s="26">
        <v>0.80793710220891102</v>
      </c>
      <c r="P1170" s="26">
        <v>0.83039574326571297</v>
      </c>
      <c r="Q1170" s="26">
        <v>0.96849401386263401</v>
      </c>
      <c r="R1170" s="26">
        <v>0.90719308526223297</v>
      </c>
      <c r="S1170" s="28">
        <v>0.9</v>
      </c>
      <c r="T1170" s="26">
        <v>0.88206664170722604</v>
      </c>
      <c r="U1170" s="26">
        <v>0.93382108413701403</v>
      </c>
      <c r="V1170" s="26">
        <v>0.92879647132955301</v>
      </c>
      <c r="W1170" s="26">
        <v>0.92140345736888396</v>
      </c>
      <c r="X1170" s="28">
        <v>0.92</v>
      </c>
      <c r="Y1170" s="28">
        <v>0.92050473186119897</v>
      </c>
      <c r="Z1170" s="28">
        <v>0.95191122071516598</v>
      </c>
      <c r="AA1170" s="28">
        <v>0.95234806629834301</v>
      </c>
      <c r="AB1170" s="28">
        <v>0.94382418615583497</v>
      </c>
      <c r="AC1170" s="28">
        <v>0.92</v>
      </c>
      <c r="AD1170" s="26">
        <v>0.99579655317360205</v>
      </c>
      <c r="AE1170" s="26">
        <v>0.85308411214953295</v>
      </c>
      <c r="AF1170" s="26">
        <v>0.987124725408836</v>
      </c>
      <c r="AG1170" s="26">
        <v>0.93741209563994399</v>
      </c>
      <c r="AH1170" s="28">
        <v>0.92</v>
      </c>
      <c r="AI1170" s="26">
        <v>0.94338736199201301</v>
      </c>
      <c r="AJ1170" s="26">
        <v>0.97235421166306701</v>
      </c>
      <c r="AK1170" s="26">
        <v>0.96773131379651001</v>
      </c>
      <c r="AL1170" s="26">
        <v>0.96346249266994499</v>
      </c>
      <c r="AM1170" s="25">
        <v>0.99</v>
      </c>
      <c r="AN1170" s="30">
        <v>1</v>
      </c>
      <c r="AO1170" s="30">
        <v>1</v>
      </c>
      <c r="AP1170" s="30">
        <v>1</v>
      </c>
      <c r="AQ1170" s="30">
        <v>1</v>
      </c>
      <c r="AR1170" s="50">
        <v>7.2186152540827803E-2</v>
      </c>
      <c r="AS1170" s="34">
        <v>0</v>
      </c>
      <c r="AT1170" s="34">
        <v>0</v>
      </c>
      <c r="AU1170" s="34">
        <v>0</v>
      </c>
      <c r="AV1170" s="34">
        <v>2.66666666666667E-2</v>
      </c>
      <c r="AW1170" s="10"/>
      <c r="AX1170" s="8"/>
    </row>
    <row r="1171" spans="1:50">
      <c r="A1171" s="7"/>
      <c r="B1171" s="10"/>
      <c r="C1171" s="45" t="s">
        <v>1100</v>
      </c>
      <c r="D1171" s="23" t="s">
        <v>25</v>
      </c>
      <c r="E1171" s="83" t="s">
        <v>1215</v>
      </c>
      <c r="F1171" s="83" t="s">
        <v>1215</v>
      </c>
      <c r="G1171" s="83" t="s">
        <v>1215</v>
      </c>
      <c r="H1171" s="83" t="s">
        <v>1215</v>
      </c>
      <c r="I1171" s="25">
        <v>0.9</v>
      </c>
      <c r="J1171" s="26">
        <v>0.98181818181818203</v>
      </c>
      <c r="K1171" s="26">
        <v>0.91228070175438603</v>
      </c>
      <c r="L1171" s="27">
        <v>0.95555555555555605</v>
      </c>
      <c r="M1171" s="26">
        <v>0.93333333333333302</v>
      </c>
      <c r="N1171" s="28">
        <v>0.9</v>
      </c>
      <c r="O1171" s="26">
        <v>0.96546678372841699</v>
      </c>
      <c r="P1171" s="26">
        <v>0.96509824198552197</v>
      </c>
      <c r="Q1171" s="26">
        <v>0.95162177020340799</v>
      </c>
      <c r="R1171" s="26">
        <v>0.963692136084774</v>
      </c>
      <c r="S1171" s="28">
        <v>0.9</v>
      </c>
      <c r="T1171" s="26">
        <v>0.94146912496341795</v>
      </c>
      <c r="U1171" s="26">
        <v>0.94751809720785896</v>
      </c>
      <c r="V1171" s="26">
        <v>0.95711929631665704</v>
      </c>
      <c r="W1171" s="26">
        <v>0.94261015058561104</v>
      </c>
      <c r="X1171" s="28">
        <v>0.92</v>
      </c>
      <c r="Y1171" s="28">
        <v>0.95030190431955397</v>
      </c>
      <c r="Z1171" s="28">
        <v>0.96052078958420795</v>
      </c>
      <c r="AA1171" s="28">
        <v>0.96428571428571397</v>
      </c>
      <c r="AB1171" s="28">
        <v>0.94931940758496702</v>
      </c>
      <c r="AC1171" s="28">
        <v>0.92</v>
      </c>
      <c r="AD1171" s="26">
        <v>0.99841552782729204</v>
      </c>
      <c r="AE1171" s="26">
        <v>0.997428797468354</v>
      </c>
      <c r="AF1171" s="26">
        <v>0.99230304859643803</v>
      </c>
      <c r="AG1171" s="26">
        <v>0.89539841455326397</v>
      </c>
      <c r="AH1171" s="28">
        <v>0.92</v>
      </c>
      <c r="AI1171" s="26">
        <v>0.96607431340872396</v>
      </c>
      <c r="AJ1171" s="26">
        <v>0.97423587774043896</v>
      </c>
      <c r="AK1171" s="26">
        <v>0.97509433962264103</v>
      </c>
      <c r="AL1171" s="26">
        <v>0.96862864282578598</v>
      </c>
      <c r="AM1171" s="25">
        <v>0.99</v>
      </c>
      <c r="AN1171" s="30">
        <v>1</v>
      </c>
      <c r="AO1171" s="30">
        <v>1</v>
      </c>
      <c r="AP1171" s="30">
        <v>1</v>
      </c>
      <c r="AQ1171" s="30">
        <v>1</v>
      </c>
      <c r="AR1171" s="50">
        <v>7.2186152540827803E-2</v>
      </c>
      <c r="AS1171" s="34">
        <v>0</v>
      </c>
      <c r="AT1171" s="34">
        <v>5.5555555555555601E-2</v>
      </c>
      <c r="AU1171" s="34">
        <v>-5.2631578947368397E-2</v>
      </c>
      <c r="AV1171" s="34">
        <v>3.3613445378151301E-2</v>
      </c>
      <c r="AW1171" s="10"/>
      <c r="AX1171" s="8"/>
    </row>
    <row r="1172" spans="1:50">
      <c r="A1172" s="7"/>
      <c r="B1172" s="10"/>
      <c r="C1172" s="45" t="s">
        <v>1100</v>
      </c>
      <c r="D1172" s="23" t="s">
        <v>25</v>
      </c>
      <c r="E1172" s="83" t="s">
        <v>1216</v>
      </c>
      <c r="F1172" s="83" t="s">
        <v>1216</v>
      </c>
      <c r="G1172" s="83" t="s">
        <v>1216</v>
      </c>
      <c r="H1172" s="83" t="s">
        <v>1216</v>
      </c>
      <c r="I1172" s="25">
        <v>0.9</v>
      </c>
      <c r="J1172" s="26">
        <v>0</v>
      </c>
      <c r="K1172" s="26">
        <v>0</v>
      </c>
      <c r="L1172" s="27">
        <v>0</v>
      </c>
      <c r="M1172" s="26">
        <v>0</v>
      </c>
      <c r="N1172" s="28">
        <v>0.9</v>
      </c>
      <c r="O1172" s="26">
        <v>0</v>
      </c>
      <c r="P1172" s="26">
        <v>0</v>
      </c>
      <c r="Q1172" s="26">
        <v>0</v>
      </c>
      <c r="R1172" s="26">
        <v>0</v>
      </c>
      <c r="S1172" s="28">
        <v>0.9</v>
      </c>
      <c r="T1172" s="26">
        <v>1</v>
      </c>
      <c r="U1172" s="26">
        <v>1</v>
      </c>
      <c r="V1172" s="26">
        <v>1</v>
      </c>
      <c r="W1172" s="26">
        <v>1</v>
      </c>
      <c r="X1172" s="28">
        <v>0.92</v>
      </c>
      <c r="Y1172" s="28">
        <v>0</v>
      </c>
      <c r="Z1172" s="28">
        <v>0</v>
      </c>
      <c r="AA1172" s="28">
        <v>0</v>
      </c>
      <c r="AB1172" s="28">
        <v>0.25</v>
      </c>
      <c r="AC1172" s="28">
        <v>0.92</v>
      </c>
      <c r="AD1172" s="26">
        <v>0.98237272410993903</v>
      </c>
      <c r="AE1172" s="26">
        <v>0.94038270102864696</v>
      </c>
      <c r="AF1172" s="26">
        <v>0.91585795030393502</v>
      </c>
      <c r="AG1172" s="26">
        <v>0.97018003155931698</v>
      </c>
      <c r="AH1172" s="28">
        <v>0.92</v>
      </c>
      <c r="AI1172" s="26">
        <v>0.57142857142857095</v>
      </c>
      <c r="AJ1172" s="26">
        <v>1</v>
      </c>
      <c r="AK1172" s="26">
        <v>1</v>
      </c>
      <c r="AL1172" s="26">
        <v>0.85714285714285698</v>
      </c>
      <c r="AM1172" s="25">
        <v>0.99</v>
      </c>
      <c r="AN1172" s="30">
        <v>1</v>
      </c>
      <c r="AO1172" s="30">
        <v>1</v>
      </c>
      <c r="AP1172" s="30">
        <v>1</v>
      </c>
      <c r="AQ1172" s="30">
        <v>1</v>
      </c>
      <c r="AR1172" s="50">
        <v>7.2186152540827803E-2</v>
      </c>
      <c r="AS1172" s="34">
        <v>0</v>
      </c>
      <c r="AT1172" s="34">
        <v>0</v>
      </c>
      <c r="AU1172" s="34">
        <v>0</v>
      </c>
      <c r="AV1172" s="34">
        <v>0</v>
      </c>
      <c r="AW1172" s="10"/>
      <c r="AX1172" s="8"/>
    </row>
    <row r="1173" spans="1:50">
      <c r="A1173" s="7"/>
      <c r="B1173" s="10"/>
      <c r="C1173" s="45" t="s">
        <v>1100</v>
      </c>
      <c r="D1173" s="23" t="s">
        <v>25</v>
      </c>
      <c r="E1173" s="83" t="s">
        <v>1217</v>
      </c>
      <c r="F1173" s="83" t="s">
        <v>1217</v>
      </c>
      <c r="G1173" s="83" t="s">
        <v>1217</v>
      </c>
      <c r="H1173" s="83" t="s">
        <v>1217</v>
      </c>
      <c r="I1173" s="25">
        <v>0.9</v>
      </c>
      <c r="J1173" s="26">
        <v>0.92</v>
      </c>
      <c r="K1173" s="26">
        <v>0.96078431372549</v>
      </c>
      <c r="L1173" s="27">
        <v>0.92682926829268297</v>
      </c>
      <c r="M1173" s="26">
        <v>0.93661971830985902</v>
      </c>
      <c r="N1173" s="28">
        <v>0.9</v>
      </c>
      <c r="O1173" s="26">
        <v>0.93998756218905499</v>
      </c>
      <c r="P1173" s="26">
        <v>0.92838654012079402</v>
      </c>
      <c r="Q1173" s="26">
        <v>0.97089262613195304</v>
      </c>
      <c r="R1173" s="26">
        <v>0.95762149109568395</v>
      </c>
      <c r="S1173" s="28">
        <v>0.9</v>
      </c>
      <c r="T1173" s="26">
        <v>0.89210199004975099</v>
      </c>
      <c r="U1173" s="26">
        <v>0.89157319528329004</v>
      </c>
      <c r="V1173" s="26">
        <v>0.90750323415265199</v>
      </c>
      <c r="W1173" s="26">
        <v>0.90383338364020505</v>
      </c>
      <c r="X1173" s="28">
        <v>0.92</v>
      </c>
      <c r="Y1173" s="28">
        <v>0.94094264622373602</v>
      </c>
      <c r="Z1173" s="28">
        <v>0.96055684454756396</v>
      </c>
      <c r="AA1173" s="28">
        <v>0.95205479452054798</v>
      </c>
      <c r="AB1173" s="28">
        <v>0.94960552268244602</v>
      </c>
      <c r="AC1173" s="28">
        <v>0.92</v>
      </c>
      <c r="AD1173" s="26">
        <v>0.99849812265331706</v>
      </c>
      <c r="AE1173" s="26">
        <v>0.99749498997996</v>
      </c>
      <c r="AF1173" s="26">
        <v>0.99689815612614197</v>
      </c>
      <c r="AG1173" s="26">
        <v>0.99805289057244995</v>
      </c>
      <c r="AH1173" s="28">
        <v>0.92</v>
      </c>
      <c r="AI1173" s="26">
        <v>0.96564195298372502</v>
      </c>
      <c r="AJ1173" s="26">
        <v>0.97478693181818199</v>
      </c>
      <c r="AK1173" s="26">
        <v>0.96818181818181803</v>
      </c>
      <c r="AL1173" s="26">
        <v>0.97139540978696304</v>
      </c>
      <c r="AM1173" s="25">
        <v>0.99</v>
      </c>
      <c r="AN1173" s="30">
        <v>1</v>
      </c>
      <c r="AO1173" s="30">
        <v>1</v>
      </c>
      <c r="AP1173" s="30">
        <v>1</v>
      </c>
      <c r="AQ1173" s="30">
        <v>1</v>
      </c>
      <c r="AR1173" s="50">
        <v>7.2186152540827803E-2</v>
      </c>
      <c r="AS1173" s="34">
        <v>0.1</v>
      </c>
      <c r="AT1173" s="34">
        <v>6.6666666666666693E-2</v>
      </c>
      <c r="AU1173" s="34">
        <v>0</v>
      </c>
      <c r="AV1173" s="34">
        <v>4.7058823529411799E-2</v>
      </c>
      <c r="AW1173" s="10"/>
      <c r="AX1173" s="8"/>
    </row>
    <row r="1174" spans="1:50">
      <c r="A1174" s="7"/>
      <c r="B1174" s="10"/>
      <c r="C1174" s="45" t="s">
        <v>1100</v>
      </c>
      <c r="D1174" s="23" t="s">
        <v>25</v>
      </c>
      <c r="E1174" s="83" t="s">
        <v>1218</v>
      </c>
      <c r="F1174" s="83" t="s">
        <v>1218</v>
      </c>
      <c r="G1174" s="83" t="s">
        <v>1218</v>
      </c>
      <c r="H1174" s="83" t="s">
        <v>1218</v>
      </c>
      <c r="I1174" s="25">
        <v>0.9</v>
      </c>
      <c r="J1174" s="26">
        <v>0.92156862745098</v>
      </c>
      <c r="K1174" s="26">
        <v>0.94117647058823495</v>
      </c>
      <c r="L1174" s="27">
        <v>0.95121951219512202</v>
      </c>
      <c r="M1174" s="26">
        <v>0.95636363636363597</v>
      </c>
      <c r="N1174" s="28">
        <v>0.9</v>
      </c>
      <c r="O1174" s="26">
        <v>0.96675191815856798</v>
      </c>
      <c r="P1174" s="26">
        <v>0.97503001200480199</v>
      </c>
      <c r="Q1174" s="26">
        <v>0.94966954753431598</v>
      </c>
      <c r="R1174" s="26">
        <v>0.96906336675912097</v>
      </c>
      <c r="S1174" s="28">
        <v>0.9</v>
      </c>
      <c r="T1174" s="26">
        <v>0.93975561238988303</v>
      </c>
      <c r="U1174" s="26">
        <v>0.951980792316927</v>
      </c>
      <c r="V1174" s="26">
        <v>0.92933401118454495</v>
      </c>
      <c r="W1174" s="26">
        <v>0.94602090889694901</v>
      </c>
      <c r="X1174" s="28">
        <v>0.92</v>
      </c>
      <c r="Y1174" s="28">
        <v>0.96795149415331305</v>
      </c>
      <c r="Z1174" s="28">
        <v>0.96691336525903304</v>
      </c>
      <c r="AA1174" s="28">
        <v>0.96404602109300097</v>
      </c>
      <c r="AB1174" s="28">
        <v>0.95494198356906901</v>
      </c>
      <c r="AC1174" s="28">
        <v>0.92</v>
      </c>
      <c r="AD1174" s="26">
        <v>0.999495798319328</v>
      </c>
      <c r="AE1174" s="26">
        <v>0.99740394600207705</v>
      </c>
      <c r="AF1174" s="26">
        <v>0.99529764882441196</v>
      </c>
      <c r="AG1174" s="26">
        <v>0.99027310138421298</v>
      </c>
      <c r="AH1174" s="28">
        <v>0.92</v>
      </c>
      <c r="AI1174" s="26">
        <v>0.97460971007033803</v>
      </c>
      <c r="AJ1174" s="26">
        <v>0.98204890126895705</v>
      </c>
      <c r="AK1174" s="26">
        <v>0.97385298470646298</v>
      </c>
      <c r="AL1174" s="26">
        <v>0.97365751497104003</v>
      </c>
      <c r="AM1174" s="25">
        <v>0.99</v>
      </c>
      <c r="AN1174" s="30">
        <v>1</v>
      </c>
      <c r="AO1174" s="30">
        <v>1</v>
      </c>
      <c r="AP1174" s="30">
        <v>1</v>
      </c>
      <c r="AQ1174" s="30">
        <v>1</v>
      </c>
      <c r="AR1174" s="50">
        <v>7.2186152540827803E-2</v>
      </c>
      <c r="AS1174" s="34">
        <v>0.14285714285714299</v>
      </c>
      <c r="AT1174" s="34">
        <v>0</v>
      </c>
      <c r="AU1174" s="34">
        <v>5.8823529411764698E-2</v>
      </c>
      <c r="AV1174" s="34">
        <v>8.04597701149425E-2</v>
      </c>
      <c r="AW1174" s="10"/>
      <c r="AX1174" s="8"/>
    </row>
    <row r="1175" spans="1:50">
      <c r="A1175" s="7"/>
      <c r="B1175" s="10"/>
      <c r="C1175" s="45" t="s">
        <v>1100</v>
      </c>
      <c r="D1175" s="23" t="s">
        <v>25</v>
      </c>
      <c r="E1175" s="83" t="s">
        <v>1219</v>
      </c>
      <c r="F1175" s="83" t="s">
        <v>1219</v>
      </c>
      <c r="G1175" s="83" t="s">
        <v>1219</v>
      </c>
      <c r="H1175" s="83" t="s">
        <v>1219</v>
      </c>
      <c r="I1175" s="25">
        <v>0.9</v>
      </c>
      <c r="J1175" s="26">
        <v>0.95652173913043503</v>
      </c>
      <c r="K1175" s="26">
        <v>0.95833333333333304</v>
      </c>
      <c r="L1175" s="27">
        <v>0.91304347826086996</v>
      </c>
      <c r="M1175" s="26">
        <v>0.95104895104895104</v>
      </c>
      <c r="N1175" s="28">
        <v>0.9</v>
      </c>
      <c r="O1175" s="26">
        <v>0.97836434443963605</v>
      </c>
      <c r="P1175" s="26">
        <v>0.99032258064516099</v>
      </c>
      <c r="Q1175" s="26">
        <v>0.97952994692949202</v>
      </c>
      <c r="R1175" s="26">
        <v>0.98706203792992597</v>
      </c>
      <c r="S1175" s="28">
        <v>0.9</v>
      </c>
      <c r="T1175" s="26">
        <v>0.91129381220251005</v>
      </c>
      <c r="U1175" s="26">
        <v>0.91218637992831497</v>
      </c>
      <c r="V1175" s="26">
        <v>0.93707354056103098</v>
      </c>
      <c r="W1175" s="26">
        <v>0.93458694953391197</v>
      </c>
      <c r="X1175" s="28">
        <v>0.92</v>
      </c>
      <c r="Y1175" s="28">
        <v>0.97052913596784995</v>
      </c>
      <c r="Z1175" s="28">
        <v>0.96575821104123005</v>
      </c>
      <c r="AA1175" s="28">
        <v>0.96414342629482097</v>
      </c>
      <c r="AB1175" s="28">
        <v>0.96724720561476496</v>
      </c>
      <c r="AC1175" s="28">
        <v>0.92</v>
      </c>
      <c r="AD1175" s="26">
        <v>0.99753665689149595</v>
      </c>
      <c r="AE1175" s="26">
        <v>0.99427636958299304</v>
      </c>
      <c r="AF1175" s="26">
        <v>0.99445687056306498</v>
      </c>
      <c r="AG1175" s="26">
        <v>0.99451202935979299</v>
      </c>
      <c r="AH1175" s="28">
        <v>0.92</v>
      </c>
      <c r="AI1175" s="26">
        <v>0.97213459516298595</v>
      </c>
      <c r="AJ1175" s="26">
        <v>0.97063003315964003</v>
      </c>
      <c r="AK1175" s="26">
        <v>0.97475728155339803</v>
      </c>
      <c r="AL1175" s="26">
        <v>0.97581926514399198</v>
      </c>
      <c r="AM1175" s="25">
        <v>0.99</v>
      </c>
      <c r="AN1175" s="30">
        <v>1</v>
      </c>
      <c r="AO1175" s="30">
        <v>1</v>
      </c>
      <c r="AP1175" s="30">
        <v>1</v>
      </c>
      <c r="AQ1175" s="30">
        <v>1</v>
      </c>
      <c r="AR1175" s="50">
        <v>7.2186152540827803E-2</v>
      </c>
      <c r="AS1175" s="34">
        <v>0.13043478260869601</v>
      </c>
      <c r="AT1175" s="34">
        <v>0</v>
      </c>
      <c r="AU1175" s="34">
        <v>0</v>
      </c>
      <c r="AV1175" s="34">
        <v>7.5949367088607597E-2</v>
      </c>
      <c r="AW1175" s="10"/>
      <c r="AX1175" s="8"/>
    </row>
    <row r="1176" spans="1:50">
      <c r="A1176" s="7"/>
      <c r="B1176" s="10"/>
      <c r="C1176" s="45" t="s">
        <v>1100</v>
      </c>
      <c r="D1176" s="23" t="s">
        <v>25</v>
      </c>
      <c r="E1176" s="83" t="s">
        <v>1220</v>
      </c>
      <c r="F1176" s="83" t="s">
        <v>1220</v>
      </c>
      <c r="G1176" s="83" t="s">
        <v>1220</v>
      </c>
      <c r="H1176" s="83" t="s">
        <v>1220</v>
      </c>
      <c r="I1176" s="25">
        <v>0.9</v>
      </c>
      <c r="J1176" s="26">
        <v>0.93877551020408201</v>
      </c>
      <c r="K1176" s="26">
        <v>0.88</v>
      </c>
      <c r="L1176" s="27">
        <v>0.90909090909090895</v>
      </c>
      <c r="M1176" s="26">
        <v>0.93065693430656904</v>
      </c>
      <c r="N1176" s="28">
        <v>0.9</v>
      </c>
      <c r="O1176" s="26">
        <v>0.95887497045615699</v>
      </c>
      <c r="P1176" s="26">
        <v>0.94406463642013705</v>
      </c>
      <c r="Q1176" s="26">
        <v>0.96567717996289404</v>
      </c>
      <c r="R1176" s="26">
        <v>0.95957737842554602</v>
      </c>
      <c r="S1176" s="28">
        <v>0.9</v>
      </c>
      <c r="T1176" s="26">
        <v>0.91136847081068295</v>
      </c>
      <c r="U1176" s="26">
        <v>0.89703749741039995</v>
      </c>
      <c r="V1176" s="26">
        <v>0.93228200371057501</v>
      </c>
      <c r="W1176" s="26">
        <v>0.91387198717041696</v>
      </c>
      <c r="X1176" s="28">
        <v>0.92</v>
      </c>
      <c r="Y1176" s="28">
        <v>0.94071310116086204</v>
      </c>
      <c r="Z1176" s="28">
        <v>0.952823920265781</v>
      </c>
      <c r="AA1176" s="28">
        <v>0.95315767461313305</v>
      </c>
      <c r="AB1176" s="28">
        <v>0.953603015803973</v>
      </c>
      <c r="AC1176" s="28">
        <v>0.92</v>
      </c>
      <c r="AD1176" s="26">
        <v>0.99552047781569997</v>
      </c>
      <c r="AE1176" s="26">
        <v>0.99598673878904198</v>
      </c>
      <c r="AF1176" s="26">
        <v>0.99776374638253096</v>
      </c>
      <c r="AG1176" s="26">
        <v>0.99550492610837404</v>
      </c>
      <c r="AH1176" s="28">
        <v>0.92</v>
      </c>
      <c r="AI1176" s="26">
        <v>0.96298525428829396</v>
      </c>
      <c r="AJ1176" s="26">
        <v>0.96606277111507999</v>
      </c>
      <c r="AK1176" s="26">
        <v>0.96394019349164495</v>
      </c>
      <c r="AL1176" s="26">
        <v>0.96679999999999999</v>
      </c>
      <c r="AM1176" s="25">
        <v>0.99</v>
      </c>
      <c r="AN1176" s="30">
        <v>1</v>
      </c>
      <c r="AO1176" s="30">
        <v>1</v>
      </c>
      <c r="AP1176" s="30">
        <v>1</v>
      </c>
      <c r="AQ1176" s="30">
        <v>1</v>
      </c>
      <c r="AR1176" s="50">
        <v>7.2186152540827803E-2</v>
      </c>
      <c r="AS1176" s="34">
        <v>-3.03030303030303E-2</v>
      </c>
      <c r="AT1176" s="34">
        <v>5.7142857142857099E-2</v>
      </c>
      <c r="AU1176" s="34">
        <v>3.2258064516128997E-2</v>
      </c>
      <c r="AV1176" s="34">
        <v>2.8409090909090901E-2</v>
      </c>
      <c r="AW1176" s="10"/>
      <c r="AX1176" s="8"/>
    </row>
    <row r="1177" spans="1:50">
      <c r="A1177" s="7"/>
      <c r="B1177" s="10"/>
      <c r="C1177" s="45" t="s">
        <v>1100</v>
      </c>
      <c r="D1177" s="23" t="s">
        <v>25</v>
      </c>
      <c r="E1177" s="83" t="s">
        <v>1221</v>
      </c>
      <c r="F1177" s="83" t="s">
        <v>1221</v>
      </c>
      <c r="G1177" s="83" t="s">
        <v>1221</v>
      </c>
      <c r="H1177" s="83" t="s">
        <v>1221</v>
      </c>
      <c r="I1177" s="25">
        <v>0.9</v>
      </c>
      <c r="J1177" s="26">
        <v>0.94545454545454499</v>
      </c>
      <c r="K1177" s="26">
        <v>0.875</v>
      </c>
      <c r="L1177" s="27">
        <v>0.88888888888888895</v>
      </c>
      <c r="M1177" s="26">
        <v>0.89403973509933798</v>
      </c>
      <c r="N1177" s="28">
        <v>0.9</v>
      </c>
      <c r="O1177" s="26">
        <v>0.93091787439613505</v>
      </c>
      <c r="P1177" s="26">
        <v>0.92340425531914905</v>
      </c>
      <c r="Q1177" s="26">
        <v>0.90781893004115199</v>
      </c>
      <c r="R1177" s="26">
        <v>0.89992695398100797</v>
      </c>
      <c r="S1177" s="28">
        <v>0.9</v>
      </c>
      <c r="T1177" s="26">
        <v>0.92149758454106301</v>
      </c>
      <c r="U1177" s="26">
        <v>0.92234042553191498</v>
      </c>
      <c r="V1177" s="26">
        <v>0.92962962962963003</v>
      </c>
      <c r="W1177" s="26">
        <v>0.91001643535427301</v>
      </c>
      <c r="X1177" s="28">
        <v>0.92</v>
      </c>
      <c r="Y1177" s="28">
        <v>0.95061240616357201</v>
      </c>
      <c r="Z1177" s="28">
        <v>0.95374912403643997</v>
      </c>
      <c r="AA1177" s="28">
        <v>0.93361169102296404</v>
      </c>
      <c r="AB1177" s="28">
        <v>0.93858449132406896</v>
      </c>
      <c r="AC1177" s="28">
        <v>0.92</v>
      </c>
      <c r="AD1177" s="26">
        <v>0.994917127071823</v>
      </c>
      <c r="AE1177" s="26">
        <v>0.99540367705835298</v>
      </c>
      <c r="AF1177" s="26">
        <v>0.99097726740098402</v>
      </c>
      <c r="AG1177" s="26">
        <v>0.98887867938278295</v>
      </c>
      <c r="AH1177" s="28">
        <v>0.92</v>
      </c>
      <c r="AI1177" s="26">
        <v>0.96342377454654504</v>
      </c>
      <c r="AJ1177" s="26">
        <v>0.97088021178027795</v>
      </c>
      <c r="AK1177" s="26">
        <v>0.95731454620804002</v>
      </c>
      <c r="AL1177" s="26">
        <v>0.96030282713152304</v>
      </c>
      <c r="AM1177" s="25">
        <v>0.99</v>
      </c>
      <c r="AN1177" s="30">
        <v>1</v>
      </c>
      <c r="AO1177" s="30">
        <v>1</v>
      </c>
      <c r="AP1177" s="30">
        <v>1</v>
      </c>
      <c r="AQ1177" s="30">
        <v>1</v>
      </c>
      <c r="AR1177" s="50">
        <v>7.2186152540827803E-2</v>
      </c>
      <c r="AS1177" s="34">
        <v>5.5555555555555601E-2</v>
      </c>
      <c r="AT1177" s="34">
        <v>4.1666666666666699E-2</v>
      </c>
      <c r="AU1177" s="34">
        <v>0</v>
      </c>
      <c r="AV1177" s="34">
        <v>2.9702970297029702E-2</v>
      </c>
      <c r="AW1177" s="10"/>
      <c r="AX1177" s="8"/>
    </row>
    <row r="1178" spans="1:50">
      <c r="A1178" s="7"/>
      <c r="B1178" s="10"/>
      <c r="C1178" s="45" t="s">
        <v>1100</v>
      </c>
      <c r="D1178" s="23" t="s">
        <v>25</v>
      </c>
      <c r="E1178" s="83" t="s">
        <v>1222</v>
      </c>
      <c r="F1178" s="83" t="s">
        <v>1222</v>
      </c>
      <c r="G1178" s="83" t="s">
        <v>1222</v>
      </c>
      <c r="H1178" s="83" t="s">
        <v>1222</v>
      </c>
      <c r="I1178" s="25">
        <v>0.9</v>
      </c>
      <c r="J1178" s="26">
        <v>0.92727272727272703</v>
      </c>
      <c r="K1178" s="26">
        <v>0.96363636363636396</v>
      </c>
      <c r="L1178" s="27">
        <v>0.94871794871794901</v>
      </c>
      <c r="M1178" s="26">
        <v>0.94076655052264802</v>
      </c>
      <c r="N1178" s="28">
        <v>0.9</v>
      </c>
      <c r="O1178" s="26">
        <v>0.94561016013252297</v>
      </c>
      <c r="P1178" s="26">
        <v>0.96302772920309798</v>
      </c>
      <c r="Q1178" s="26">
        <v>0.96025104602510503</v>
      </c>
      <c r="R1178" s="26">
        <v>0.95880946053680605</v>
      </c>
      <c r="S1178" s="28">
        <v>0.9</v>
      </c>
      <c r="T1178" s="26">
        <v>0.92932081722805104</v>
      </c>
      <c r="U1178" s="26">
        <v>0.92655508368723505</v>
      </c>
      <c r="V1178" s="26">
        <v>0.92102510460250997</v>
      </c>
      <c r="W1178" s="26">
        <v>0.92032952431570603</v>
      </c>
      <c r="X1178" s="28">
        <v>0.92</v>
      </c>
      <c r="Y1178" s="28">
        <v>0.93786733837111702</v>
      </c>
      <c r="Z1178" s="28">
        <v>0.92572214580467704</v>
      </c>
      <c r="AA1178" s="28">
        <v>0.92012133468149604</v>
      </c>
      <c r="AB1178" s="28">
        <v>0.90657874077563205</v>
      </c>
      <c r="AC1178" s="28">
        <v>0.92</v>
      </c>
      <c r="AD1178" s="26">
        <v>0.99787556904400598</v>
      </c>
      <c r="AE1178" s="26">
        <v>0.99791103465224895</v>
      </c>
      <c r="AF1178" s="26">
        <v>0.99640998025489103</v>
      </c>
      <c r="AG1178" s="26">
        <v>0.99704663762881096</v>
      </c>
      <c r="AH1178" s="28">
        <v>0.92</v>
      </c>
      <c r="AI1178" s="26">
        <v>0.96011632737847896</v>
      </c>
      <c r="AJ1178" s="26">
        <v>0.96060106285504898</v>
      </c>
      <c r="AK1178" s="26">
        <v>0.94626248708232896</v>
      </c>
      <c r="AL1178" s="26">
        <v>0.95021241116448996</v>
      </c>
      <c r="AM1178" s="25">
        <v>0.99</v>
      </c>
      <c r="AN1178" s="30">
        <v>1</v>
      </c>
      <c r="AO1178" s="30">
        <v>1</v>
      </c>
      <c r="AP1178" s="30">
        <v>1</v>
      </c>
      <c r="AQ1178" s="30">
        <v>1</v>
      </c>
      <c r="AR1178" s="50">
        <v>7.2186152540827803E-2</v>
      </c>
      <c r="AS1178" s="34">
        <v>0</v>
      </c>
      <c r="AT1178" s="34">
        <v>0</v>
      </c>
      <c r="AU1178" s="34">
        <v>0.27272727272727298</v>
      </c>
      <c r="AV1178" s="34">
        <v>2.7522935779816501E-2</v>
      </c>
      <c r="AW1178" s="10"/>
      <c r="AX1178" s="8"/>
    </row>
    <row r="1179" spans="1:50">
      <c r="A1179" s="7"/>
      <c r="B1179" s="10"/>
      <c r="C1179" s="45" t="s">
        <v>1100</v>
      </c>
      <c r="D1179" s="23" t="s">
        <v>25</v>
      </c>
      <c r="E1179" s="83" t="s">
        <v>1223</v>
      </c>
      <c r="F1179" s="83" t="s">
        <v>1223</v>
      </c>
      <c r="G1179" s="83" t="s">
        <v>1223</v>
      </c>
      <c r="H1179" s="83" t="s">
        <v>1223</v>
      </c>
      <c r="I1179" s="25">
        <v>0.9</v>
      </c>
      <c r="J1179" s="26">
        <v>0.96428571428571397</v>
      </c>
      <c r="K1179" s="26">
        <v>0.93220338983050799</v>
      </c>
      <c r="L1179" s="27">
        <v>0.934782608695652</v>
      </c>
      <c r="M1179" s="26">
        <v>0.93416927899686497</v>
      </c>
      <c r="N1179" s="28">
        <v>0.9</v>
      </c>
      <c r="O1179" s="26">
        <v>0.96534017971758701</v>
      </c>
      <c r="P1179" s="26">
        <v>0.96967455621301801</v>
      </c>
      <c r="Q1179" s="26">
        <v>0.95456814777833299</v>
      </c>
      <c r="R1179" s="26">
        <v>0.96786742787854296</v>
      </c>
      <c r="S1179" s="28">
        <v>0.9</v>
      </c>
      <c r="T1179" s="26">
        <v>0.92118100128369695</v>
      </c>
      <c r="U1179" s="26">
        <v>0.93145956607495095</v>
      </c>
      <c r="V1179" s="26">
        <v>0.92860708936595104</v>
      </c>
      <c r="W1179" s="26">
        <v>0.925882887889658</v>
      </c>
      <c r="X1179" s="28">
        <v>0.92</v>
      </c>
      <c r="Y1179" s="28">
        <v>0.95596755504055597</v>
      </c>
      <c r="Z1179" s="28">
        <v>0.95661764705882402</v>
      </c>
      <c r="AA1179" s="28">
        <v>0.961145194274029</v>
      </c>
      <c r="AB1179" s="28">
        <v>0.95597897503285201</v>
      </c>
      <c r="AC1179" s="28">
        <v>0.92</v>
      </c>
      <c r="AD1179" s="26">
        <v>0.99822143174744304</v>
      </c>
      <c r="AE1179" s="26">
        <v>0.99686301847333603</v>
      </c>
      <c r="AF1179" s="26">
        <v>0.99642715363239398</v>
      </c>
      <c r="AG1179" s="26">
        <v>0.99680766161213097</v>
      </c>
      <c r="AH1179" s="28">
        <v>0.92</v>
      </c>
      <c r="AI1179" s="26">
        <v>0.97393862967633504</v>
      </c>
      <c r="AJ1179" s="26">
        <v>0.96990398818316104</v>
      </c>
      <c r="AK1179" s="26">
        <v>0.96814218645204597</v>
      </c>
      <c r="AL1179" s="26">
        <v>0.97171779615176601</v>
      </c>
      <c r="AM1179" s="25">
        <v>0.99</v>
      </c>
      <c r="AN1179" s="30">
        <v>1</v>
      </c>
      <c r="AO1179" s="30">
        <v>1</v>
      </c>
      <c r="AP1179" s="30">
        <v>1</v>
      </c>
      <c r="AQ1179" s="30">
        <v>1</v>
      </c>
      <c r="AR1179" s="50">
        <v>7.2186152540827803E-2</v>
      </c>
      <c r="AS1179" s="34">
        <v>0.05</v>
      </c>
      <c r="AT1179" s="34">
        <v>0</v>
      </c>
      <c r="AU1179" s="34">
        <v>0</v>
      </c>
      <c r="AV1179" s="34">
        <v>2.1052631578947399E-2</v>
      </c>
      <c r="AW1179" s="10"/>
      <c r="AX1179" s="8"/>
    </row>
    <row r="1180" spans="1:50">
      <c r="A1180" s="7"/>
      <c r="B1180" s="10"/>
      <c r="C1180" s="45" t="s">
        <v>1100</v>
      </c>
      <c r="D1180" s="23" t="s">
        <v>25</v>
      </c>
      <c r="E1180" s="83" t="s">
        <v>1224</v>
      </c>
      <c r="F1180" s="83" t="s">
        <v>1224</v>
      </c>
      <c r="G1180" s="83" t="s">
        <v>1224</v>
      </c>
      <c r="H1180" s="83" t="s">
        <v>1224</v>
      </c>
      <c r="I1180" s="25">
        <v>0.9</v>
      </c>
      <c r="J1180" s="26">
        <v>0.91463414634146301</v>
      </c>
      <c r="K1180" s="26">
        <v>0.91566265060241003</v>
      </c>
      <c r="L1180" s="27">
        <v>0.92307692307692302</v>
      </c>
      <c r="M1180" s="26">
        <v>0.91946308724832204</v>
      </c>
      <c r="N1180" s="28">
        <v>0.9</v>
      </c>
      <c r="O1180" s="26">
        <v>0.95966937437651401</v>
      </c>
      <c r="P1180" s="26">
        <v>0.950669115717659</v>
      </c>
      <c r="Q1180" s="26">
        <v>0.99171566007482603</v>
      </c>
      <c r="R1180" s="26">
        <v>0.96782385443991703</v>
      </c>
      <c r="S1180" s="28">
        <v>0.9</v>
      </c>
      <c r="T1180" s="26">
        <v>0.92361408009120705</v>
      </c>
      <c r="U1180" s="26">
        <v>0.93676200472316995</v>
      </c>
      <c r="V1180" s="26">
        <v>0.92944949225013396</v>
      </c>
      <c r="W1180" s="26">
        <v>0.93762906736618901</v>
      </c>
      <c r="X1180" s="28">
        <v>0.92</v>
      </c>
      <c r="Y1180" s="28">
        <v>0.87656903765690397</v>
      </c>
      <c r="Z1180" s="28">
        <v>0.87711864406779705</v>
      </c>
      <c r="AA1180" s="28">
        <v>0.89500280741156701</v>
      </c>
      <c r="AB1180" s="28">
        <v>0.87458105485976401</v>
      </c>
      <c r="AC1180" s="28">
        <v>0.92</v>
      </c>
      <c r="AD1180" s="26">
        <v>0.99655028224963405</v>
      </c>
      <c r="AE1180" s="26">
        <v>0.86809786287593105</v>
      </c>
      <c r="AF1180" s="26">
        <v>0.99699976921301603</v>
      </c>
      <c r="AG1180" s="26">
        <v>0.98000689857812595</v>
      </c>
      <c r="AH1180" s="28">
        <v>0.92</v>
      </c>
      <c r="AI1180" s="26">
        <v>0.94904244596259402</v>
      </c>
      <c r="AJ1180" s="26">
        <v>0.960332565361114</v>
      </c>
      <c r="AK1180" s="26">
        <v>0.95509686764439605</v>
      </c>
      <c r="AL1180" s="26">
        <v>0.95700930617090296</v>
      </c>
      <c r="AM1180" s="25">
        <v>0.99</v>
      </c>
      <c r="AN1180" s="30">
        <v>1</v>
      </c>
      <c r="AO1180" s="30">
        <v>1</v>
      </c>
      <c r="AP1180" s="30">
        <v>1</v>
      </c>
      <c r="AQ1180" s="30">
        <v>1</v>
      </c>
      <c r="AR1180" s="50">
        <v>7.2186152540827803E-2</v>
      </c>
      <c r="AS1180" s="34">
        <v>5.7142857142857099E-2</v>
      </c>
      <c r="AT1180" s="34">
        <v>7.69230769230769E-2</v>
      </c>
      <c r="AU1180" s="34">
        <v>0.04</v>
      </c>
      <c r="AV1180" s="34">
        <v>3.24324324324324E-2</v>
      </c>
      <c r="AW1180" s="10"/>
      <c r="AX1180" s="8"/>
    </row>
    <row r="1181" spans="1:50">
      <c r="A1181" s="7"/>
      <c r="B1181" s="10"/>
      <c r="C1181" s="45" t="s">
        <v>1100</v>
      </c>
      <c r="D1181" s="23" t="s">
        <v>25</v>
      </c>
      <c r="E1181" s="83" t="s">
        <v>1225</v>
      </c>
      <c r="F1181" s="83" t="s">
        <v>1225</v>
      </c>
      <c r="G1181" s="83" t="s">
        <v>1225</v>
      </c>
      <c r="H1181" s="83" t="s">
        <v>1225</v>
      </c>
      <c r="I1181" s="25">
        <v>0.9</v>
      </c>
      <c r="J1181" s="26">
        <v>1</v>
      </c>
      <c r="K1181" s="26">
        <v>0.93333333333333302</v>
      </c>
      <c r="L1181" s="27">
        <v>0.90476190476190499</v>
      </c>
      <c r="M1181" s="26">
        <v>0.92500000000000004</v>
      </c>
      <c r="N1181" s="28">
        <v>0.9</v>
      </c>
      <c r="O1181" s="26">
        <v>0.94169776119403004</v>
      </c>
      <c r="P1181" s="26">
        <v>0.90650233744156405</v>
      </c>
      <c r="Q1181" s="26">
        <v>0.97765957446808505</v>
      </c>
      <c r="R1181" s="26">
        <v>0.94432989690721603</v>
      </c>
      <c r="S1181" s="28">
        <v>0.9</v>
      </c>
      <c r="T1181" s="26">
        <v>0.90391791044776104</v>
      </c>
      <c r="U1181" s="26">
        <v>0.90310242243943895</v>
      </c>
      <c r="V1181" s="26">
        <v>0.88723404255319105</v>
      </c>
      <c r="W1181" s="26">
        <v>0.91724461105904398</v>
      </c>
      <c r="X1181" s="28">
        <v>0.92</v>
      </c>
      <c r="Y1181" s="28">
        <v>0.94163424124513595</v>
      </c>
      <c r="Z1181" s="28">
        <v>0.94912985274431105</v>
      </c>
      <c r="AA1181" s="28">
        <v>0.94080996884735202</v>
      </c>
      <c r="AB1181" s="28">
        <v>0.95431740163718004</v>
      </c>
      <c r="AC1181" s="28">
        <v>0.92</v>
      </c>
      <c r="AD1181" s="26">
        <v>0.993772703684484</v>
      </c>
      <c r="AE1181" s="26">
        <v>0.99522388059701505</v>
      </c>
      <c r="AF1181" s="26">
        <v>0.997989949748744</v>
      </c>
      <c r="AG1181" s="26">
        <v>0.99305294780322895</v>
      </c>
      <c r="AH1181" s="28">
        <v>0.92</v>
      </c>
      <c r="AI1181" s="26">
        <v>0.96425884123401095</v>
      </c>
      <c r="AJ1181" s="26">
        <v>0.97096774193548396</v>
      </c>
      <c r="AK1181" s="26">
        <v>0.95954487989886195</v>
      </c>
      <c r="AL1181" s="26">
        <v>0.97281969707448601</v>
      </c>
      <c r="AM1181" s="25">
        <v>0.99</v>
      </c>
      <c r="AN1181" s="30">
        <v>1</v>
      </c>
      <c r="AO1181" s="30">
        <v>1</v>
      </c>
      <c r="AP1181" s="30">
        <v>1</v>
      </c>
      <c r="AQ1181" s="30">
        <v>1</v>
      </c>
      <c r="AR1181" s="50">
        <v>7.2186152540827803E-2</v>
      </c>
      <c r="AS1181" s="34">
        <v>0</v>
      </c>
      <c r="AT1181" s="34">
        <v>0.25</v>
      </c>
      <c r="AU1181" s="34">
        <v>0</v>
      </c>
      <c r="AV1181" s="34">
        <v>8.8235294117647106E-2</v>
      </c>
      <c r="AW1181" s="10"/>
      <c r="AX1181" s="8"/>
    </row>
    <row r="1182" spans="1:50">
      <c r="A1182" s="7"/>
      <c r="B1182" s="10"/>
      <c r="C1182" s="45" t="s">
        <v>1100</v>
      </c>
      <c r="D1182" s="23" t="s">
        <v>25</v>
      </c>
      <c r="E1182" s="83" t="s">
        <v>1226</v>
      </c>
      <c r="F1182" s="83" t="s">
        <v>1226</v>
      </c>
      <c r="G1182" s="83" t="s">
        <v>1226</v>
      </c>
      <c r="H1182" s="83" t="s">
        <v>1226</v>
      </c>
      <c r="I1182" s="25">
        <v>0.9</v>
      </c>
      <c r="J1182" s="26">
        <v>0.92727272727272703</v>
      </c>
      <c r="K1182" s="26">
        <v>1</v>
      </c>
      <c r="L1182" s="27">
        <v>0.95121951219512202</v>
      </c>
      <c r="M1182" s="26">
        <v>0.95973154362416102</v>
      </c>
      <c r="N1182" s="28">
        <v>0.9</v>
      </c>
      <c r="O1182" s="26">
        <v>0.97945383615084503</v>
      </c>
      <c r="P1182" s="26">
        <v>0.98310360160071097</v>
      </c>
      <c r="Q1182" s="26">
        <v>0.97992164544564198</v>
      </c>
      <c r="R1182" s="26">
        <v>0.97984382625671096</v>
      </c>
      <c r="S1182" s="28">
        <v>0.9</v>
      </c>
      <c r="T1182" s="26">
        <v>0.923797139141743</v>
      </c>
      <c r="U1182" s="26">
        <v>0.91863050244553102</v>
      </c>
      <c r="V1182" s="26">
        <v>0.92654260528893195</v>
      </c>
      <c r="W1182" s="26">
        <v>0.92230356271351899</v>
      </c>
      <c r="X1182" s="28">
        <v>0.92</v>
      </c>
      <c r="Y1182" s="28">
        <v>0.91393826005612699</v>
      </c>
      <c r="Z1182" s="28">
        <v>0.94660564454614804</v>
      </c>
      <c r="AA1182" s="28">
        <v>0.94439295644114896</v>
      </c>
      <c r="AB1182" s="28">
        <v>0.94129649976455798</v>
      </c>
      <c r="AC1182" s="28">
        <v>0.92</v>
      </c>
      <c r="AD1182" s="26">
        <v>1</v>
      </c>
      <c r="AE1182" s="26">
        <v>0.99781540141998903</v>
      </c>
      <c r="AF1182" s="26">
        <v>0.99866369710467695</v>
      </c>
      <c r="AG1182" s="26">
        <v>0.99890240556114496</v>
      </c>
      <c r="AH1182" s="28">
        <v>0.92</v>
      </c>
      <c r="AI1182" s="26">
        <v>0.95461945461945497</v>
      </c>
      <c r="AJ1182" s="26">
        <v>0.97331726631089699</v>
      </c>
      <c r="AK1182" s="26">
        <v>0.96028187059577197</v>
      </c>
      <c r="AL1182" s="26">
        <v>0.96824510460874103</v>
      </c>
      <c r="AM1182" s="25">
        <v>0.99</v>
      </c>
      <c r="AN1182" s="30">
        <v>1</v>
      </c>
      <c r="AO1182" s="30">
        <v>1</v>
      </c>
      <c r="AP1182" s="30">
        <v>1</v>
      </c>
      <c r="AQ1182" s="30">
        <v>1</v>
      </c>
      <c r="AR1182" s="50">
        <v>7.2186152540827803E-2</v>
      </c>
      <c r="AS1182" s="34">
        <v>-0.04</v>
      </c>
      <c r="AT1182" s="34">
        <v>8.6956521739130405E-2</v>
      </c>
      <c r="AU1182" s="34">
        <v>0</v>
      </c>
      <c r="AV1182" s="34">
        <v>4.80769230769231E-2</v>
      </c>
      <c r="AW1182" s="10"/>
      <c r="AX1182" s="8"/>
    </row>
    <row r="1183" spans="1:50">
      <c r="A1183" s="7"/>
      <c r="B1183" s="10"/>
      <c r="C1183" s="45" t="s">
        <v>1100</v>
      </c>
      <c r="D1183" s="23" t="s">
        <v>25</v>
      </c>
      <c r="E1183" s="83" t="s">
        <v>1227</v>
      </c>
      <c r="F1183" s="83" t="s">
        <v>1227</v>
      </c>
      <c r="G1183" s="83" t="s">
        <v>1227</v>
      </c>
      <c r="H1183" s="83" t="s">
        <v>1227</v>
      </c>
      <c r="I1183" s="25">
        <v>0.9</v>
      </c>
      <c r="J1183" s="26">
        <v>0.97499999999999998</v>
      </c>
      <c r="K1183" s="26">
        <v>0.97727272727272696</v>
      </c>
      <c r="L1183" s="27">
        <v>0.94594594594594605</v>
      </c>
      <c r="M1183" s="26">
        <v>0.97967479674796698</v>
      </c>
      <c r="N1183" s="28">
        <v>0.9</v>
      </c>
      <c r="O1183" s="26">
        <v>0.96868618107556204</v>
      </c>
      <c r="P1183" s="26">
        <v>0.97472564017292995</v>
      </c>
      <c r="Q1183" s="26">
        <v>0.96529745042492898</v>
      </c>
      <c r="R1183" s="26">
        <v>0.97098891790781405</v>
      </c>
      <c r="S1183" s="28">
        <v>0.9</v>
      </c>
      <c r="T1183" s="26">
        <v>0.90265486725663702</v>
      </c>
      <c r="U1183" s="26">
        <v>0.92184901895576998</v>
      </c>
      <c r="V1183" s="26">
        <v>0.912889518413598</v>
      </c>
      <c r="W1183" s="26">
        <v>0.91953130514576098</v>
      </c>
      <c r="X1183" s="28">
        <v>0.92</v>
      </c>
      <c r="Y1183" s="28">
        <v>0.92721979621542905</v>
      </c>
      <c r="Z1183" s="28">
        <v>0.901980198019802</v>
      </c>
      <c r="AA1183" s="28">
        <v>0.929245283018868</v>
      </c>
      <c r="AB1183" s="28">
        <v>0.92866056572379396</v>
      </c>
      <c r="AC1183" s="28">
        <v>0.92</v>
      </c>
      <c r="AD1183" s="26">
        <v>0.99615384615384595</v>
      </c>
      <c r="AE1183" s="26">
        <v>0.99264705882352899</v>
      </c>
      <c r="AF1183" s="26">
        <v>0.99787384833451498</v>
      </c>
      <c r="AG1183" s="26">
        <v>0.99657534246575297</v>
      </c>
      <c r="AH1183" s="28">
        <v>0.92</v>
      </c>
      <c r="AI1183" s="26">
        <v>0.95227586206896597</v>
      </c>
      <c r="AJ1183" s="26">
        <v>0.95469255663430397</v>
      </c>
      <c r="AK1183" s="26">
        <v>0.95353982300884998</v>
      </c>
      <c r="AL1183" s="26">
        <v>0.95968379446640295</v>
      </c>
      <c r="AM1183" s="25">
        <v>0.99</v>
      </c>
      <c r="AN1183" s="30">
        <v>1</v>
      </c>
      <c r="AO1183" s="30">
        <v>1</v>
      </c>
      <c r="AP1183" s="30">
        <v>1</v>
      </c>
      <c r="AQ1183" s="30">
        <v>1</v>
      </c>
      <c r="AR1183" s="50">
        <v>7.2186152540827803E-2</v>
      </c>
      <c r="AS1183" s="34">
        <v>0.11764705882352899</v>
      </c>
      <c r="AT1183" s="34">
        <v>6.6666666666666693E-2</v>
      </c>
      <c r="AU1183" s="34">
        <v>0</v>
      </c>
      <c r="AV1183" s="34">
        <v>4.5977011494252901E-2</v>
      </c>
      <c r="AW1183" s="10"/>
      <c r="AX1183" s="8"/>
    </row>
    <row r="1184" spans="1:50">
      <c r="A1184" s="7"/>
      <c r="B1184" s="10"/>
      <c r="C1184" s="45" t="s">
        <v>1100</v>
      </c>
      <c r="D1184" s="23" t="s">
        <v>25</v>
      </c>
      <c r="E1184" s="83" t="s">
        <v>1228</v>
      </c>
      <c r="F1184" s="83" t="s">
        <v>1228</v>
      </c>
      <c r="G1184" s="83" t="s">
        <v>1228</v>
      </c>
      <c r="H1184" s="83" t="s">
        <v>1228</v>
      </c>
      <c r="I1184" s="25">
        <v>0.9</v>
      </c>
      <c r="J1184" s="26">
        <v>1</v>
      </c>
      <c r="K1184" s="26">
        <v>0.95918367346938804</v>
      </c>
      <c r="L1184" s="27">
        <v>0.90625</v>
      </c>
      <c r="M1184" s="26">
        <v>0.97265625</v>
      </c>
      <c r="N1184" s="28">
        <v>0.9</v>
      </c>
      <c r="O1184" s="26">
        <v>0.94617092119866797</v>
      </c>
      <c r="P1184" s="26">
        <v>0.95051754607422401</v>
      </c>
      <c r="Q1184" s="26">
        <v>0.95801937567276596</v>
      </c>
      <c r="R1184" s="26">
        <v>0.94368366056206299</v>
      </c>
      <c r="S1184" s="28">
        <v>0.9</v>
      </c>
      <c r="T1184" s="26">
        <v>0.92619311875693699</v>
      </c>
      <c r="U1184" s="26">
        <v>0.92729108810906302</v>
      </c>
      <c r="V1184" s="26">
        <v>0.91603875134553303</v>
      </c>
      <c r="W1184" s="26">
        <v>0.91134576252543598</v>
      </c>
      <c r="X1184" s="28">
        <v>0.92</v>
      </c>
      <c r="Y1184" s="28">
        <v>0.92707292707292699</v>
      </c>
      <c r="Z1184" s="28">
        <v>0.95051875498802896</v>
      </c>
      <c r="AA1184" s="28">
        <v>0.94843462246777199</v>
      </c>
      <c r="AB1184" s="28">
        <v>0.93410916243238795</v>
      </c>
      <c r="AC1184" s="28">
        <v>0.92</v>
      </c>
      <c r="AD1184" s="26">
        <v>0.99501359927470501</v>
      </c>
      <c r="AE1184" s="26">
        <v>0.99766751484308702</v>
      </c>
      <c r="AF1184" s="26">
        <v>0.99554937413073696</v>
      </c>
      <c r="AG1184" s="26">
        <v>0.99616830537883205</v>
      </c>
      <c r="AH1184" s="28">
        <v>0.92</v>
      </c>
      <c r="AI1184" s="26">
        <v>0.96264929424538503</v>
      </c>
      <c r="AJ1184" s="26">
        <v>0.97314921365554297</v>
      </c>
      <c r="AK1184" s="26">
        <v>0.96535326086956497</v>
      </c>
      <c r="AL1184" s="26">
        <v>0.96050897710426597</v>
      </c>
      <c r="AM1184" s="25">
        <v>0.99</v>
      </c>
      <c r="AN1184" s="30">
        <v>1</v>
      </c>
      <c r="AO1184" s="30">
        <v>1</v>
      </c>
      <c r="AP1184" s="30">
        <v>1</v>
      </c>
      <c r="AQ1184" s="30">
        <v>1</v>
      </c>
      <c r="AR1184" s="50">
        <v>7.2186152540827803E-2</v>
      </c>
      <c r="AS1184" s="34">
        <v>-0.05</v>
      </c>
      <c r="AT1184" s="34">
        <v>8.6956521739130405E-2</v>
      </c>
      <c r="AU1184" s="34">
        <v>0</v>
      </c>
      <c r="AV1184" s="34">
        <v>4.7619047619047603E-2</v>
      </c>
      <c r="AW1184" s="10"/>
      <c r="AX1184" s="8"/>
    </row>
    <row r="1185" spans="1:50">
      <c r="A1185" s="7"/>
      <c r="B1185" s="10"/>
      <c r="C1185" s="45" t="s">
        <v>1100</v>
      </c>
      <c r="D1185" s="23" t="s">
        <v>25</v>
      </c>
      <c r="E1185" s="83" t="s">
        <v>1229</v>
      </c>
      <c r="F1185" s="83" t="s">
        <v>1229</v>
      </c>
      <c r="G1185" s="83" t="s">
        <v>1229</v>
      </c>
      <c r="H1185" s="83" t="s">
        <v>1229</v>
      </c>
      <c r="I1185" s="25">
        <v>0.9</v>
      </c>
      <c r="J1185" s="26">
        <v>0.931034482758621</v>
      </c>
      <c r="K1185" s="26">
        <v>0.81355932203389802</v>
      </c>
      <c r="L1185" s="27">
        <v>0.92500000000000004</v>
      </c>
      <c r="M1185" s="26">
        <v>0.925081433224756</v>
      </c>
      <c r="N1185" s="28">
        <v>0.9</v>
      </c>
      <c r="O1185" s="26">
        <v>0.98368710691823902</v>
      </c>
      <c r="P1185" s="26">
        <v>0.98589916940312905</v>
      </c>
      <c r="Q1185" s="26">
        <v>0.99078850405305796</v>
      </c>
      <c r="R1185" s="26">
        <v>0.98759476223294296</v>
      </c>
      <c r="S1185" s="28">
        <v>0.9</v>
      </c>
      <c r="T1185" s="26">
        <v>0.95106132075471705</v>
      </c>
      <c r="U1185" s="26">
        <v>0.96310604597257099</v>
      </c>
      <c r="V1185" s="26">
        <v>0.96168017686072205</v>
      </c>
      <c r="W1185" s="26">
        <v>0.95478214258365901</v>
      </c>
      <c r="X1185" s="28">
        <v>0.92</v>
      </c>
      <c r="Y1185" s="28">
        <v>0</v>
      </c>
      <c r="Z1185" s="28">
        <v>0</v>
      </c>
      <c r="AA1185" s="28">
        <v>0</v>
      </c>
      <c r="AB1185" s="28">
        <v>0</v>
      </c>
      <c r="AC1185" s="28">
        <v>0.92</v>
      </c>
      <c r="AD1185" s="26">
        <v>1</v>
      </c>
      <c r="AE1185" s="26">
        <v>0.99907106363214104</v>
      </c>
      <c r="AF1185" s="26">
        <v>0.99790356394129998</v>
      </c>
      <c r="AG1185" s="26">
        <v>0.99887124689592899</v>
      </c>
      <c r="AH1185" s="28">
        <v>0.92</v>
      </c>
      <c r="AI1185" s="26">
        <v>0.97564807541241205</v>
      </c>
      <c r="AJ1185" s="26">
        <v>0.98126689841637704</v>
      </c>
      <c r="AK1185" s="26">
        <v>0.97789240972734004</v>
      </c>
      <c r="AL1185" s="26">
        <v>0.97974964590590696</v>
      </c>
      <c r="AM1185" s="25">
        <v>0.99</v>
      </c>
      <c r="AN1185" s="30">
        <v>1</v>
      </c>
      <c r="AO1185" s="30">
        <v>1</v>
      </c>
      <c r="AP1185" s="30">
        <v>1</v>
      </c>
      <c r="AQ1185" s="30">
        <v>1</v>
      </c>
      <c r="AR1185" s="50">
        <v>7.2186152540827803E-2</v>
      </c>
      <c r="AS1185" s="34">
        <v>-7.69230769230769E-2</v>
      </c>
      <c r="AT1185" s="34">
        <v>0</v>
      </c>
      <c r="AU1185" s="34">
        <v>0.16666666666666699</v>
      </c>
      <c r="AV1185" s="34">
        <v>0</v>
      </c>
      <c r="AW1185" s="10"/>
      <c r="AX1185" s="8"/>
    </row>
    <row r="1186" spans="1:50">
      <c r="A1186" s="7"/>
      <c r="B1186" s="10"/>
      <c r="C1186" s="45" t="s">
        <v>1100</v>
      </c>
      <c r="D1186" s="23" t="s">
        <v>25</v>
      </c>
      <c r="E1186" s="83" t="s">
        <v>1230</v>
      </c>
      <c r="F1186" s="83" t="s">
        <v>1230</v>
      </c>
      <c r="G1186" s="83" t="s">
        <v>1230</v>
      </c>
      <c r="H1186" s="83" t="s">
        <v>1230</v>
      </c>
      <c r="I1186" s="25">
        <v>0.9</v>
      </c>
      <c r="J1186" s="26">
        <v>0.96153846153846201</v>
      </c>
      <c r="K1186" s="26">
        <v>0.92307692307692302</v>
      </c>
      <c r="L1186" s="27">
        <v>0.87301587301587302</v>
      </c>
      <c r="M1186" s="26">
        <v>0.89732142857142905</v>
      </c>
      <c r="N1186" s="28">
        <v>0.9</v>
      </c>
      <c r="O1186" s="26">
        <v>0.94896945617084705</v>
      </c>
      <c r="P1186" s="26">
        <v>0.949080245267929</v>
      </c>
      <c r="Q1186" s="26">
        <v>0.95007451564828604</v>
      </c>
      <c r="R1186" s="26">
        <v>0.946287640793809</v>
      </c>
      <c r="S1186" s="28">
        <v>0.9</v>
      </c>
      <c r="T1186" s="26">
        <v>0.91879811273901202</v>
      </c>
      <c r="U1186" s="26">
        <v>0.92255398560383906</v>
      </c>
      <c r="V1186" s="26">
        <v>0.89071038251366097</v>
      </c>
      <c r="W1186" s="26">
        <v>0.90943222741552399</v>
      </c>
      <c r="X1186" s="28">
        <v>0.92</v>
      </c>
      <c r="Y1186" s="28">
        <v>0</v>
      </c>
      <c r="Z1186" s="28">
        <v>0</v>
      </c>
      <c r="AA1186" s="28">
        <v>0</v>
      </c>
      <c r="AB1186" s="28">
        <v>0</v>
      </c>
      <c r="AC1186" s="28">
        <v>0.92</v>
      </c>
      <c r="AD1186" s="26">
        <v>0.99700149925037496</v>
      </c>
      <c r="AE1186" s="26">
        <v>0.94897959183673497</v>
      </c>
      <c r="AF1186" s="26">
        <v>0.99135695764909204</v>
      </c>
      <c r="AG1186" s="26">
        <v>0.98834166071853402</v>
      </c>
      <c r="AH1186" s="28">
        <v>0.92</v>
      </c>
      <c r="AI1186" s="26">
        <v>0.95035372967605802</v>
      </c>
      <c r="AJ1186" s="26">
        <v>0.95922174840085295</v>
      </c>
      <c r="AK1186" s="26">
        <v>0.93591654247391998</v>
      </c>
      <c r="AL1186" s="26">
        <v>0.95359824301547602</v>
      </c>
      <c r="AM1186" s="25">
        <v>0.99</v>
      </c>
      <c r="AN1186" s="30">
        <v>1</v>
      </c>
      <c r="AO1186" s="30">
        <v>1</v>
      </c>
      <c r="AP1186" s="30">
        <v>1</v>
      </c>
      <c r="AQ1186" s="30">
        <v>1</v>
      </c>
      <c r="AR1186" s="50">
        <v>7.2186152540827803E-2</v>
      </c>
      <c r="AS1186" s="34">
        <v>8.3333333333333301E-2</v>
      </c>
      <c r="AT1186" s="34">
        <v>7.1428571428571397E-2</v>
      </c>
      <c r="AU1186" s="34">
        <v>0</v>
      </c>
      <c r="AV1186" s="34">
        <v>4.7619047619047603E-2</v>
      </c>
      <c r="AW1186" s="10"/>
      <c r="AX1186" s="8"/>
    </row>
    <row r="1187" spans="1:50">
      <c r="A1187" s="7"/>
      <c r="B1187" s="10"/>
      <c r="C1187" s="45" t="s">
        <v>1100</v>
      </c>
      <c r="D1187" s="23" t="s">
        <v>25</v>
      </c>
      <c r="E1187" s="83" t="s">
        <v>1231</v>
      </c>
      <c r="F1187" s="83" t="s">
        <v>1231</v>
      </c>
      <c r="G1187" s="83" t="s">
        <v>1231</v>
      </c>
      <c r="H1187" s="83" t="s">
        <v>1231</v>
      </c>
      <c r="I1187" s="25">
        <v>0.9</v>
      </c>
      <c r="J1187" s="26">
        <v>0.91176470588235303</v>
      </c>
      <c r="K1187" s="26">
        <v>0.97222222222222199</v>
      </c>
      <c r="L1187" s="27">
        <v>1</v>
      </c>
      <c r="M1187" s="26">
        <v>0.94527363184079605</v>
      </c>
      <c r="N1187" s="28">
        <v>0.9</v>
      </c>
      <c r="O1187" s="26">
        <v>0.96864899806076299</v>
      </c>
      <c r="P1187" s="26">
        <v>0.99304897314375995</v>
      </c>
      <c r="Q1187" s="26">
        <v>0.99344457687723497</v>
      </c>
      <c r="R1187" s="26">
        <v>0.98539962240402801</v>
      </c>
      <c r="S1187" s="28">
        <v>0.9</v>
      </c>
      <c r="T1187" s="26">
        <v>0.96574014221073001</v>
      </c>
      <c r="U1187" s="26">
        <v>0.96840442338072696</v>
      </c>
      <c r="V1187" s="26">
        <v>0.98867699642431495</v>
      </c>
      <c r="W1187" s="26">
        <v>0.96872246696035202</v>
      </c>
      <c r="X1187" s="28">
        <v>0.92</v>
      </c>
      <c r="Y1187" s="28">
        <v>0</v>
      </c>
      <c r="Z1187" s="28">
        <v>0</v>
      </c>
      <c r="AA1187" s="28">
        <v>0</v>
      </c>
      <c r="AB1187" s="28">
        <v>0</v>
      </c>
      <c r="AC1187" s="28">
        <v>0.92</v>
      </c>
      <c r="AD1187" s="26">
        <v>0.99778270509977796</v>
      </c>
      <c r="AE1187" s="26">
        <v>0.99823165340406705</v>
      </c>
      <c r="AF1187" s="26">
        <v>0.99753289473684204</v>
      </c>
      <c r="AG1187" s="26">
        <v>0.99829380651765898</v>
      </c>
      <c r="AH1187" s="28">
        <v>0.92</v>
      </c>
      <c r="AI1187" s="26">
        <v>0.98481912144702799</v>
      </c>
      <c r="AJ1187" s="26">
        <v>0.98894154818325397</v>
      </c>
      <c r="AK1187" s="26">
        <v>0.99404052443385005</v>
      </c>
      <c r="AL1187" s="26">
        <v>0.98810722376038296</v>
      </c>
      <c r="AM1187" s="25">
        <v>0.99</v>
      </c>
      <c r="AN1187" s="30">
        <v>1</v>
      </c>
      <c r="AO1187" s="30">
        <v>1</v>
      </c>
      <c r="AP1187" s="30">
        <v>1</v>
      </c>
      <c r="AQ1187" s="30">
        <v>1</v>
      </c>
      <c r="AR1187" s="50">
        <v>7.2186152540827803E-2</v>
      </c>
      <c r="AS1187" s="34">
        <v>0</v>
      </c>
      <c r="AT1187" s="34">
        <v>9.0909090909090898E-2</v>
      </c>
      <c r="AU1187" s="34">
        <v>0</v>
      </c>
      <c r="AV1187" s="34">
        <v>0.13725490196078399</v>
      </c>
      <c r="AW1187" s="10"/>
      <c r="AX1187" s="8"/>
    </row>
    <row r="1188" spans="1:50">
      <c r="A1188" s="7"/>
      <c r="B1188" s="10"/>
      <c r="C1188" s="45" t="s">
        <v>1100</v>
      </c>
      <c r="D1188" s="23" t="s">
        <v>25</v>
      </c>
      <c r="E1188" s="83" t="s">
        <v>1232</v>
      </c>
      <c r="F1188" s="83" t="s">
        <v>1232</v>
      </c>
      <c r="G1188" s="83" t="s">
        <v>1232</v>
      </c>
      <c r="H1188" s="83" t="s">
        <v>1232</v>
      </c>
      <c r="I1188" s="25">
        <v>0.9</v>
      </c>
      <c r="J1188" s="26">
        <v>0.92105263157894701</v>
      </c>
      <c r="K1188" s="26">
        <v>0.94594594594594605</v>
      </c>
      <c r="L1188" s="27">
        <v>0.90163934426229497</v>
      </c>
      <c r="M1188" s="26">
        <v>0.92129629629629595</v>
      </c>
      <c r="N1188" s="28">
        <v>0.9</v>
      </c>
      <c r="O1188" s="26">
        <v>0.89896829391041799</v>
      </c>
      <c r="P1188" s="26">
        <v>0.91469552088575701</v>
      </c>
      <c r="Q1188" s="26">
        <v>0.98099133782483205</v>
      </c>
      <c r="R1188" s="26">
        <v>0.932425717976746</v>
      </c>
      <c r="S1188" s="28">
        <v>0.9</v>
      </c>
      <c r="T1188" s="26">
        <v>0.90475591343734296</v>
      </c>
      <c r="U1188" s="26">
        <v>0.87996980372420697</v>
      </c>
      <c r="V1188" s="26">
        <v>0.920837343599615</v>
      </c>
      <c r="W1188" s="26">
        <v>0.91274967703468102</v>
      </c>
      <c r="X1188" s="28">
        <v>0.92</v>
      </c>
      <c r="Y1188" s="28">
        <v>0</v>
      </c>
      <c r="Z1188" s="28">
        <v>0</v>
      </c>
      <c r="AA1188" s="28">
        <v>0</v>
      </c>
      <c r="AB1188" s="28">
        <v>0</v>
      </c>
      <c r="AC1188" s="28">
        <v>0.92</v>
      </c>
      <c r="AD1188" s="26">
        <v>0.99824253075571201</v>
      </c>
      <c r="AE1188" s="26">
        <v>0.97939778129952504</v>
      </c>
      <c r="AF1188" s="26">
        <v>0.991237677984666</v>
      </c>
      <c r="AG1188" s="26">
        <v>0.98849372384937195</v>
      </c>
      <c r="AH1188" s="28">
        <v>0.92</v>
      </c>
      <c r="AI1188" s="26">
        <v>0.95044648471890303</v>
      </c>
      <c r="AJ1188" s="26">
        <v>0.95470558631102198</v>
      </c>
      <c r="AK1188" s="26">
        <v>0.95500481231953804</v>
      </c>
      <c r="AL1188" s="26">
        <v>0.96236492361197401</v>
      </c>
      <c r="AM1188" s="25">
        <v>0.99</v>
      </c>
      <c r="AN1188" s="30">
        <v>1</v>
      </c>
      <c r="AO1188" s="30">
        <v>1</v>
      </c>
      <c r="AP1188" s="30">
        <v>1</v>
      </c>
      <c r="AQ1188" s="30">
        <v>1</v>
      </c>
      <c r="AR1188" s="50">
        <v>7.2186152540827803E-2</v>
      </c>
      <c r="AS1188" s="34">
        <v>0</v>
      </c>
      <c r="AT1188" s="34">
        <v>3.8461538461538498E-2</v>
      </c>
      <c r="AU1188" s="34">
        <v>0</v>
      </c>
      <c r="AV1188" s="34">
        <v>3.6363636363636397E-2</v>
      </c>
      <c r="AW1188" s="10"/>
      <c r="AX1188" s="8"/>
    </row>
    <row r="1189" spans="1:50">
      <c r="A1189" s="7"/>
      <c r="B1189" s="10"/>
      <c r="C1189" s="45" t="s">
        <v>1100</v>
      </c>
      <c r="D1189" s="23" t="s">
        <v>25</v>
      </c>
      <c r="E1189" s="83" t="s">
        <v>1233</v>
      </c>
      <c r="F1189" s="83" t="s">
        <v>1233</v>
      </c>
      <c r="G1189" s="83" t="s">
        <v>1233</v>
      </c>
      <c r="H1189" s="83" t="s">
        <v>1233</v>
      </c>
      <c r="I1189" s="25">
        <v>0.9</v>
      </c>
      <c r="J1189" s="26">
        <v>1</v>
      </c>
      <c r="K1189" s="26">
        <v>0.967741935483871</v>
      </c>
      <c r="L1189" s="27">
        <v>0.95833333333333304</v>
      </c>
      <c r="M1189" s="26">
        <v>0.97560975609756095</v>
      </c>
      <c r="N1189" s="28">
        <v>0.9</v>
      </c>
      <c r="O1189" s="26">
        <v>0.97661564625850295</v>
      </c>
      <c r="P1189" s="26">
        <v>0.98888888888888904</v>
      </c>
      <c r="Q1189" s="26">
        <v>0.98385913426265603</v>
      </c>
      <c r="R1189" s="26">
        <v>0.98491629371788503</v>
      </c>
      <c r="S1189" s="28">
        <v>0.9</v>
      </c>
      <c r="T1189" s="26">
        <v>0.952380952380952</v>
      </c>
      <c r="U1189" s="26">
        <v>0.96551724137931005</v>
      </c>
      <c r="V1189" s="26">
        <v>0.955245781364637</v>
      </c>
      <c r="W1189" s="26">
        <v>0.96104757168904398</v>
      </c>
      <c r="X1189" s="28">
        <v>0.92</v>
      </c>
      <c r="Y1189" s="28">
        <v>0.97434069850320704</v>
      </c>
      <c r="Z1189" s="28">
        <v>0.97786720321931597</v>
      </c>
      <c r="AA1189" s="28">
        <v>0.97098372257607901</v>
      </c>
      <c r="AB1189" s="28">
        <v>0.97556194458964995</v>
      </c>
      <c r="AC1189" s="28">
        <v>0.92</v>
      </c>
      <c r="AD1189" s="26">
        <v>0.99897396434526098</v>
      </c>
      <c r="AE1189" s="26">
        <v>0.99765324321787296</v>
      </c>
      <c r="AF1189" s="26">
        <v>0.99770074283693</v>
      </c>
      <c r="AG1189" s="26">
        <v>0.99129705153472403</v>
      </c>
      <c r="AH1189" s="28">
        <v>0.92</v>
      </c>
      <c r="AI1189" s="26">
        <v>0.97683089214380803</v>
      </c>
      <c r="AJ1189" s="26">
        <v>0.98561677230619205</v>
      </c>
      <c r="AK1189" s="26">
        <v>0.97658501440922196</v>
      </c>
      <c r="AL1189" s="26">
        <v>0.98331643002028402</v>
      </c>
      <c r="AM1189" s="25">
        <v>0.99</v>
      </c>
      <c r="AN1189" s="30">
        <v>1</v>
      </c>
      <c r="AO1189" s="30">
        <v>1</v>
      </c>
      <c r="AP1189" s="30">
        <v>1</v>
      </c>
      <c r="AQ1189" s="30">
        <v>1</v>
      </c>
      <c r="AR1189" s="50">
        <v>7.2186152540827803E-2</v>
      </c>
      <c r="AS1189" s="34">
        <v>0</v>
      </c>
      <c r="AT1189" s="34">
        <v>0.1</v>
      </c>
      <c r="AU1189" s="34">
        <v>0</v>
      </c>
      <c r="AV1189" s="34">
        <v>3.06122448979592E-2</v>
      </c>
      <c r="AW1189" s="10"/>
      <c r="AX1189" s="8"/>
    </row>
    <row r="1190" spans="1:50">
      <c r="A1190" s="7"/>
      <c r="B1190" s="10"/>
      <c r="C1190" s="45" t="s">
        <v>1100</v>
      </c>
      <c r="D1190" s="23" t="s">
        <v>25</v>
      </c>
      <c r="E1190" s="83" t="s">
        <v>1234</v>
      </c>
      <c r="F1190" s="83" t="s">
        <v>1234</v>
      </c>
      <c r="G1190" s="83" t="s">
        <v>1234</v>
      </c>
      <c r="H1190" s="83" t="s">
        <v>1234</v>
      </c>
      <c r="I1190" s="25">
        <v>0.9</v>
      </c>
      <c r="J1190" s="26">
        <v>0.95</v>
      </c>
      <c r="K1190" s="26">
        <v>0.96250000000000002</v>
      </c>
      <c r="L1190" s="27">
        <v>0.96969696969696995</v>
      </c>
      <c r="M1190" s="26">
        <v>0.95475113122171995</v>
      </c>
      <c r="N1190" s="28">
        <v>0.9</v>
      </c>
      <c r="O1190" s="26">
        <v>0.98741513495611899</v>
      </c>
      <c r="P1190" s="26">
        <v>0.98493130447628896</v>
      </c>
      <c r="Q1190" s="26">
        <v>0.98965219890773204</v>
      </c>
      <c r="R1190" s="26">
        <v>0.98507845842826403</v>
      </c>
      <c r="S1190" s="28">
        <v>0.9</v>
      </c>
      <c r="T1190" s="26">
        <v>0.93707567478059295</v>
      </c>
      <c r="U1190" s="26">
        <v>0.93972521790515595</v>
      </c>
      <c r="V1190" s="26">
        <v>0.96378269617706203</v>
      </c>
      <c r="W1190" s="26">
        <v>0.94660334370888599</v>
      </c>
      <c r="X1190" s="28">
        <v>0.92</v>
      </c>
      <c r="Y1190" s="28">
        <v>0.94242668818940001</v>
      </c>
      <c r="Z1190" s="28">
        <v>0.95444579780755201</v>
      </c>
      <c r="AA1190" s="28">
        <v>0.94970789941579903</v>
      </c>
      <c r="AB1190" s="28">
        <v>0.94414465587427798</v>
      </c>
      <c r="AC1190" s="28">
        <v>0.92</v>
      </c>
      <c r="AD1190" s="26">
        <v>0.99736570839537297</v>
      </c>
      <c r="AE1190" s="26">
        <v>0.99519326065411295</v>
      </c>
      <c r="AF1190" s="26">
        <v>0.99190917948066204</v>
      </c>
      <c r="AG1190" s="26">
        <v>0.99315485133421799</v>
      </c>
      <c r="AH1190" s="28">
        <v>0.92</v>
      </c>
      <c r="AI1190" s="26">
        <v>0.96402214022140198</v>
      </c>
      <c r="AJ1190" s="26">
        <v>0.97351724137930995</v>
      </c>
      <c r="AK1190" s="26">
        <v>0.96507551240560996</v>
      </c>
      <c r="AL1190" s="26">
        <v>0.96710652132338903</v>
      </c>
      <c r="AM1190" s="25">
        <v>0.99</v>
      </c>
      <c r="AN1190" s="30">
        <v>1</v>
      </c>
      <c r="AO1190" s="30">
        <v>1</v>
      </c>
      <c r="AP1190" s="30">
        <v>1</v>
      </c>
      <c r="AQ1190" s="30">
        <v>1</v>
      </c>
      <c r="AR1190" s="50">
        <v>7.2186152540827803E-2</v>
      </c>
      <c r="AS1190" s="34">
        <v>0</v>
      </c>
      <c r="AT1190" s="34">
        <v>0</v>
      </c>
      <c r="AU1190" s="34">
        <v>7.4074074074074098E-2</v>
      </c>
      <c r="AV1190" s="34">
        <v>4.3478260869565202E-2</v>
      </c>
      <c r="AW1190" s="10"/>
      <c r="AX1190" s="8"/>
    </row>
    <row r="1191" spans="1:50">
      <c r="A1191" s="7"/>
      <c r="B1191" s="10"/>
      <c r="C1191" s="45" t="s">
        <v>1100</v>
      </c>
      <c r="D1191" s="23" t="s">
        <v>25</v>
      </c>
      <c r="E1191" s="83" t="s">
        <v>1235</v>
      </c>
      <c r="F1191" s="83" t="s">
        <v>1235</v>
      </c>
      <c r="G1191" s="83" t="s">
        <v>1235</v>
      </c>
      <c r="H1191" s="83" t="s">
        <v>1235</v>
      </c>
      <c r="I1191" s="25">
        <v>0.9</v>
      </c>
      <c r="J1191" s="26">
        <v>0.93333333333333302</v>
      </c>
      <c r="K1191" s="26">
        <v>0.95918367346938804</v>
      </c>
      <c r="L1191" s="27">
        <v>1</v>
      </c>
      <c r="M1191" s="26">
        <v>0.98120300751879697</v>
      </c>
      <c r="N1191" s="28">
        <v>0.9</v>
      </c>
      <c r="O1191" s="26">
        <v>0.98540145985401495</v>
      </c>
      <c r="P1191" s="26">
        <v>0.99043672298374197</v>
      </c>
      <c r="Q1191" s="26">
        <v>0.99052432090966502</v>
      </c>
      <c r="R1191" s="26">
        <v>0.98602685570172399</v>
      </c>
      <c r="S1191" s="28">
        <v>0.9</v>
      </c>
      <c r="T1191" s="26">
        <v>0.95288652952886499</v>
      </c>
      <c r="U1191" s="26">
        <v>0.96620975454255698</v>
      </c>
      <c r="V1191" s="26">
        <v>0.95893872394188295</v>
      </c>
      <c r="W1191" s="26">
        <v>0.959511962374753</v>
      </c>
      <c r="X1191" s="28">
        <v>0.92</v>
      </c>
      <c r="Y1191" s="28">
        <v>0.94895718990120703</v>
      </c>
      <c r="Z1191" s="28">
        <v>0.96415584415584399</v>
      </c>
      <c r="AA1191" s="28">
        <v>0.96641791044776104</v>
      </c>
      <c r="AB1191" s="28">
        <v>0.96196355670616396</v>
      </c>
      <c r="AC1191" s="28">
        <v>0.92</v>
      </c>
      <c r="AD1191" s="26">
        <v>0.99332591768631795</v>
      </c>
      <c r="AE1191" s="26">
        <v>0.988395560040363</v>
      </c>
      <c r="AF1191" s="26">
        <v>0.98593017196456501</v>
      </c>
      <c r="AG1191" s="26">
        <v>0.90176925912274197</v>
      </c>
      <c r="AH1191" s="28">
        <v>0.92</v>
      </c>
      <c r="AI1191" s="26">
        <v>0.967741935483871</v>
      </c>
      <c r="AJ1191" s="26">
        <v>0.97945476096404605</v>
      </c>
      <c r="AK1191" s="26">
        <v>0.97601156069364203</v>
      </c>
      <c r="AL1191" s="26">
        <v>0.97641204078329802</v>
      </c>
      <c r="AM1191" s="25">
        <v>0.99</v>
      </c>
      <c r="AN1191" s="30">
        <v>1</v>
      </c>
      <c r="AO1191" s="30">
        <v>1</v>
      </c>
      <c r="AP1191" s="30">
        <v>1</v>
      </c>
      <c r="AQ1191" s="30">
        <v>1</v>
      </c>
      <c r="AR1191" s="50">
        <v>7.2186152540827803E-2</v>
      </c>
      <c r="AS1191" s="34">
        <v>0</v>
      </c>
      <c r="AT1191" s="34">
        <v>7.1428571428571397E-2</v>
      </c>
      <c r="AU1191" s="34">
        <v>0</v>
      </c>
      <c r="AV1191" s="34">
        <v>1.20481927710843E-2</v>
      </c>
      <c r="AW1191" s="10"/>
      <c r="AX1191" s="8"/>
    </row>
    <row r="1192" spans="1:50">
      <c r="A1192" s="7"/>
      <c r="B1192" s="10"/>
      <c r="C1192" s="45" t="s">
        <v>1100</v>
      </c>
      <c r="D1192" s="23" t="s">
        <v>25</v>
      </c>
      <c r="E1192" s="83" t="s">
        <v>1236</v>
      </c>
      <c r="F1192" s="83" t="s">
        <v>1236</v>
      </c>
      <c r="G1192" s="83" t="s">
        <v>1236</v>
      </c>
      <c r="H1192" s="83" t="s">
        <v>1236</v>
      </c>
      <c r="I1192" s="25">
        <v>0.9</v>
      </c>
      <c r="J1192" s="26">
        <v>0.97260273972602695</v>
      </c>
      <c r="K1192" s="26">
        <v>1</v>
      </c>
      <c r="L1192" s="27">
        <v>0.98275862068965503</v>
      </c>
      <c r="M1192" s="26">
        <v>0.98746867167919805</v>
      </c>
      <c r="N1192" s="28">
        <v>0.9</v>
      </c>
      <c r="O1192" s="26">
        <v>0.98689436060365399</v>
      </c>
      <c r="P1192" s="26">
        <v>0.979816856662306</v>
      </c>
      <c r="Q1192" s="26">
        <v>0.97609561752988006</v>
      </c>
      <c r="R1192" s="26">
        <v>0.98251028806584395</v>
      </c>
      <c r="S1192" s="28">
        <v>0.9</v>
      </c>
      <c r="T1192" s="26">
        <v>0.95015885623510699</v>
      </c>
      <c r="U1192" s="26">
        <v>0.94935526069893506</v>
      </c>
      <c r="V1192" s="26">
        <v>0.936254980079681</v>
      </c>
      <c r="W1192" s="26">
        <v>0.94420702754036101</v>
      </c>
      <c r="X1192" s="28">
        <v>0.92</v>
      </c>
      <c r="Y1192" s="28">
        <v>0.95370068470818403</v>
      </c>
      <c r="Z1192" s="28">
        <v>0.96115204286671097</v>
      </c>
      <c r="AA1192" s="28">
        <v>0.96957671957671998</v>
      </c>
      <c r="AB1192" s="28">
        <v>0.95982252896228704</v>
      </c>
      <c r="AC1192" s="28">
        <v>0.92</v>
      </c>
      <c r="AD1192" s="26">
        <v>0.99472891566265098</v>
      </c>
      <c r="AE1192" s="26">
        <v>0.99182664892605998</v>
      </c>
      <c r="AF1192" s="26">
        <v>0.98545560322885595</v>
      </c>
      <c r="AG1192" s="26">
        <v>0.98750390015600598</v>
      </c>
      <c r="AH1192" s="28">
        <v>0.92</v>
      </c>
      <c r="AI1192" s="26">
        <v>0.96927064050351697</v>
      </c>
      <c r="AJ1192" s="26">
        <v>0.97553370112736904</v>
      </c>
      <c r="AK1192" s="26">
        <v>0.975285171102662</v>
      </c>
      <c r="AL1192" s="26">
        <v>0.97161650964990498</v>
      </c>
      <c r="AM1192" s="25">
        <v>0.99</v>
      </c>
      <c r="AN1192" s="30">
        <v>1</v>
      </c>
      <c r="AO1192" s="30">
        <v>1</v>
      </c>
      <c r="AP1192" s="30">
        <v>1</v>
      </c>
      <c r="AQ1192" s="30">
        <v>1</v>
      </c>
      <c r="AR1192" s="50">
        <v>7.2186152540827803E-2</v>
      </c>
      <c r="AS1192" s="34">
        <v>0.08</v>
      </c>
      <c r="AT1192" s="34">
        <v>-2.4390243902439001E-2</v>
      </c>
      <c r="AU1192" s="34">
        <v>6.25E-2</v>
      </c>
      <c r="AV1192" s="34">
        <v>1.8264840182648401E-2</v>
      </c>
      <c r="AW1192" s="10"/>
      <c r="AX1192" s="8"/>
    </row>
    <row r="1193" spans="1:50">
      <c r="A1193" s="7"/>
      <c r="B1193" s="10"/>
      <c r="C1193" s="45" t="s">
        <v>1100</v>
      </c>
      <c r="D1193" s="23" t="s">
        <v>25</v>
      </c>
      <c r="E1193" s="83" t="s">
        <v>1237</v>
      </c>
      <c r="F1193" s="83" t="s">
        <v>1237</v>
      </c>
      <c r="G1193" s="83" t="s">
        <v>1237</v>
      </c>
      <c r="H1193" s="83" t="s">
        <v>1237</v>
      </c>
      <c r="I1193" s="25">
        <v>0.9</v>
      </c>
      <c r="J1193" s="26">
        <v>0.92307692307692302</v>
      </c>
      <c r="K1193" s="26">
        <v>0.93333333333333302</v>
      </c>
      <c r="L1193" s="27">
        <v>0.96153846153846201</v>
      </c>
      <c r="M1193" s="26">
        <v>0.86624203821656098</v>
      </c>
      <c r="N1193" s="28">
        <v>0.9</v>
      </c>
      <c r="O1193" s="26">
        <v>0.98220064724919098</v>
      </c>
      <c r="P1193" s="26">
        <v>0.93942307692307703</v>
      </c>
      <c r="Q1193" s="26">
        <v>0.97945205479452102</v>
      </c>
      <c r="R1193" s="26">
        <v>0.96692711120625097</v>
      </c>
      <c r="S1193" s="28">
        <v>0.9</v>
      </c>
      <c r="T1193" s="26">
        <v>0.92718446601941795</v>
      </c>
      <c r="U1193" s="26">
        <v>0.94326923076923097</v>
      </c>
      <c r="V1193" s="26">
        <v>0.95890410958904104</v>
      </c>
      <c r="W1193" s="26">
        <v>0.94498555067965295</v>
      </c>
      <c r="X1193" s="28">
        <v>0.92</v>
      </c>
      <c r="Y1193" s="28">
        <v>0.95931882686849601</v>
      </c>
      <c r="Z1193" s="28">
        <v>0.96208530805687198</v>
      </c>
      <c r="AA1193" s="28">
        <v>0.96078431372549</v>
      </c>
      <c r="AB1193" s="28">
        <v>0.96257213520197904</v>
      </c>
      <c r="AC1193" s="28">
        <v>0.92</v>
      </c>
      <c r="AD1193" s="26">
        <v>0.99824791940429303</v>
      </c>
      <c r="AE1193" s="26">
        <v>0.58395721925133703</v>
      </c>
      <c r="AF1193" s="26">
        <v>0.99518599562363197</v>
      </c>
      <c r="AG1193" s="26">
        <v>0.933585091535999</v>
      </c>
      <c r="AH1193" s="28">
        <v>0.92</v>
      </c>
      <c r="AI1193" s="26">
        <v>0.97354860872552396</v>
      </c>
      <c r="AJ1193" s="26">
        <v>0.97788404064554701</v>
      </c>
      <c r="AK1193" s="26">
        <v>0.97388059701492502</v>
      </c>
      <c r="AL1193" s="26">
        <v>0.97663551401869197</v>
      </c>
      <c r="AM1193" s="25">
        <v>0.99</v>
      </c>
      <c r="AN1193" s="30">
        <v>1</v>
      </c>
      <c r="AO1193" s="30">
        <v>1</v>
      </c>
      <c r="AP1193" s="30">
        <v>1</v>
      </c>
      <c r="AQ1193" s="30">
        <v>1</v>
      </c>
      <c r="AR1193" s="50">
        <v>7.2186152540827803E-2</v>
      </c>
      <c r="AS1193" s="34">
        <v>0.375</v>
      </c>
      <c r="AT1193" s="34">
        <v>8.3333333333333301E-2</v>
      </c>
      <c r="AU1193" s="34">
        <v>0.125</v>
      </c>
      <c r="AV1193" s="34">
        <v>0.16666666666666699</v>
      </c>
      <c r="AW1193" s="10"/>
      <c r="AX1193" s="8"/>
    </row>
    <row r="1194" spans="1:50">
      <c r="A1194" s="7"/>
      <c r="B1194" s="10"/>
      <c r="C1194" s="45" t="s">
        <v>1100</v>
      </c>
      <c r="D1194" s="23" t="s">
        <v>25</v>
      </c>
      <c r="E1194" s="83" t="s">
        <v>1238</v>
      </c>
      <c r="F1194" s="83" t="s">
        <v>1238</v>
      </c>
      <c r="G1194" s="83" t="s">
        <v>1238</v>
      </c>
      <c r="H1194" s="83" t="s">
        <v>1238</v>
      </c>
      <c r="I1194" s="25">
        <v>0.9</v>
      </c>
      <c r="J1194" s="26">
        <v>0.92307692307692302</v>
      </c>
      <c r="K1194" s="26">
        <v>0.92592592592592604</v>
      </c>
      <c r="L1194" s="27">
        <v>0.90243902439024404</v>
      </c>
      <c r="M1194" s="26">
        <v>0.91289198606271804</v>
      </c>
      <c r="N1194" s="28">
        <v>0.9</v>
      </c>
      <c r="O1194" s="26">
        <v>0.90520741394527804</v>
      </c>
      <c r="P1194" s="26">
        <v>0.90661919404434399</v>
      </c>
      <c r="Q1194" s="26">
        <v>0.87570621468926602</v>
      </c>
      <c r="R1194" s="26">
        <v>0.91864418420962302</v>
      </c>
      <c r="S1194" s="28">
        <v>0.9</v>
      </c>
      <c r="T1194" s="26">
        <v>0.91756398940865003</v>
      </c>
      <c r="U1194" s="26">
        <v>0.91746237255219298</v>
      </c>
      <c r="V1194" s="26">
        <v>0.90561648388168803</v>
      </c>
      <c r="W1194" s="26">
        <v>0.92097942923864096</v>
      </c>
      <c r="X1194" s="28">
        <v>0.92</v>
      </c>
      <c r="Y1194" s="28">
        <v>0</v>
      </c>
      <c r="Z1194" s="28">
        <v>0.33333333333333298</v>
      </c>
      <c r="AA1194" s="28">
        <v>0</v>
      </c>
      <c r="AB1194" s="28">
        <v>0.133333333333333</v>
      </c>
      <c r="AC1194" s="28">
        <v>0.92</v>
      </c>
      <c r="AD1194" s="26">
        <v>0.99725304911548196</v>
      </c>
      <c r="AE1194" s="26">
        <v>0.99205503342699397</v>
      </c>
      <c r="AF1194" s="26">
        <v>0.99445295963798297</v>
      </c>
      <c r="AG1194" s="26">
        <v>0.96942768768050303</v>
      </c>
      <c r="AH1194" s="28">
        <v>0.92</v>
      </c>
      <c r="AI1194" s="26">
        <v>0.96952615818213805</v>
      </c>
      <c r="AJ1194" s="26">
        <v>0.97008408796895196</v>
      </c>
      <c r="AK1194" s="26">
        <v>0.95579926886008604</v>
      </c>
      <c r="AL1194" s="26">
        <v>0.96962833316174202</v>
      </c>
      <c r="AM1194" s="25">
        <v>0.99</v>
      </c>
      <c r="AN1194" s="30">
        <v>1</v>
      </c>
      <c r="AO1194" s="30">
        <v>1</v>
      </c>
      <c r="AP1194" s="30">
        <v>1</v>
      </c>
      <c r="AQ1194" s="30">
        <v>1</v>
      </c>
      <c r="AR1194" s="50">
        <v>7.2186152540827803E-2</v>
      </c>
      <c r="AS1194" s="34">
        <v>0</v>
      </c>
      <c r="AT1194" s="34">
        <v>0.11764705882352899</v>
      </c>
      <c r="AU1194" s="34">
        <v>0</v>
      </c>
      <c r="AV1194" s="34">
        <v>7.7922077922077906E-2</v>
      </c>
      <c r="AW1194" s="10"/>
      <c r="AX1194" s="8"/>
    </row>
    <row r="1195" spans="1:50">
      <c r="A1195" s="7"/>
      <c r="B1195" s="10"/>
      <c r="C1195" s="45" t="s">
        <v>1100</v>
      </c>
      <c r="D1195" s="23" t="s">
        <v>25</v>
      </c>
      <c r="E1195" s="83" t="s">
        <v>1239</v>
      </c>
      <c r="F1195" s="83" t="s">
        <v>1239</v>
      </c>
      <c r="G1195" s="83" t="s">
        <v>1239</v>
      </c>
      <c r="H1195" s="83" t="s">
        <v>1239</v>
      </c>
      <c r="I1195" s="25">
        <v>0.9</v>
      </c>
      <c r="J1195" s="26">
        <v>0.97333333333333305</v>
      </c>
      <c r="K1195" s="26">
        <v>0.97435897435897401</v>
      </c>
      <c r="L1195" s="27">
        <v>0.98484848484848497</v>
      </c>
      <c r="M1195" s="26">
        <v>0.98117647058823498</v>
      </c>
      <c r="N1195" s="28">
        <v>0.9</v>
      </c>
      <c r="O1195" s="26">
        <v>0.95431754874651797</v>
      </c>
      <c r="P1195" s="26">
        <v>0.97459705676243902</v>
      </c>
      <c r="Q1195" s="26">
        <v>0.96564499831593098</v>
      </c>
      <c r="R1195" s="26">
        <v>0.96410198214555898</v>
      </c>
      <c r="S1195" s="28">
        <v>0.9</v>
      </c>
      <c r="T1195" s="26">
        <v>0.94057567316620205</v>
      </c>
      <c r="U1195" s="26">
        <v>0.95550105115627204</v>
      </c>
      <c r="V1195" s="26">
        <v>0.92926911417985902</v>
      </c>
      <c r="W1195" s="26">
        <v>0.94053563322741696</v>
      </c>
      <c r="X1195" s="28">
        <v>0.92</v>
      </c>
      <c r="Y1195" s="28">
        <v>0.93978219090326698</v>
      </c>
      <c r="Z1195" s="28">
        <v>0.96010962241169295</v>
      </c>
      <c r="AA1195" s="28">
        <v>0.94627709707822805</v>
      </c>
      <c r="AB1195" s="28">
        <v>0.93319356300997303</v>
      </c>
      <c r="AC1195" s="28">
        <v>0.92</v>
      </c>
      <c r="AD1195" s="26">
        <v>0.99761904761904796</v>
      </c>
      <c r="AE1195" s="26">
        <v>0.99517092387851103</v>
      </c>
      <c r="AF1195" s="26">
        <v>0.98954958243964797</v>
      </c>
      <c r="AG1195" s="26">
        <v>0.993950781357408</v>
      </c>
      <c r="AH1195" s="28">
        <v>0.92</v>
      </c>
      <c r="AI1195" s="26">
        <v>0.96332863187588103</v>
      </c>
      <c r="AJ1195" s="26">
        <v>0.97742939737602796</v>
      </c>
      <c r="AK1195" s="26">
        <v>0.96066959206890901</v>
      </c>
      <c r="AL1195" s="26">
        <v>0.96141807294501902</v>
      </c>
      <c r="AM1195" s="25">
        <v>0.99</v>
      </c>
      <c r="AN1195" s="30">
        <v>1</v>
      </c>
      <c r="AO1195" s="30">
        <v>1</v>
      </c>
      <c r="AP1195" s="30">
        <v>1</v>
      </c>
      <c r="AQ1195" s="30">
        <v>1</v>
      </c>
      <c r="AR1195" s="50">
        <v>7.2186152540827803E-2</v>
      </c>
      <c r="AS1195" s="34">
        <v>0</v>
      </c>
      <c r="AT1195" s="34">
        <v>0.04</v>
      </c>
      <c r="AU1195" s="34">
        <v>0.11111111111111099</v>
      </c>
      <c r="AV1195" s="34">
        <v>4.3478260869565202E-2</v>
      </c>
      <c r="AW1195" s="10"/>
      <c r="AX1195" s="8"/>
    </row>
    <row r="1196" spans="1:50">
      <c r="A1196" s="7"/>
      <c r="B1196" s="10"/>
      <c r="C1196" s="45" t="s">
        <v>1100</v>
      </c>
      <c r="D1196" s="23" t="s">
        <v>25</v>
      </c>
      <c r="E1196" s="83" t="s">
        <v>1240</v>
      </c>
      <c r="F1196" s="83" t="s">
        <v>1240</v>
      </c>
      <c r="G1196" s="83" t="s">
        <v>1240</v>
      </c>
      <c r="H1196" s="83" t="s">
        <v>1240</v>
      </c>
      <c r="I1196" s="25">
        <v>0.9</v>
      </c>
      <c r="J1196" s="26">
        <v>0.97560975609756095</v>
      </c>
      <c r="K1196" s="26">
        <v>0.97727272727272696</v>
      </c>
      <c r="L1196" s="27">
        <v>1</v>
      </c>
      <c r="M1196" s="26">
        <v>0.97872340425531901</v>
      </c>
      <c r="N1196" s="28">
        <v>0.9</v>
      </c>
      <c r="O1196" s="26">
        <v>0.94761029411764697</v>
      </c>
      <c r="P1196" s="26">
        <v>0.93728323699422</v>
      </c>
      <c r="Q1196" s="26">
        <v>0.94192562404482905</v>
      </c>
      <c r="R1196" s="26">
        <v>0.912233732976371</v>
      </c>
      <c r="S1196" s="28">
        <v>0.9</v>
      </c>
      <c r="T1196" s="26">
        <v>0.92064950980392202</v>
      </c>
      <c r="U1196" s="26">
        <v>0.93728323699422</v>
      </c>
      <c r="V1196" s="26">
        <v>0.93020886398369795</v>
      </c>
      <c r="W1196" s="26">
        <v>0.92142940286346198</v>
      </c>
      <c r="X1196" s="28">
        <v>0.92</v>
      </c>
      <c r="Y1196" s="28">
        <v>0.959874934861907</v>
      </c>
      <c r="Z1196" s="28">
        <v>0.96628175519630499</v>
      </c>
      <c r="AA1196" s="28">
        <v>0.95526459356246596</v>
      </c>
      <c r="AB1196" s="28">
        <v>0.951212553495007</v>
      </c>
      <c r="AC1196" s="28">
        <v>0.92</v>
      </c>
      <c r="AD1196" s="26">
        <v>0.98627360663288799</v>
      </c>
      <c r="AE1196" s="26">
        <v>0.98868187358523396</v>
      </c>
      <c r="AF1196" s="26">
        <v>0.97027584625964702</v>
      </c>
      <c r="AG1196" s="26">
        <v>0.98936456079313195</v>
      </c>
      <c r="AH1196" s="28">
        <v>0.92</v>
      </c>
      <c r="AI1196" s="26">
        <v>0.97068466730954694</v>
      </c>
      <c r="AJ1196" s="26">
        <v>0.97724444444444403</v>
      </c>
      <c r="AK1196" s="26">
        <v>0.967351237493418</v>
      </c>
      <c r="AL1196" s="26">
        <v>0.96552595480470704</v>
      </c>
      <c r="AM1196" s="25">
        <v>0.99</v>
      </c>
      <c r="AN1196" s="30">
        <v>1</v>
      </c>
      <c r="AO1196" s="30">
        <v>1</v>
      </c>
      <c r="AP1196" s="30">
        <v>1</v>
      </c>
      <c r="AQ1196" s="30">
        <v>1</v>
      </c>
      <c r="AR1196" s="50">
        <v>7.2186152540827803E-2</v>
      </c>
      <c r="AS1196" s="34">
        <v>0.1</v>
      </c>
      <c r="AT1196" s="34">
        <v>0</v>
      </c>
      <c r="AU1196" s="34">
        <v>5.8823529411764698E-2</v>
      </c>
      <c r="AV1196" s="34">
        <v>3.5398230088495602E-2</v>
      </c>
      <c r="AW1196" s="10"/>
      <c r="AX1196" s="8"/>
    </row>
    <row r="1197" spans="1:50">
      <c r="A1197" s="7"/>
      <c r="B1197" s="10"/>
      <c r="C1197" s="45" t="s">
        <v>1100</v>
      </c>
      <c r="D1197" s="23" t="s">
        <v>25</v>
      </c>
      <c r="E1197" s="83" t="s">
        <v>1241</v>
      </c>
      <c r="F1197" s="83" t="s">
        <v>1241</v>
      </c>
      <c r="G1197" s="83" t="s">
        <v>1241</v>
      </c>
      <c r="H1197" s="83" t="s">
        <v>1241</v>
      </c>
      <c r="I1197" s="25">
        <v>0.9</v>
      </c>
      <c r="J1197" s="26">
        <v>1</v>
      </c>
      <c r="K1197" s="26">
        <v>1</v>
      </c>
      <c r="L1197" s="27">
        <v>1</v>
      </c>
      <c r="M1197" s="26">
        <v>0.99354838709677396</v>
      </c>
      <c r="N1197" s="28">
        <v>0.9</v>
      </c>
      <c r="O1197" s="26">
        <v>0.98010380622837401</v>
      </c>
      <c r="P1197" s="26">
        <v>0.99105723370429299</v>
      </c>
      <c r="Q1197" s="26">
        <v>0.99507202426080399</v>
      </c>
      <c r="R1197" s="26">
        <v>0.98525767566886502</v>
      </c>
      <c r="S1197" s="28">
        <v>0.9</v>
      </c>
      <c r="T1197" s="26">
        <v>0.90743944636678198</v>
      </c>
      <c r="U1197" s="26">
        <v>0.91991255961844198</v>
      </c>
      <c r="V1197" s="26">
        <v>0.93631539044730905</v>
      </c>
      <c r="W1197" s="26">
        <v>0.91503213070687595</v>
      </c>
      <c r="X1197" s="28">
        <v>0.92</v>
      </c>
      <c r="Y1197" s="28">
        <v>0.95833333333333304</v>
      </c>
      <c r="Z1197" s="28">
        <v>0.95961995249406196</v>
      </c>
      <c r="AA1197" s="28">
        <v>0.95677361853832399</v>
      </c>
      <c r="AB1197" s="28">
        <v>0.95621579358874098</v>
      </c>
      <c r="AC1197" s="28">
        <v>0.92</v>
      </c>
      <c r="AD1197" s="26">
        <v>0.99947396107311903</v>
      </c>
      <c r="AE1197" s="26">
        <v>0.99946751863684802</v>
      </c>
      <c r="AF1197" s="26">
        <v>0.99827823691460105</v>
      </c>
      <c r="AG1197" s="26">
        <v>0.998496373606934</v>
      </c>
      <c r="AH1197" s="28">
        <v>0.92</v>
      </c>
      <c r="AI1197" s="26">
        <v>0.97357142857142898</v>
      </c>
      <c r="AJ1197" s="26">
        <v>0.97693946609850901</v>
      </c>
      <c r="AK1197" s="26">
        <v>0.97174447174447198</v>
      </c>
      <c r="AL1197" s="26">
        <v>0.97307357250336601</v>
      </c>
      <c r="AM1197" s="25">
        <v>0.99</v>
      </c>
      <c r="AN1197" s="30">
        <v>1</v>
      </c>
      <c r="AO1197" s="30">
        <v>1</v>
      </c>
      <c r="AP1197" s="30">
        <v>1</v>
      </c>
      <c r="AQ1197" s="30">
        <v>1</v>
      </c>
      <c r="AR1197" s="50">
        <v>7.2186152540827803E-2</v>
      </c>
      <c r="AS1197" s="34">
        <v>0</v>
      </c>
      <c r="AT1197" s="34">
        <v>3.7037037037037E-2</v>
      </c>
      <c r="AU1197" s="34">
        <v>0</v>
      </c>
      <c r="AV1197" s="34">
        <v>6.8965517241379301E-3</v>
      </c>
      <c r="AW1197" s="10"/>
      <c r="AX1197" s="8"/>
    </row>
    <row r="1198" spans="1:50">
      <c r="A1198" s="7"/>
      <c r="B1198" s="10"/>
      <c r="C1198" s="45" t="s">
        <v>1100</v>
      </c>
      <c r="D1198" s="23" t="s">
        <v>25</v>
      </c>
      <c r="E1198" s="83" t="s">
        <v>1242</v>
      </c>
      <c r="F1198" s="83" t="s">
        <v>1242</v>
      </c>
      <c r="G1198" s="83" t="s">
        <v>1242</v>
      </c>
      <c r="H1198" s="83" t="s">
        <v>1242</v>
      </c>
      <c r="I1198" s="25">
        <v>0.9</v>
      </c>
      <c r="J1198" s="26">
        <v>0.97333333333333305</v>
      </c>
      <c r="K1198" s="26">
        <v>0.96103896103896103</v>
      </c>
      <c r="L1198" s="27">
        <v>0.95652173913043503</v>
      </c>
      <c r="M1198" s="26">
        <v>0.96470588235294097</v>
      </c>
      <c r="N1198" s="28">
        <v>0.9</v>
      </c>
      <c r="O1198" s="26">
        <v>0.93464991023339306</v>
      </c>
      <c r="P1198" s="26">
        <v>0.96635086573015305</v>
      </c>
      <c r="Q1198" s="26">
        <v>0.97916666666666696</v>
      </c>
      <c r="R1198" s="26">
        <v>0.94944521745335198</v>
      </c>
      <c r="S1198" s="28">
        <v>0.9</v>
      </c>
      <c r="T1198" s="26">
        <v>0.94129263913824102</v>
      </c>
      <c r="U1198" s="26">
        <v>0.95230316889905298</v>
      </c>
      <c r="V1198" s="26">
        <v>0.95967741935483897</v>
      </c>
      <c r="W1198" s="26">
        <v>0.94587748403439298</v>
      </c>
      <c r="X1198" s="28">
        <v>0.92</v>
      </c>
      <c r="Y1198" s="28">
        <v>0.96490020646937402</v>
      </c>
      <c r="Z1198" s="28">
        <v>0.97664915353181603</v>
      </c>
      <c r="AA1198" s="28">
        <v>0.968795888399413</v>
      </c>
      <c r="AB1198" s="28">
        <v>0.96617098169322801</v>
      </c>
      <c r="AC1198" s="28">
        <v>0.92</v>
      </c>
      <c r="AD1198" s="26">
        <v>0.99665551839464905</v>
      </c>
      <c r="AE1198" s="26">
        <v>0.99568699938385696</v>
      </c>
      <c r="AF1198" s="26">
        <v>0.99592391304347805</v>
      </c>
      <c r="AG1198" s="26">
        <v>0.99718744329522802</v>
      </c>
      <c r="AH1198" s="28">
        <v>0.92</v>
      </c>
      <c r="AI1198" s="26">
        <v>0.97770174610665395</v>
      </c>
      <c r="AJ1198" s="26">
        <v>0.984919886899152</v>
      </c>
      <c r="AK1198" s="26">
        <v>0.97930187686370795</v>
      </c>
      <c r="AL1198" s="26">
        <v>0.97958229426433896</v>
      </c>
      <c r="AM1198" s="25">
        <v>0.99</v>
      </c>
      <c r="AN1198" s="30">
        <v>1</v>
      </c>
      <c r="AO1198" s="30">
        <v>1</v>
      </c>
      <c r="AP1198" s="30">
        <v>1</v>
      </c>
      <c r="AQ1198" s="30">
        <v>1</v>
      </c>
      <c r="AR1198" s="50">
        <v>7.2186152540827803E-2</v>
      </c>
      <c r="AS1198" s="34">
        <v>4.5454545454545497E-2</v>
      </c>
      <c r="AT1198" s="34">
        <v>7.69230769230769E-2</v>
      </c>
      <c r="AU1198" s="34">
        <v>8.6956521739130405E-2</v>
      </c>
      <c r="AV1198" s="34">
        <v>7.4626865671641798E-2</v>
      </c>
      <c r="AW1198" s="10"/>
      <c r="AX1198" s="8"/>
    </row>
    <row r="1199" spans="1:50">
      <c r="A1199" s="7"/>
      <c r="B1199" s="10"/>
      <c r="C1199" s="45" t="s">
        <v>1100</v>
      </c>
      <c r="D1199" s="23" t="s">
        <v>25</v>
      </c>
      <c r="E1199" s="83" t="s">
        <v>1243</v>
      </c>
      <c r="F1199" s="83" t="s">
        <v>1243</v>
      </c>
      <c r="G1199" s="83" t="s">
        <v>1243</v>
      </c>
      <c r="H1199" s="83" t="s">
        <v>1243</v>
      </c>
      <c r="I1199" s="25">
        <v>0.9</v>
      </c>
      <c r="J1199" s="26">
        <v>0.94736842105263197</v>
      </c>
      <c r="K1199" s="26">
        <v>1</v>
      </c>
      <c r="L1199" s="27">
        <v>0.90322580645161299</v>
      </c>
      <c r="M1199" s="26">
        <v>0.96097560975609797</v>
      </c>
      <c r="N1199" s="28">
        <v>0.9</v>
      </c>
      <c r="O1199" s="26">
        <v>0.98112465591820697</v>
      </c>
      <c r="P1199" s="26">
        <v>0.93528183716075197</v>
      </c>
      <c r="Q1199" s="26">
        <v>0.94323432343234304</v>
      </c>
      <c r="R1199" s="26">
        <v>0.96689240030097801</v>
      </c>
      <c r="S1199" s="28">
        <v>0.9</v>
      </c>
      <c r="T1199" s="26">
        <v>0.94651985843491904</v>
      </c>
      <c r="U1199" s="26">
        <v>0.94815588030619302</v>
      </c>
      <c r="V1199" s="26">
        <v>0.93597359735973595</v>
      </c>
      <c r="W1199" s="26">
        <v>0.94213694507148205</v>
      </c>
      <c r="X1199" s="28">
        <v>0.92</v>
      </c>
      <c r="Y1199" s="28">
        <v>0.95528743789921899</v>
      </c>
      <c r="Z1199" s="28">
        <v>0.94261805140466204</v>
      </c>
      <c r="AA1199" s="28">
        <v>0.96119402985074598</v>
      </c>
      <c r="AB1199" s="28">
        <v>0.94980512578244902</v>
      </c>
      <c r="AC1199" s="28">
        <v>0.92</v>
      </c>
      <c r="AD1199" s="26">
        <v>0.99601116872756301</v>
      </c>
      <c r="AE1199" s="26">
        <v>0.99643874643874597</v>
      </c>
      <c r="AF1199" s="26">
        <v>0.99577804583835905</v>
      </c>
      <c r="AG1199" s="26">
        <v>0.99636929460580903</v>
      </c>
      <c r="AH1199" s="28">
        <v>0.92</v>
      </c>
      <c r="AI1199" s="26">
        <v>0.97241902834008098</v>
      </c>
      <c r="AJ1199" s="26">
        <v>0.96943039366615302</v>
      </c>
      <c r="AK1199" s="26">
        <v>0.97583187390542903</v>
      </c>
      <c r="AL1199" s="26">
        <v>0.97164131084248795</v>
      </c>
      <c r="AM1199" s="25">
        <v>0.99</v>
      </c>
      <c r="AN1199" s="30">
        <v>1</v>
      </c>
      <c r="AO1199" s="30">
        <v>1</v>
      </c>
      <c r="AP1199" s="30">
        <v>1</v>
      </c>
      <c r="AQ1199" s="30">
        <v>1</v>
      </c>
      <c r="AR1199" s="50">
        <v>7.2186152540827803E-2</v>
      </c>
      <c r="AS1199" s="34">
        <v>0</v>
      </c>
      <c r="AT1199" s="34">
        <v>7.1428571428571397E-2</v>
      </c>
      <c r="AU1199" s="34">
        <v>0.15384615384615399</v>
      </c>
      <c r="AV1199" s="34">
        <v>4.1666666666666699E-2</v>
      </c>
      <c r="AW1199" s="10"/>
      <c r="AX1199" s="8"/>
    </row>
    <row r="1200" spans="1:50">
      <c r="A1200" s="7"/>
      <c r="B1200" s="10"/>
      <c r="C1200" s="45" t="s">
        <v>1100</v>
      </c>
      <c r="D1200" s="23" t="s">
        <v>25</v>
      </c>
      <c r="E1200" s="83" t="s">
        <v>1244</v>
      </c>
      <c r="F1200" s="83" t="s">
        <v>1244</v>
      </c>
      <c r="G1200" s="83" t="s">
        <v>1244</v>
      </c>
      <c r="H1200" s="83" t="s">
        <v>1244</v>
      </c>
      <c r="I1200" s="25">
        <v>0.9</v>
      </c>
      <c r="J1200" s="26">
        <v>1</v>
      </c>
      <c r="K1200" s="26">
        <v>1</v>
      </c>
      <c r="L1200" s="27">
        <v>1</v>
      </c>
      <c r="M1200" s="26">
        <v>1</v>
      </c>
      <c r="N1200" s="28">
        <v>0.9</v>
      </c>
      <c r="O1200" s="26">
        <v>0.97360248447205</v>
      </c>
      <c r="P1200" s="26">
        <v>0.95274725274725303</v>
      </c>
      <c r="Q1200" s="26">
        <v>0.93690675600223305</v>
      </c>
      <c r="R1200" s="26">
        <v>0.94506190613302599</v>
      </c>
      <c r="S1200" s="28">
        <v>0.9</v>
      </c>
      <c r="T1200" s="26">
        <v>0.95124223602484503</v>
      </c>
      <c r="U1200" s="26">
        <v>0.93736263736263703</v>
      </c>
      <c r="V1200" s="26">
        <v>0.93969849246231196</v>
      </c>
      <c r="W1200" s="26">
        <v>0.94362222862078904</v>
      </c>
      <c r="X1200" s="28">
        <v>0.92</v>
      </c>
      <c r="Y1200" s="28">
        <v>0.95548317046688402</v>
      </c>
      <c r="Z1200" s="28">
        <v>0.94550669216061201</v>
      </c>
      <c r="AA1200" s="28">
        <v>0.95781342840166395</v>
      </c>
      <c r="AB1200" s="28">
        <v>0.95075981843299795</v>
      </c>
      <c r="AC1200" s="28">
        <v>0.92</v>
      </c>
      <c r="AD1200" s="26">
        <v>0.99636552440290804</v>
      </c>
      <c r="AE1200" s="26">
        <v>0.98857925993604401</v>
      </c>
      <c r="AF1200" s="26">
        <v>0.99353692034254304</v>
      </c>
      <c r="AG1200" s="26">
        <v>0.99493447346407704</v>
      </c>
      <c r="AH1200" s="28">
        <v>0.92</v>
      </c>
      <c r="AI1200" s="26">
        <v>0.974318451205057</v>
      </c>
      <c r="AJ1200" s="26">
        <v>0.97121925693354305</v>
      </c>
      <c r="AK1200" s="26">
        <v>0.972965199884958</v>
      </c>
      <c r="AL1200" s="26">
        <v>0.97182330485366297</v>
      </c>
      <c r="AM1200" s="25">
        <v>0.99</v>
      </c>
      <c r="AN1200" s="30">
        <v>1</v>
      </c>
      <c r="AO1200" s="30">
        <v>1</v>
      </c>
      <c r="AP1200" s="30">
        <v>1</v>
      </c>
      <c r="AQ1200" s="30">
        <v>1</v>
      </c>
      <c r="AR1200" s="50">
        <v>7.2186152540827803E-2</v>
      </c>
      <c r="AS1200" s="34">
        <v>4.5454545454545497E-2</v>
      </c>
      <c r="AT1200" s="34">
        <v>4.5454545454545497E-2</v>
      </c>
      <c r="AU1200" s="34">
        <v>0</v>
      </c>
      <c r="AV1200" s="34">
        <v>0.102040816326531</v>
      </c>
      <c r="AW1200" s="10"/>
      <c r="AX1200" s="8"/>
    </row>
    <row r="1201" spans="1:50">
      <c r="A1201" s="7"/>
      <c r="B1201" s="10"/>
      <c r="C1201" s="45" t="s">
        <v>1100</v>
      </c>
      <c r="D1201" s="23" t="s">
        <v>25</v>
      </c>
      <c r="E1201" s="83" t="s">
        <v>1245</v>
      </c>
      <c r="F1201" s="83" t="s">
        <v>1245</v>
      </c>
      <c r="G1201" s="83" t="s">
        <v>1245</v>
      </c>
      <c r="H1201" s="83" t="s">
        <v>1245</v>
      </c>
      <c r="I1201" s="25">
        <v>0.9</v>
      </c>
      <c r="J1201" s="26">
        <v>0.95</v>
      </c>
      <c r="K1201" s="26">
        <v>0.92682926829268297</v>
      </c>
      <c r="L1201" s="27">
        <v>0.94117647058823495</v>
      </c>
      <c r="M1201" s="26">
        <v>0.94823529411764695</v>
      </c>
      <c r="N1201" s="28">
        <v>0.9</v>
      </c>
      <c r="O1201" s="26">
        <v>0.96577946768060796</v>
      </c>
      <c r="P1201" s="26">
        <v>0.97706093189964205</v>
      </c>
      <c r="Q1201" s="26">
        <v>0.95875314861461003</v>
      </c>
      <c r="R1201" s="26">
        <v>0.96038903625110505</v>
      </c>
      <c r="S1201" s="28">
        <v>0.9</v>
      </c>
      <c r="T1201" s="26">
        <v>0.92706533010715497</v>
      </c>
      <c r="U1201" s="26">
        <v>0.93405017921146904</v>
      </c>
      <c r="V1201" s="26">
        <v>0.93702770780856404</v>
      </c>
      <c r="W1201" s="26">
        <v>0.93273209549071601</v>
      </c>
      <c r="X1201" s="28">
        <v>0.92</v>
      </c>
      <c r="Y1201" s="28">
        <v>0.94129906217436599</v>
      </c>
      <c r="Z1201" s="28">
        <v>0.95513307984790896</v>
      </c>
      <c r="AA1201" s="28">
        <v>0.95575539568345302</v>
      </c>
      <c r="AB1201" s="28">
        <v>0.949243306169965</v>
      </c>
      <c r="AC1201" s="28">
        <v>0.92</v>
      </c>
      <c r="AD1201" s="26">
        <v>0.99817351598173498</v>
      </c>
      <c r="AE1201" s="26">
        <v>0.98432790837854101</v>
      </c>
      <c r="AF1201" s="26">
        <v>0.99298469387755095</v>
      </c>
      <c r="AG1201" s="26">
        <v>0.99367999177885102</v>
      </c>
      <c r="AH1201" s="28">
        <v>0.92</v>
      </c>
      <c r="AI1201" s="26">
        <v>0.96815507095880904</v>
      </c>
      <c r="AJ1201" s="26">
        <v>0.97438857982575799</v>
      </c>
      <c r="AK1201" s="26">
        <v>0.971126405909015</v>
      </c>
      <c r="AL1201" s="26">
        <v>0.97125071488275905</v>
      </c>
      <c r="AM1201" s="25">
        <v>0.99</v>
      </c>
      <c r="AN1201" s="30">
        <v>1</v>
      </c>
      <c r="AO1201" s="30">
        <v>1</v>
      </c>
      <c r="AP1201" s="30">
        <v>1</v>
      </c>
      <c r="AQ1201" s="30">
        <v>1</v>
      </c>
      <c r="AR1201" s="50">
        <v>7.2186152540827803E-2</v>
      </c>
      <c r="AS1201" s="34">
        <v>6.6666666666666693E-2</v>
      </c>
      <c r="AT1201" s="34">
        <v>4.5454545454545497E-2</v>
      </c>
      <c r="AU1201" s="34">
        <v>0.157894736842105</v>
      </c>
      <c r="AV1201" s="34">
        <v>6.8627450980392204E-2</v>
      </c>
      <c r="AW1201" s="10"/>
      <c r="AX1201" s="8"/>
    </row>
    <row r="1202" spans="1:50">
      <c r="A1202" s="7"/>
      <c r="B1202" s="10"/>
      <c r="C1202" s="45" t="s">
        <v>1100</v>
      </c>
      <c r="D1202" s="23" t="s">
        <v>25</v>
      </c>
      <c r="E1202" s="83" t="s">
        <v>1246</v>
      </c>
      <c r="F1202" s="83" t="s">
        <v>1246</v>
      </c>
      <c r="G1202" s="83" t="s">
        <v>1246</v>
      </c>
      <c r="H1202" s="83" t="s">
        <v>1246</v>
      </c>
      <c r="I1202" s="25">
        <v>0.9</v>
      </c>
      <c r="J1202" s="26">
        <v>1</v>
      </c>
      <c r="K1202" s="26">
        <v>1</v>
      </c>
      <c r="L1202" s="27">
        <v>1</v>
      </c>
      <c r="M1202" s="26">
        <v>0.99426934097421205</v>
      </c>
      <c r="N1202" s="28">
        <v>0.9</v>
      </c>
      <c r="O1202" s="26">
        <v>0.98407376362112298</v>
      </c>
      <c r="P1202" s="26">
        <v>0.98628143837040105</v>
      </c>
      <c r="Q1202" s="26">
        <v>0.98525695029486104</v>
      </c>
      <c r="R1202" s="26">
        <v>0.98788623595505598</v>
      </c>
      <c r="S1202" s="28">
        <v>0.9</v>
      </c>
      <c r="T1202" s="26">
        <v>0.94488683989941302</v>
      </c>
      <c r="U1202" s="26">
        <v>0.933070047807109</v>
      </c>
      <c r="V1202" s="26">
        <v>0.94313395113732101</v>
      </c>
      <c r="W1202" s="26">
        <v>0.94004564606741603</v>
      </c>
      <c r="X1202" s="28">
        <v>0.92</v>
      </c>
      <c r="Y1202" s="28">
        <v>0.96113486202875997</v>
      </c>
      <c r="Z1202" s="28">
        <v>0.96789350039154298</v>
      </c>
      <c r="AA1202" s="28">
        <v>0.96644027167399105</v>
      </c>
      <c r="AB1202" s="28">
        <v>0.96295236732942402</v>
      </c>
      <c r="AC1202" s="28">
        <v>0.92</v>
      </c>
      <c r="AD1202" s="26">
        <v>0.99347079037800701</v>
      </c>
      <c r="AE1202" s="26">
        <v>0.99785315586088497</v>
      </c>
      <c r="AF1202" s="26">
        <v>0.88072925540977998</v>
      </c>
      <c r="AG1202" s="26">
        <v>0.95021480919888801</v>
      </c>
      <c r="AH1202" s="28">
        <v>0.92</v>
      </c>
      <c r="AI1202" s="26">
        <v>0.97685815409746801</v>
      </c>
      <c r="AJ1202" s="26">
        <v>0.98112695179904996</v>
      </c>
      <c r="AK1202" s="26">
        <v>0.97806028296083702</v>
      </c>
      <c r="AL1202" s="26">
        <v>0.97854112271540505</v>
      </c>
      <c r="AM1202" s="25">
        <v>0.99</v>
      </c>
      <c r="AN1202" s="30">
        <v>1</v>
      </c>
      <c r="AO1202" s="30">
        <v>1</v>
      </c>
      <c r="AP1202" s="30">
        <v>1</v>
      </c>
      <c r="AQ1202" s="30">
        <v>1</v>
      </c>
      <c r="AR1202" s="50">
        <v>7.2186152540827803E-2</v>
      </c>
      <c r="AS1202" s="34">
        <v>3.3333333333333298E-2</v>
      </c>
      <c r="AT1202" s="34">
        <v>0.13043478260869601</v>
      </c>
      <c r="AU1202" s="34">
        <v>0</v>
      </c>
      <c r="AV1202" s="34">
        <v>3.4188034188034198E-2</v>
      </c>
      <c r="AW1202" s="10"/>
      <c r="AX1202" s="8"/>
    </row>
    <row r="1203" spans="1:50">
      <c r="A1203" s="7"/>
      <c r="B1203" s="10"/>
      <c r="C1203" s="45" t="s">
        <v>1100</v>
      </c>
      <c r="D1203" s="23" t="s">
        <v>25</v>
      </c>
      <c r="E1203" s="83" t="s">
        <v>1247</v>
      </c>
      <c r="F1203" s="83" t="s">
        <v>1247</v>
      </c>
      <c r="G1203" s="83" t="s">
        <v>1247</v>
      </c>
      <c r="H1203" s="83" t="s">
        <v>1247</v>
      </c>
      <c r="I1203" s="25">
        <v>0.9</v>
      </c>
      <c r="J1203" s="26">
        <v>0.98666666666666702</v>
      </c>
      <c r="K1203" s="26">
        <v>0.98648648648648696</v>
      </c>
      <c r="L1203" s="27">
        <v>1</v>
      </c>
      <c r="M1203" s="26">
        <v>0.98564593301435399</v>
      </c>
      <c r="N1203" s="28">
        <v>0.9</v>
      </c>
      <c r="O1203" s="26">
        <v>0.96924369747899197</v>
      </c>
      <c r="P1203" s="26">
        <v>0.98362497993257303</v>
      </c>
      <c r="Q1203" s="26">
        <v>0.98285001559089502</v>
      </c>
      <c r="R1203" s="26">
        <v>0.97982608695652196</v>
      </c>
      <c r="S1203" s="28">
        <v>0.9</v>
      </c>
      <c r="T1203" s="26">
        <v>0.93949579831932795</v>
      </c>
      <c r="U1203" s="26">
        <v>0.95809921335687898</v>
      </c>
      <c r="V1203" s="26">
        <v>0.95478640473963206</v>
      </c>
      <c r="W1203" s="26">
        <v>0.94841739130434799</v>
      </c>
      <c r="X1203" s="28">
        <v>0.92</v>
      </c>
      <c r="Y1203" s="28">
        <v>0.96535244922341701</v>
      </c>
      <c r="Z1203" s="28">
        <v>0.97132169576059801</v>
      </c>
      <c r="AA1203" s="28">
        <v>0.96965144230769196</v>
      </c>
      <c r="AB1203" s="28">
        <v>0.965677390122338</v>
      </c>
      <c r="AC1203" s="28">
        <v>0.92</v>
      </c>
      <c r="AD1203" s="26">
        <v>0.99208295382890799</v>
      </c>
      <c r="AE1203" s="26">
        <v>0.96809738086996699</v>
      </c>
      <c r="AF1203" s="26">
        <v>0.85808206755837702</v>
      </c>
      <c r="AG1203" s="26">
        <v>0.94191675748176695</v>
      </c>
      <c r="AH1203" s="28">
        <v>0.92</v>
      </c>
      <c r="AI1203" s="26">
        <v>0.97816969566620104</v>
      </c>
      <c r="AJ1203" s="26">
        <v>0.98484848484848497</v>
      </c>
      <c r="AK1203" s="26">
        <v>0.980107115531752</v>
      </c>
      <c r="AL1203" s="26">
        <v>0.97940187882444196</v>
      </c>
      <c r="AM1203" s="25">
        <v>0.99</v>
      </c>
      <c r="AN1203" s="30">
        <v>1</v>
      </c>
      <c r="AO1203" s="30">
        <v>1</v>
      </c>
      <c r="AP1203" s="30">
        <v>1</v>
      </c>
      <c r="AQ1203" s="30">
        <v>1</v>
      </c>
      <c r="AR1203" s="50">
        <v>7.2186152540827803E-2</v>
      </c>
      <c r="AS1203" s="34">
        <v>2.3809523809523801E-2</v>
      </c>
      <c r="AT1203" s="34">
        <v>5.2631578947368397E-2</v>
      </c>
      <c r="AU1203" s="34">
        <v>6.8965517241379296E-2</v>
      </c>
      <c r="AV1203" s="34">
        <v>4.9723756906077297E-2</v>
      </c>
      <c r="AW1203" s="10"/>
      <c r="AX1203" s="8"/>
    </row>
    <row r="1204" spans="1:50">
      <c r="A1204" s="7"/>
      <c r="B1204" s="10"/>
      <c r="C1204" s="45" t="s">
        <v>1100</v>
      </c>
      <c r="D1204" s="23" t="s">
        <v>25</v>
      </c>
      <c r="E1204" s="83" t="s">
        <v>1248</v>
      </c>
      <c r="F1204" s="83" t="s">
        <v>1248</v>
      </c>
      <c r="G1204" s="83" t="s">
        <v>1248</v>
      </c>
      <c r="H1204" s="83" t="s">
        <v>1248</v>
      </c>
      <c r="I1204" s="25">
        <v>0.9</v>
      </c>
      <c r="J1204" s="26">
        <v>1</v>
      </c>
      <c r="K1204" s="26">
        <v>0.96969696969696995</v>
      </c>
      <c r="L1204" s="27">
        <v>1</v>
      </c>
      <c r="M1204" s="26">
        <v>0.98265895953757199</v>
      </c>
      <c r="N1204" s="28">
        <v>0.9</v>
      </c>
      <c r="O1204" s="26">
        <v>0.98556942277691095</v>
      </c>
      <c r="P1204" s="26">
        <v>0.98834498834498796</v>
      </c>
      <c r="Q1204" s="26">
        <v>0.99177735610373197</v>
      </c>
      <c r="R1204" s="26">
        <v>0.98965268308333998</v>
      </c>
      <c r="S1204" s="28">
        <v>0.9</v>
      </c>
      <c r="T1204" s="26">
        <v>0.95865834633385305</v>
      </c>
      <c r="U1204" s="26">
        <v>0.96114996114996099</v>
      </c>
      <c r="V1204" s="26">
        <v>0.97406704617330797</v>
      </c>
      <c r="W1204" s="26">
        <v>0.964867249538782</v>
      </c>
      <c r="X1204" s="28">
        <v>0.92</v>
      </c>
      <c r="Y1204" s="28">
        <v>0.98237885462555097</v>
      </c>
      <c r="Z1204" s="28">
        <v>0.97058823529411797</v>
      </c>
      <c r="AA1204" s="28">
        <v>0.985252808988764</v>
      </c>
      <c r="AB1204" s="28">
        <v>0.97823977823977804</v>
      </c>
      <c r="AC1204" s="28">
        <v>0.92</v>
      </c>
      <c r="AD1204" s="26">
        <v>0.997357833423407</v>
      </c>
      <c r="AE1204" s="26">
        <v>0.99134403525338399</v>
      </c>
      <c r="AF1204" s="26">
        <v>0.74662274695584596</v>
      </c>
      <c r="AG1204" s="26">
        <v>0.92156422170892405</v>
      </c>
      <c r="AH1204" s="28">
        <v>0.92</v>
      </c>
      <c r="AI1204" s="26">
        <v>0.98573611818644902</v>
      </c>
      <c r="AJ1204" s="26">
        <v>0.98486430062630503</v>
      </c>
      <c r="AK1204" s="26">
        <v>0.99034941763727102</v>
      </c>
      <c r="AL1204" s="26">
        <v>0.986638215719149</v>
      </c>
      <c r="AM1204" s="25">
        <v>0.99</v>
      </c>
      <c r="AN1204" s="30">
        <v>1</v>
      </c>
      <c r="AO1204" s="30">
        <v>1</v>
      </c>
      <c r="AP1204" s="30">
        <v>1</v>
      </c>
      <c r="AQ1204" s="30">
        <v>0.99065420560747697</v>
      </c>
      <c r="AR1204" s="50">
        <v>7.2186152540827803E-2</v>
      </c>
      <c r="AS1204" s="34">
        <v>4.3478260869565202E-2</v>
      </c>
      <c r="AT1204" s="34">
        <v>0</v>
      </c>
      <c r="AU1204" s="34">
        <v>0.16666666666666699</v>
      </c>
      <c r="AV1204" s="34">
        <v>3.94736842105263E-2</v>
      </c>
      <c r="AW1204" s="10"/>
      <c r="AX1204" s="8"/>
    </row>
    <row r="1205" spans="1:50">
      <c r="A1205" s="7"/>
      <c r="B1205" s="10"/>
      <c r="C1205" s="45" t="s">
        <v>1100</v>
      </c>
      <c r="D1205" s="23" t="s">
        <v>25</v>
      </c>
      <c r="E1205" s="83" t="s">
        <v>1249</v>
      </c>
      <c r="F1205" s="83" t="s">
        <v>1249</v>
      </c>
      <c r="G1205" s="83" t="s">
        <v>1249</v>
      </c>
      <c r="H1205" s="83" t="s">
        <v>1249</v>
      </c>
      <c r="I1205" s="25">
        <v>0.9</v>
      </c>
      <c r="J1205" s="26">
        <v>1</v>
      </c>
      <c r="K1205" s="26">
        <v>1</v>
      </c>
      <c r="L1205" s="27">
        <v>0.967741935483871</v>
      </c>
      <c r="M1205" s="26">
        <v>0.97209302325581404</v>
      </c>
      <c r="N1205" s="28">
        <v>0.9</v>
      </c>
      <c r="O1205" s="26">
        <v>0.98963372494816904</v>
      </c>
      <c r="P1205" s="26">
        <v>0.99169159189099398</v>
      </c>
      <c r="Q1205" s="26">
        <v>0.99146421536441198</v>
      </c>
      <c r="R1205" s="26">
        <v>0.99108607288026795</v>
      </c>
      <c r="S1205" s="28">
        <v>0.9</v>
      </c>
      <c r="T1205" s="26">
        <v>0.95093296475466504</v>
      </c>
      <c r="U1205" s="26">
        <v>0.94848786972416099</v>
      </c>
      <c r="V1205" s="26">
        <v>0.94550229809586295</v>
      </c>
      <c r="W1205" s="26">
        <v>0.95115167938386902</v>
      </c>
      <c r="X1205" s="28">
        <v>0.92</v>
      </c>
      <c r="Y1205" s="28">
        <v>0.97119078104993595</v>
      </c>
      <c r="Z1205" s="28">
        <v>0.97412587412587404</v>
      </c>
      <c r="AA1205" s="28">
        <v>0.97455089820359297</v>
      </c>
      <c r="AB1205" s="28">
        <v>0.97013475780017</v>
      </c>
      <c r="AC1205" s="28">
        <v>0.92</v>
      </c>
      <c r="AD1205" s="26">
        <v>0.99613362202288902</v>
      </c>
      <c r="AE1205" s="26">
        <v>0.99659511472982998</v>
      </c>
      <c r="AF1205" s="26">
        <v>0.99728014505893003</v>
      </c>
      <c r="AG1205" s="26">
        <v>0.99734198890791503</v>
      </c>
      <c r="AH1205" s="28">
        <v>0.92</v>
      </c>
      <c r="AI1205" s="26">
        <v>0.98451873457482597</v>
      </c>
      <c r="AJ1205" s="26">
        <v>0.98468123451227796</v>
      </c>
      <c r="AK1205" s="26">
        <v>0.98111888111888101</v>
      </c>
      <c r="AL1205" s="26">
        <v>0.98311402523914304</v>
      </c>
      <c r="AM1205" s="25">
        <v>0.99</v>
      </c>
      <c r="AN1205" s="30">
        <v>1</v>
      </c>
      <c r="AO1205" s="30">
        <v>1</v>
      </c>
      <c r="AP1205" s="30">
        <v>1</v>
      </c>
      <c r="AQ1205" s="30">
        <v>1</v>
      </c>
      <c r="AR1205" s="50">
        <v>7.2186152540827803E-2</v>
      </c>
      <c r="AS1205" s="34">
        <v>0</v>
      </c>
      <c r="AT1205" s="34">
        <v>0.22222222222222199</v>
      </c>
      <c r="AU1205" s="34">
        <v>0</v>
      </c>
      <c r="AV1205" s="34">
        <v>4.3478260869565202E-2</v>
      </c>
      <c r="AW1205" s="10"/>
      <c r="AX1205" s="8"/>
    </row>
    <row r="1206" spans="1:50">
      <c r="A1206" s="7"/>
      <c r="B1206" s="10"/>
      <c r="C1206" s="45" t="s">
        <v>1100</v>
      </c>
      <c r="D1206" s="23" t="s">
        <v>25</v>
      </c>
      <c r="E1206" s="83" t="s">
        <v>1250</v>
      </c>
      <c r="F1206" s="83" t="s">
        <v>1250</v>
      </c>
      <c r="G1206" s="83" t="s">
        <v>1250</v>
      </c>
      <c r="H1206" s="83" t="s">
        <v>1250</v>
      </c>
      <c r="I1206" s="25">
        <v>0.9</v>
      </c>
      <c r="J1206" s="26">
        <v>1</v>
      </c>
      <c r="K1206" s="26">
        <v>1</v>
      </c>
      <c r="L1206" s="27">
        <v>1</v>
      </c>
      <c r="M1206" s="26">
        <v>0.99568965517241403</v>
      </c>
      <c r="N1206" s="28">
        <v>0.9</v>
      </c>
      <c r="O1206" s="26">
        <v>0.98331664998331703</v>
      </c>
      <c r="P1206" s="26">
        <v>0.98726294933484304</v>
      </c>
      <c r="Q1206" s="26">
        <v>0.988697204045211</v>
      </c>
      <c r="R1206" s="26">
        <v>0.98632489505151999</v>
      </c>
      <c r="S1206" s="28">
        <v>0.9</v>
      </c>
      <c r="T1206" s="26">
        <v>0.94594594594594605</v>
      </c>
      <c r="U1206" s="26">
        <v>0.94367393150297196</v>
      </c>
      <c r="V1206" s="26">
        <v>0.960142772159429</v>
      </c>
      <c r="W1206" s="26">
        <v>0.94784378577789097</v>
      </c>
      <c r="X1206" s="28">
        <v>0.92</v>
      </c>
      <c r="Y1206" s="28">
        <v>0.96239316239316197</v>
      </c>
      <c r="Z1206" s="28">
        <v>0.97243889755590196</v>
      </c>
      <c r="AA1206" s="28">
        <v>0.97814530419373902</v>
      </c>
      <c r="AB1206" s="28">
        <v>0.97172603858324003</v>
      </c>
      <c r="AC1206" s="28">
        <v>0.92</v>
      </c>
      <c r="AD1206" s="26">
        <v>0.99945569344654905</v>
      </c>
      <c r="AE1206" s="26">
        <v>0.99084181313598496</v>
      </c>
      <c r="AF1206" s="26">
        <v>0.82877070619006099</v>
      </c>
      <c r="AG1206" s="26">
        <v>0.94807431201775005</v>
      </c>
      <c r="AH1206" s="28">
        <v>0.92</v>
      </c>
      <c r="AI1206" s="26">
        <v>0.97474747474747503</v>
      </c>
      <c r="AJ1206" s="26">
        <v>0.98588709677419395</v>
      </c>
      <c r="AK1206" s="26">
        <v>0.98518518518518505</v>
      </c>
      <c r="AL1206" s="26">
        <v>0.98287751743593799</v>
      </c>
      <c r="AM1206" s="25">
        <v>0.99</v>
      </c>
      <c r="AN1206" s="30">
        <v>1</v>
      </c>
      <c r="AO1206" s="30">
        <v>1</v>
      </c>
      <c r="AP1206" s="30">
        <v>1</v>
      </c>
      <c r="AQ1206" s="30">
        <v>1</v>
      </c>
      <c r="AR1206" s="50">
        <v>7.2186152540827803E-2</v>
      </c>
      <c r="AS1206" s="34">
        <v>-6.6666666666666693E-2</v>
      </c>
      <c r="AT1206" s="34">
        <v>0</v>
      </c>
      <c r="AU1206" s="34">
        <v>0</v>
      </c>
      <c r="AV1206" s="34">
        <v>0</v>
      </c>
      <c r="AW1206" s="10"/>
      <c r="AX1206" s="8"/>
    </row>
    <row r="1207" spans="1:50">
      <c r="A1207" s="7"/>
      <c r="B1207" s="10"/>
      <c r="C1207" s="45" t="s">
        <v>1100</v>
      </c>
      <c r="D1207" s="23" t="s">
        <v>25</v>
      </c>
      <c r="E1207" s="83" t="s">
        <v>1251</v>
      </c>
      <c r="F1207" s="83" t="s">
        <v>1251</v>
      </c>
      <c r="G1207" s="83" t="s">
        <v>1251</v>
      </c>
      <c r="H1207" s="83" t="s">
        <v>1251</v>
      </c>
      <c r="I1207" s="25">
        <v>0.9</v>
      </c>
      <c r="J1207" s="26">
        <v>0.96428571428571397</v>
      </c>
      <c r="K1207" s="26">
        <v>0.92857142857142905</v>
      </c>
      <c r="L1207" s="27">
        <v>0.92</v>
      </c>
      <c r="M1207" s="26">
        <v>0.92857142857142905</v>
      </c>
      <c r="N1207" s="28">
        <v>0.9</v>
      </c>
      <c r="O1207" s="26">
        <v>0.99275653923541296</v>
      </c>
      <c r="P1207" s="26">
        <v>0.97003541269408899</v>
      </c>
      <c r="Q1207" s="26">
        <v>0.97860465116279105</v>
      </c>
      <c r="R1207" s="26">
        <v>0.98422840504691</v>
      </c>
      <c r="S1207" s="28">
        <v>0.9</v>
      </c>
      <c r="T1207" s="26">
        <v>0.94366197183098599</v>
      </c>
      <c r="U1207" s="26">
        <v>0.95532552438027796</v>
      </c>
      <c r="V1207" s="26">
        <v>0.94604651162790698</v>
      </c>
      <c r="W1207" s="26">
        <v>0.946214817211258</v>
      </c>
      <c r="X1207" s="28">
        <v>0.92</v>
      </c>
      <c r="Y1207" s="28">
        <v>0.95503746877602003</v>
      </c>
      <c r="Z1207" s="28">
        <v>0.95621716287215397</v>
      </c>
      <c r="AA1207" s="28">
        <v>1</v>
      </c>
      <c r="AB1207" s="28">
        <v>0.95064303093500202</v>
      </c>
      <c r="AC1207" s="28">
        <v>0.92</v>
      </c>
      <c r="AD1207" s="26">
        <v>0.99959316517493901</v>
      </c>
      <c r="AE1207" s="26">
        <v>0.99698581560283706</v>
      </c>
      <c r="AF1207" s="26">
        <v>0.99779044074892398</v>
      </c>
      <c r="AG1207" s="26">
        <v>0.997681679082563</v>
      </c>
      <c r="AH1207" s="28">
        <v>0.92</v>
      </c>
      <c r="AI1207" s="26">
        <v>0.96908055329536202</v>
      </c>
      <c r="AJ1207" s="26">
        <v>0.97548306669436902</v>
      </c>
      <c r="AK1207" s="26">
        <v>0.98051372896368505</v>
      </c>
      <c r="AL1207" s="26">
        <v>0.970748937579337</v>
      </c>
      <c r="AM1207" s="25">
        <v>0.99</v>
      </c>
      <c r="AN1207" s="30">
        <v>1</v>
      </c>
      <c r="AO1207" s="30">
        <v>1</v>
      </c>
      <c r="AP1207" s="30">
        <v>1</v>
      </c>
      <c r="AQ1207" s="30">
        <v>1</v>
      </c>
      <c r="AR1207" s="50">
        <v>7.2186152540827803E-2</v>
      </c>
      <c r="AS1207" s="34">
        <v>0</v>
      </c>
      <c r="AT1207" s="34">
        <v>6.25E-2</v>
      </c>
      <c r="AU1207" s="34">
        <v>0</v>
      </c>
      <c r="AV1207" s="34">
        <v>2.8571428571428598E-2</v>
      </c>
      <c r="AW1207" s="10"/>
      <c r="AX1207" s="8"/>
    </row>
    <row r="1208" spans="1:50">
      <c r="A1208" s="7"/>
      <c r="B1208" s="10"/>
      <c r="C1208" s="45" t="s">
        <v>1100</v>
      </c>
      <c r="D1208" s="23" t="s">
        <v>25</v>
      </c>
      <c r="E1208" s="83" t="s">
        <v>1252</v>
      </c>
      <c r="F1208" s="83" t="s">
        <v>1252</v>
      </c>
      <c r="G1208" s="83" t="s">
        <v>1252</v>
      </c>
      <c r="H1208" s="83" t="s">
        <v>1252</v>
      </c>
      <c r="I1208" s="25">
        <v>0.9</v>
      </c>
      <c r="J1208" s="26">
        <v>0.92592592592592604</v>
      </c>
      <c r="K1208" s="26">
        <v>0.94339622641509402</v>
      </c>
      <c r="L1208" s="27">
        <v>0.89361702127659604</v>
      </c>
      <c r="M1208" s="26">
        <v>0.93729372937293698</v>
      </c>
      <c r="N1208" s="28">
        <v>0.9</v>
      </c>
      <c r="O1208" s="26">
        <v>0.93055916775032499</v>
      </c>
      <c r="P1208" s="26">
        <v>0.90232092168976497</v>
      </c>
      <c r="Q1208" s="26">
        <v>0.93392299687825198</v>
      </c>
      <c r="R1208" s="26">
        <v>0.93470725105655506</v>
      </c>
      <c r="S1208" s="28">
        <v>0.9</v>
      </c>
      <c r="T1208" s="26">
        <v>0.93810143042912897</v>
      </c>
      <c r="U1208" s="26">
        <v>0.91250626147937897</v>
      </c>
      <c r="V1208" s="26">
        <v>0.92819979188345503</v>
      </c>
      <c r="W1208" s="26">
        <v>0.92791680516643704</v>
      </c>
      <c r="X1208" s="28">
        <v>0.92</v>
      </c>
      <c r="Y1208" s="28">
        <v>0.95879486043420503</v>
      </c>
      <c r="Z1208" s="28">
        <v>0.96513129573826995</v>
      </c>
      <c r="AA1208" s="28">
        <v>0.99358974358974395</v>
      </c>
      <c r="AB1208" s="28">
        <v>0.95854467420990996</v>
      </c>
      <c r="AC1208" s="28">
        <v>0.92</v>
      </c>
      <c r="AD1208" s="26">
        <v>0.99697214372224496</v>
      </c>
      <c r="AE1208" s="26">
        <v>0.99610461880912604</v>
      </c>
      <c r="AF1208" s="26">
        <v>0.99321966297736597</v>
      </c>
      <c r="AG1208" s="26">
        <v>0.99436503573391999</v>
      </c>
      <c r="AH1208" s="28">
        <v>0.92</v>
      </c>
      <c r="AI1208" s="26">
        <v>0.97607733901360005</v>
      </c>
      <c r="AJ1208" s="26">
        <v>0.98075303741128395</v>
      </c>
      <c r="AK1208" s="26">
        <v>0.98363811357074105</v>
      </c>
      <c r="AL1208" s="26">
        <v>0.97675235510138902</v>
      </c>
      <c r="AM1208" s="25">
        <v>0.99</v>
      </c>
      <c r="AN1208" s="30">
        <v>1</v>
      </c>
      <c r="AO1208" s="30">
        <v>1</v>
      </c>
      <c r="AP1208" s="30">
        <v>1</v>
      </c>
      <c r="AQ1208" s="30">
        <v>1</v>
      </c>
      <c r="AR1208" s="50">
        <v>7.2186152540827803E-2</v>
      </c>
      <c r="AS1208" s="34">
        <v>5.5555555555555601E-2</v>
      </c>
      <c r="AT1208" s="34">
        <v>7.1428571428571397E-2</v>
      </c>
      <c r="AU1208" s="34">
        <v>0</v>
      </c>
      <c r="AV1208" s="34">
        <v>4.47761194029851E-2</v>
      </c>
      <c r="AW1208" s="10"/>
      <c r="AX1208" s="8"/>
    </row>
    <row r="1209" spans="1:50">
      <c r="A1209" s="7"/>
      <c r="B1209" s="10"/>
      <c r="C1209" s="45" t="s">
        <v>1100</v>
      </c>
      <c r="D1209" s="23" t="s">
        <v>25</v>
      </c>
      <c r="E1209" s="83" t="s">
        <v>1253</v>
      </c>
      <c r="F1209" s="83" t="s">
        <v>1253</v>
      </c>
      <c r="G1209" s="83" t="s">
        <v>1253</v>
      </c>
      <c r="H1209" s="83" t="s">
        <v>1253</v>
      </c>
      <c r="I1209" s="25">
        <v>0.9</v>
      </c>
      <c r="J1209" s="26">
        <v>1</v>
      </c>
      <c r="K1209" s="26">
        <v>1</v>
      </c>
      <c r="L1209" s="27">
        <v>1</v>
      </c>
      <c r="M1209" s="26">
        <v>1</v>
      </c>
      <c r="N1209" s="28">
        <v>0.9</v>
      </c>
      <c r="O1209" s="26">
        <v>0.99369747899159699</v>
      </c>
      <c r="P1209" s="26">
        <v>0.99272727272727301</v>
      </c>
      <c r="Q1209" s="26">
        <v>0.98640915593705303</v>
      </c>
      <c r="R1209" s="26">
        <v>0.99215369949402399</v>
      </c>
      <c r="S1209" s="28">
        <v>0.9</v>
      </c>
      <c r="T1209" s="26">
        <v>0.93767507002801098</v>
      </c>
      <c r="U1209" s="26">
        <v>0.951074380165289</v>
      </c>
      <c r="V1209" s="26">
        <v>0.96638054363376202</v>
      </c>
      <c r="W1209" s="26">
        <v>0.95233555767397504</v>
      </c>
      <c r="X1209" s="28">
        <v>0.92</v>
      </c>
      <c r="Y1209" s="28">
        <v>0.96818181818181803</v>
      </c>
      <c r="Z1209" s="28">
        <v>0.98689040377556403</v>
      </c>
      <c r="AA1209" s="28">
        <v>0.97734231475811395</v>
      </c>
      <c r="AB1209" s="28">
        <v>0.97483870967741904</v>
      </c>
      <c r="AC1209" s="28">
        <v>0.92</v>
      </c>
      <c r="AD1209" s="26">
        <v>1</v>
      </c>
      <c r="AE1209" s="26">
        <v>0.998961578400831</v>
      </c>
      <c r="AF1209" s="26">
        <v>0.99619771863117901</v>
      </c>
      <c r="AG1209" s="26">
        <v>0.99846756342584697</v>
      </c>
      <c r="AH1209" s="28">
        <v>0.92</v>
      </c>
      <c r="AI1209" s="26">
        <v>0.97898613518197597</v>
      </c>
      <c r="AJ1209" s="26">
        <v>0.98884833738848299</v>
      </c>
      <c r="AK1209" s="26">
        <v>0.98284960422163603</v>
      </c>
      <c r="AL1209" s="26">
        <v>0.98426260952962197</v>
      </c>
      <c r="AM1209" s="25">
        <v>0.99</v>
      </c>
      <c r="AN1209" s="30">
        <v>1</v>
      </c>
      <c r="AO1209" s="30">
        <v>1</v>
      </c>
      <c r="AP1209" s="30">
        <v>1</v>
      </c>
      <c r="AQ1209" s="30">
        <v>1</v>
      </c>
      <c r="AR1209" s="50">
        <v>7.2186152540827803E-2</v>
      </c>
      <c r="AS1209" s="34">
        <v>0.11111111111111099</v>
      </c>
      <c r="AT1209" s="34">
        <v>0</v>
      </c>
      <c r="AU1209" s="34">
        <v>0</v>
      </c>
      <c r="AV1209" s="34">
        <v>8.8888888888888906E-2</v>
      </c>
      <c r="AW1209" s="10"/>
      <c r="AX1209" s="8"/>
    </row>
    <row r="1210" spans="1:50">
      <c r="A1210" s="7"/>
      <c r="B1210" s="10"/>
      <c r="C1210" s="45" t="s">
        <v>1100</v>
      </c>
      <c r="D1210" s="23" t="s">
        <v>25</v>
      </c>
      <c r="E1210" s="83" t="s">
        <v>1254</v>
      </c>
      <c r="F1210" s="83" t="s">
        <v>1254</v>
      </c>
      <c r="G1210" s="83" t="s">
        <v>1254</v>
      </c>
      <c r="H1210" s="83" t="s">
        <v>1254</v>
      </c>
      <c r="I1210" s="25">
        <v>0.9</v>
      </c>
      <c r="J1210" s="26">
        <v>0.97058823529411797</v>
      </c>
      <c r="K1210" s="26">
        <v>1</v>
      </c>
      <c r="L1210" s="27">
        <v>1</v>
      </c>
      <c r="M1210" s="26">
        <v>0.98469387755102</v>
      </c>
      <c r="N1210" s="28">
        <v>0.9</v>
      </c>
      <c r="O1210" s="26">
        <v>0.93437886917044999</v>
      </c>
      <c r="P1210" s="26">
        <v>0.96545454545454501</v>
      </c>
      <c r="Q1210" s="26">
        <v>0.92656142759093996</v>
      </c>
      <c r="R1210" s="26">
        <v>0.95248975732745</v>
      </c>
      <c r="S1210" s="28">
        <v>0.9</v>
      </c>
      <c r="T1210" s="26">
        <v>0.94758563763929005</v>
      </c>
      <c r="U1210" s="26">
        <v>0.95490909090909104</v>
      </c>
      <c r="V1210" s="26">
        <v>0.94509265614275895</v>
      </c>
      <c r="W1210" s="26">
        <v>0.94949574535140202</v>
      </c>
      <c r="X1210" s="28">
        <v>0.92</v>
      </c>
      <c r="Y1210" s="28">
        <v>0.95669553630912696</v>
      </c>
      <c r="Z1210" s="28">
        <v>0.96812500000000001</v>
      </c>
      <c r="AA1210" s="28">
        <v>0.97351467430207606</v>
      </c>
      <c r="AB1210" s="28">
        <v>0.96835132482826303</v>
      </c>
      <c r="AC1210" s="28">
        <v>0.92</v>
      </c>
      <c r="AD1210" s="26">
        <v>0.98224661071659103</v>
      </c>
      <c r="AE1210" s="26">
        <v>0.99692496924969298</v>
      </c>
      <c r="AF1210" s="26">
        <v>0.99787007454739096</v>
      </c>
      <c r="AG1210" s="26">
        <v>0.99343127914556495</v>
      </c>
      <c r="AH1210" s="28">
        <v>0.92</v>
      </c>
      <c r="AI1210" s="26">
        <v>0.97477064220183496</v>
      </c>
      <c r="AJ1210" s="26">
        <v>0.98160919540229896</v>
      </c>
      <c r="AK1210" s="26">
        <v>0.98072880168184995</v>
      </c>
      <c r="AL1210" s="26">
        <v>0.98109767798887004</v>
      </c>
      <c r="AM1210" s="25">
        <v>0.99</v>
      </c>
      <c r="AN1210" s="30">
        <v>1</v>
      </c>
      <c r="AO1210" s="30">
        <v>1</v>
      </c>
      <c r="AP1210" s="30">
        <v>1</v>
      </c>
      <c r="AQ1210" s="30">
        <v>1</v>
      </c>
      <c r="AR1210" s="50">
        <v>7.2186152540827803E-2</v>
      </c>
      <c r="AS1210" s="34">
        <v>0</v>
      </c>
      <c r="AT1210" s="34">
        <v>0.11111111111111099</v>
      </c>
      <c r="AU1210" s="34">
        <v>0</v>
      </c>
      <c r="AV1210" s="34">
        <v>0.05</v>
      </c>
      <c r="AW1210" s="10"/>
      <c r="AX1210" s="8"/>
    </row>
    <row r="1211" spans="1:50">
      <c r="A1211" s="7"/>
      <c r="B1211" s="10"/>
      <c r="C1211" s="45" t="s">
        <v>1100</v>
      </c>
      <c r="D1211" s="23" t="s">
        <v>25</v>
      </c>
      <c r="E1211" s="83" t="s">
        <v>1255</v>
      </c>
      <c r="F1211" s="83" t="s">
        <v>1255</v>
      </c>
      <c r="G1211" s="83" t="s">
        <v>1255</v>
      </c>
      <c r="H1211" s="83" t="s">
        <v>1255</v>
      </c>
      <c r="I1211" s="25">
        <v>0.9</v>
      </c>
      <c r="J1211" s="26">
        <v>1</v>
      </c>
      <c r="K1211" s="26">
        <v>0.96923076923076901</v>
      </c>
      <c r="L1211" s="27">
        <v>1</v>
      </c>
      <c r="M1211" s="26">
        <v>0.97076023391812905</v>
      </c>
      <c r="N1211" s="28">
        <v>0.9</v>
      </c>
      <c r="O1211" s="26">
        <v>0.98297067171239405</v>
      </c>
      <c r="P1211" s="26">
        <v>0.98789079700572402</v>
      </c>
      <c r="Q1211" s="26">
        <v>0.98690176322418099</v>
      </c>
      <c r="R1211" s="26">
        <v>0.97295307284508104</v>
      </c>
      <c r="S1211" s="28">
        <v>0.9</v>
      </c>
      <c r="T1211" s="26">
        <v>0.92833491012298996</v>
      </c>
      <c r="U1211" s="26">
        <v>0.94738000880669304</v>
      </c>
      <c r="V1211" s="26">
        <v>0.93450881612090697</v>
      </c>
      <c r="W1211" s="26">
        <v>0.928823875908109</v>
      </c>
      <c r="X1211" s="28">
        <v>0.92</v>
      </c>
      <c r="Y1211" s="28">
        <v>0.94935217903415803</v>
      </c>
      <c r="Z1211" s="28">
        <v>0.96357142857142897</v>
      </c>
      <c r="AA1211" s="28">
        <v>0.95877988458367702</v>
      </c>
      <c r="AB1211" s="28">
        <v>0.93106186385620404</v>
      </c>
      <c r="AC1211" s="28">
        <v>0.92</v>
      </c>
      <c r="AD1211" s="26">
        <v>0.99091734786557695</v>
      </c>
      <c r="AE1211" s="26">
        <v>0.99371563236449301</v>
      </c>
      <c r="AF1211" s="26">
        <v>0.99294532627865995</v>
      </c>
      <c r="AG1211" s="26">
        <v>0.99146552873716498</v>
      </c>
      <c r="AH1211" s="28">
        <v>0.92</v>
      </c>
      <c r="AI1211" s="26">
        <v>0.968118081180812</v>
      </c>
      <c r="AJ1211" s="26">
        <v>0.977801988288166</v>
      </c>
      <c r="AK1211" s="26">
        <v>0.96939469508048104</v>
      </c>
      <c r="AL1211" s="26">
        <v>0.96242622567638603</v>
      </c>
      <c r="AM1211" s="25">
        <v>0.99</v>
      </c>
      <c r="AN1211" s="30">
        <v>1</v>
      </c>
      <c r="AO1211" s="30">
        <v>1</v>
      </c>
      <c r="AP1211" s="30">
        <v>1</v>
      </c>
      <c r="AQ1211" s="30">
        <v>1</v>
      </c>
      <c r="AR1211" s="50">
        <v>7.2186152540827803E-2</v>
      </c>
      <c r="AS1211" s="34">
        <v>0</v>
      </c>
      <c r="AT1211" s="34">
        <v>0</v>
      </c>
      <c r="AU1211" s="34">
        <v>8.3333333333333301E-2</v>
      </c>
      <c r="AV1211" s="34">
        <v>0.04</v>
      </c>
      <c r="AW1211" s="10"/>
      <c r="AX1211" s="8"/>
    </row>
    <row r="1212" spans="1:50">
      <c r="A1212" s="7"/>
      <c r="B1212" s="10"/>
      <c r="C1212" s="45" t="s">
        <v>1100</v>
      </c>
      <c r="D1212" s="23" t="s">
        <v>25</v>
      </c>
      <c r="E1212" s="83" t="s">
        <v>1256</v>
      </c>
      <c r="F1212" s="83" t="s">
        <v>1256</v>
      </c>
      <c r="G1212" s="83" t="s">
        <v>1256</v>
      </c>
      <c r="H1212" s="83" t="s">
        <v>1256</v>
      </c>
      <c r="I1212" s="25">
        <v>0.9</v>
      </c>
      <c r="J1212" s="26">
        <v>0.97368421052631604</v>
      </c>
      <c r="K1212" s="26">
        <v>0.92307692307692302</v>
      </c>
      <c r="L1212" s="27">
        <v>0.81818181818181801</v>
      </c>
      <c r="M1212" s="26">
        <v>0.88405797101449302</v>
      </c>
      <c r="N1212" s="28">
        <v>0.9</v>
      </c>
      <c r="O1212" s="26">
        <v>0.89204693611473296</v>
      </c>
      <c r="P1212" s="26">
        <v>0.91672683513838704</v>
      </c>
      <c r="Q1212" s="26">
        <v>0.94895287958115204</v>
      </c>
      <c r="R1212" s="26">
        <v>0.92067406494040305</v>
      </c>
      <c r="S1212" s="28">
        <v>0.9</v>
      </c>
      <c r="T1212" s="26">
        <v>0.86258148631029996</v>
      </c>
      <c r="U1212" s="26">
        <v>0.84861612515042095</v>
      </c>
      <c r="V1212" s="26">
        <v>0.89267015706806296</v>
      </c>
      <c r="W1212" s="26">
        <v>0.84330045211672799</v>
      </c>
      <c r="X1212" s="28">
        <v>0.92</v>
      </c>
      <c r="Y1212" s="28">
        <v>0.92319054652880395</v>
      </c>
      <c r="Z1212" s="28">
        <v>0.92903930131004397</v>
      </c>
      <c r="AA1212" s="28">
        <v>0.94994559303590898</v>
      </c>
      <c r="AB1212" s="28">
        <v>0.92555605991829304</v>
      </c>
      <c r="AC1212" s="28">
        <v>0.92</v>
      </c>
      <c r="AD1212" s="26">
        <v>0.99712702647239904</v>
      </c>
      <c r="AE1212" s="26">
        <v>0.99960666054805303</v>
      </c>
      <c r="AF1212" s="26">
        <v>0.99195115181792903</v>
      </c>
      <c r="AG1212" s="26">
        <v>0.99499800452308096</v>
      </c>
      <c r="AH1212" s="28">
        <v>0.92</v>
      </c>
      <c r="AI1212" s="26">
        <v>0.95855496453900702</v>
      </c>
      <c r="AJ1212" s="26">
        <v>0.96451104100946405</v>
      </c>
      <c r="AK1212" s="26">
        <v>0.96544209215442101</v>
      </c>
      <c r="AL1212" s="26">
        <v>0.95723022788203704</v>
      </c>
      <c r="AM1212" s="25">
        <v>0.99</v>
      </c>
      <c r="AN1212" s="30">
        <v>1</v>
      </c>
      <c r="AO1212" s="30">
        <v>1</v>
      </c>
      <c r="AP1212" s="30">
        <v>1</v>
      </c>
      <c r="AQ1212" s="30">
        <v>1</v>
      </c>
      <c r="AR1212" s="50">
        <v>7.2186152540827803E-2</v>
      </c>
      <c r="AS1212" s="34">
        <v>0</v>
      </c>
      <c r="AT1212" s="34">
        <v>5.5555555555555601E-2</v>
      </c>
      <c r="AU1212" s="34">
        <v>7.1428571428571397E-2</v>
      </c>
      <c r="AV1212" s="34">
        <v>3.1578947368421102E-2</v>
      </c>
      <c r="AW1212" s="10"/>
      <c r="AX1212" s="8"/>
    </row>
    <row r="1213" spans="1:50">
      <c r="A1213" s="7"/>
      <c r="B1213" s="10"/>
      <c r="C1213" s="45" t="s">
        <v>1100</v>
      </c>
      <c r="D1213" s="23" t="s">
        <v>25</v>
      </c>
      <c r="E1213" s="83" t="s">
        <v>1257</v>
      </c>
      <c r="F1213" s="83" t="s">
        <v>1257</v>
      </c>
      <c r="G1213" s="83" t="s">
        <v>1257</v>
      </c>
      <c r="H1213" s="83" t="s">
        <v>1257</v>
      </c>
      <c r="I1213" s="25">
        <v>0.9</v>
      </c>
      <c r="J1213" s="26">
        <v>0.9</v>
      </c>
      <c r="K1213" s="26">
        <v>0.92727272727272703</v>
      </c>
      <c r="L1213" s="27">
        <v>0.934782608695652</v>
      </c>
      <c r="M1213" s="26">
        <v>0.86941580756013703</v>
      </c>
      <c r="N1213" s="28">
        <v>0.9</v>
      </c>
      <c r="O1213" s="26">
        <v>0.86896838602329496</v>
      </c>
      <c r="P1213" s="26">
        <v>0.88765678967460504</v>
      </c>
      <c r="Q1213" s="26">
        <v>0.87542662116041003</v>
      </c>
      <c r="R1213" s="26">
        <v>0.83363501065926504</v>
      </c>
      <c r="S1213" s="28">
        <v>0.9</v>
      </c>
      <c r="T1213" s="26">
        <v>0.61855241264559102</v>
      </c>
      <c r="U1213" s="26">
        <v>0.62697691328849303</v>
      </c>
      <c r="V1213" s="26">
        <v>0.72901023890784999</v>
      </c>
      <c r="W1213" s="26">
        <v>0.61819717630022897</v>
      </c>
      <c r="X1213" s="28">
        <v>0.92</v>
      </c>
      <c r="Y1213" s="28">
        <v>0.62343572241183198</v>
      </c>
      <c r="Z1213" s="28">
        <v>0.65044247787610598</v>
      </c>
      <c r="AA1213" s="28">
        <v>0.71848739495798297</v>
      </c>
      <c r="AB1213" s="28">
        <v>0.62962962962962998</v>
      </c>
      <c r="AC1213" s="28">
        <v>0.92</v>
      </c>
      <c r="AD1213" s="26">
        <v>0.99415204678362601</v>
      </c>
      <c r="AE1213" s="26">
        <v>1</v>
      </c>
      <c r="AF1213" s="26">
        <v>0.99470899470899499</v>
      </c>
      <c r="AG1213" s="26">
        <v>0.99190647482014405</v>
      </c>
      <c r="AH1213" s="28">
        <v>0.92</v>
      </c>
      <c r="AI1213" s="26">
        <v>0.83400738526463902</v>
      </c>
      <c r="AJ1213" s="26">
        <v>0.87650784077201405</v>
      </c>
      <c r="AK1213" s="26">
        <v>0.85655339805825204</v>
      </c>
      <c r="AL1213" s="26">
        <v>0.83019986171018401</v>
      </c>
      <c r="AM1213" s="25">
        <v>0.99</v>
      </c>
      <c r="AN1213" s="30">
        <v>1</v>
      </c>
      <c r="AO1213" s="30">
        <v>1</v>
      </c>
      <c r="AP1213" s="30">
        <v>1</v>
      </c>
      <c r="AQ1213" s="30">
        <v>1</v>
      </c>
      <c r="AR1213" s="50">
        <v>7.2186152540827803E-2</v>
      </c>
      <c r="AS1213" s="34">
        <v>0.16</v>
      </c>
      <c r="AT1213" s="34">
        <v>8.6956521739130405E-2</v>
      </c>
      <c r="AU1213" s="34">
        <v>0.125</v>
      </c>
      <c r="AV1213" s="34">
        <v>6.4516129032258104E-2</v>
      </c>
      <c r="AW1213" s="10"/>
      <c r="AX1213" s="8"/>
    </row>
    <row r="1214" spans="1:50">
      <c r="A1214" s="7"/>
      <c r="B1214" s="10"/>
      <c r="C1214" s="45" t="s">
        <v>1100</v>
      </c>
      <c r="D1214" s="23" t="s">
        <v>25</v>
      </c>
      <c r="E1214" s="83" t="s">
        <v>1258</v>
      </c>
      <c r="F1214" s="83" t="s">
        <v>1258</v>
      </c>
      <c r="G1214" s="83" t="s">
        <v>1258</v>
      </c>
      <c r="H1214" s="83" t="s">
        <v>1258</v>
      </c>
      <c r="I1214" s="25">
        <v>0.9</v>
      </c>
      <c r="J1214" s="26">
        <v>0.93877551020408201</v>
      </c>
      <c r="K1214" s="26">
        <v>0.83673469387755095</v>
      </c>
      <c r="L1214" s="27">
        <v>0.87804878048780499</v>
      </c>
      <c r="M1214" s="26">
        <v>0.87777777777777799</v>
      </c>
      <c r="N1214" s="28">
        <v>0.9</v>
      </c>
      <c r="O1214" s="26">
        <v>0.94201925229460504</v>
      </c>
      <c r="P1214" s="26">
        <v>0.98014184397163095</v>
      </c>
      <c r="Q1214" s="26">
        <v>0.98227848101265802</v>
      </c>
      <c r="R1214" s="26">
        <v>0.97383771547971398</v>
      </c>
      <c r="S1214" s="28">
        <v>0.9</v>
      </c>
      <c r="T1214" s="26">
        <v>0.86545780165659303</v>
      </c>
      <c r="U1214" s="26">
        <v>0.88956433637284704</v>
      </c>
      <c r="V1214" s="26">
        <v>0.93345388788426797</v>
      </c>
      <c r="W1214" s="26">
        <v>0.88725404840675604</v>
      </c>
      <c r="X1214" s="28">
        <v>0.92</v>
      </c>
      <c r="Y1214" s="28">
        <v>0.94193548387096804</v>
      </c>
      <c r="Z1214" s="28">
        <v>0.96428571428571397</v>
      </c>
      <c r="AA1214" s="28">
        <v>0.94101382488479302</v>
      </c>
      <c r="AB1214" s="28">
        <v>0.93813206424747198</v>
      </c>
      <c r="AC1214" s="28">
        <v>0.92</v>
      </c>
      <c r="AD1214" s="26">
        <v>1</v>
      </c>
      <c r="AE1214" s="26">
        <v>1</v>
      </c>
      <c r="AF1214" s="26">
        <v>0.99518072289156601</v>
      </c>
      <c r="AG1214" s="26">
        <v>0.99877149877149896</v>
      </c>
      <c r="AH1214" s="28">
        <v>0.92</v>
      </c>
      <c r="AI1214" s="26">
        <v>0.96566196108355595</v>
      </c>
      <c r="AJ1214" s="26">
        <v>0.97539223781998396</v>
      </c>
      <c r="AK1214" s="26">
        <v>0.96727272727272695</v>
      </c>
      <c r="AL1214" s="26">
        <v>0.96473317865429198</v>
      </c>
      <c r="AM1214" s="25">
        <v>0.99</v>
      </c>
      <c r="AN1214" s="30">
        <v>1</v>
      </c>
      <c r="AO1214" s="30">
        <v>1</v>
      </c>
      <c r="AP1214" s="30">
        <v>1</v>
      </c>
      <c r="AQ1214" s="30">
        <v>1</v>
      </c>
      <c r="AR1214" s="50">
        <v>7.2186152540827803E-2</v>
      </c>
      <c r="AS1214" s="34">
        <v>0</v>
      </c>
      <c r="AT1214" s="34">
        <v>-3.4482758620689703E-2</v>
      </c>
      <c r="AU1214" s="34">
        <v>5.2631578947368397E-2</v>
      </c>
      <c r="AV1214" s="34">
        <v>-7.1942446043165497E-3</v>
      </c>
      <c r="AW1214" s="10"/>
      <c r="AX1214" s="8"/>
    </row>
    <row r="1215" spans="1:50">
      <c r="A1215" s="7"/>
      <c r="B1215" s="10"/>
      <c r="C1215" s="45" t="s">
        <v>1100</v>
      </c>
      <c r="D1215" s="23" t="s">
        <v>25</v>
      </c>
      <c r="E1215" s="83" t="s">
        <v>1259</v>
      </c>
      <c r="F1215" s="83" t="s">
        <v>1259</v>
      </c>
      <c r="G1215" s="83" t="s">
        <v>1259</v>
      </c>
      <c r="H1215" s="83" t="s">
        <v>1259</v>
      </c>
      <c r="I1215" s="25">
        <v>0.9</v>
      </c>
      <c r="J1215" s="26">
        <v>0</v>
      </c>
      <c r="K1215" s="26">
        <v>0</v>
      </c>
      <c r="L1215" s="27">
        <v>0</v>
      </c>
      <c r="M1215" s="26">
        <v>0</v>
      </c>
      <c r="N1215" s="28">
        <v>0.9</v>
      </c>
      <c r="O1215" s="26">
        <v>0</v>
      </c>
      <c r="P1215" s="26">
        <v>0</v>
      </c>
      <c r="Q1215" s="26">
        <v>0</v>
      </c>
      <c r="R1215" s="26">
        <v>0</v>
      </c>
      <c r="S1215" s="28">
        <v>0.9</v>
      </c>
      <c r="T1215" s="26">
        <v>0</v>
      </c>
      <c r="U1215" s="26">
        <v>1</v>
      </c>
      <c r="V1215" s="26">
        <v>0</v>
      </c>
      <c r="W1215" s="26">
        <v>0.66666666666666696</v>
      </c>
      <c r="X1215" s="28">
        <v>0.92</v>
      </c>
      <c r="Y1215" s="28">
        <v>0</v>
      </c>
      <c r="Z1215" s="28">
        <v>1</v>
      </c>
      <c r="AA1215" s="28">
        <v>0</v>
      </c>
      <c r="AB1215" s="28">
        <v>1</v>
      </c>
      <c r="AC1215" s="28">
        <v>0.92</v>
      </c>
      <c r="AD1215" s="26">
        <v>0.99521897112258595</v>
      </c>
      <c r="AE1215" s="26">
        <v>0.68739975049010904</v>
      </c>
      <c r="AF1215" s="26">
        <v>0.99443375481033502</v>
      </c>
      <c r="AG1215" s="26">
        <v>0.87279584286968703</v>
      </c>
      <c r="AH1215" s="28">
        <v>0.92</v>
      </c>
      <c r="AI1215" s="26">
        <v>0</v>
      </c>
      <c r="AJ1215" s="26">
        <v>1</v>
      </c>
      <c r="AK1215" s="26">
        <v>0</v>
      </c>
      <c r="AL1215" s="26">
        <v>0.71428571428571397</v>
      </c>
      <c r="AM1215" s="25">
        <v>0.99</v>
      </c>
      <c r="AN1215" s="30">
        <v>1</v>
      </c>
      <c r="AO1215" s="30">
        <v>1</v>
      </c>
      <c r="AP1215" s="30">
        <v>1</v>
      </c>
      <c r="AQ1215" s="30">
        <v>1</v>
      </c>
      <c r="AR1215" s="50">
        <v>7.2186152540827803E-2</v>
      </c>
      <c r="AS1215" s="34">
        <v>0</v>
      </c>
      <c r="AT1215" s="34">
        <v>0</v>
      </c>
      <c r="AU1215" s="34">
        <v>0</v>
      </c>
      <c r="AV1215" s="34">
        <v>0</v>
      </c>
      <c r="AW1215" s="10"/>
      <c r="AX1215" s="8"/>
    </row>
    <row r="1216" spans="1:50">
      <c r="A1216" s="7"/>
      <c r="B1216" s="10"/>
      <c r="C1216" s="45" t="s">
        <v>1100</v>
      </c>
      <c r="D1216" s="23" t="s">
        <v>25</v>
      </c>
      <c r="E1216" s="83" t="s">
        <v>1260</v>
      </c>
      <c r="F1216" s="83" t="s">
        <v>1260</v>
      </c>
      <c r="G1216" s="83" t="s">
        <v>1260</v>
      </c>
      <c r="H1216" s="83" t="s">
        <v>1260</v>
      </c>
      <c r="I1216" s="25">
        <v>0.9</v>
      </c>
      <c r="J1216" s="26">
        <v>0.95833333333333304</v>
      </c>
      <c r="K1216" s="26">
        <v>0.98</v>
      </c>
      <c r="L1216" s="27">
        <v>0.95121951219512202</v>
      </c>
      <c r="M1216" s="26">
        <v>0.94594594594594605</v>
      </c>
      <c r="N1216" s="28">
        <v>0.9</v>
      </c>
      <c r="O1216" s="26">
        <v>0.98521706586826396</v>
      </c>
      <c r="P1216" s="26">
        <v>0.98579308039445102</v>
      </c>
      <c r="Q1216" s="26">
        <v>0.99005593536358005</v>
      </c>
      <c r="R1216" s="26">
        <v>0.89662740507718197</v>
      </c>
      <c r="S1216" s="28">
        <v>0.9</v>
      </c>
      <c r="T1216" s="26">
        <v>0.82129491017964096</v>
      </c>
      <c r="U1216" s="26">
        <v>0.80444593013538401</v>
      </c>
      <c r="V1216" s="26">
        <v>0.89527656929770005</v>
      </c>
      <c r="W1216" s="26">
        <v>0.80155827053917605</v>
      </c>
      <c r="X1216" s="28">
        <v>0.92</v>
      </c>
      <c r="Y1216" s="28">
        <v>0.93257261410788395</v>
      </c>
      <c r="Z1216" s="28">
        <v>0.94703049759229496</v>
      </c>
      <c r="AA1216" s="28">
        <v>0.92583732057416301</v>
      </c>
      <c r="AB1216" s="28">
        <v>0.90860905878573694</v>
      </c>
      <c r="AC1216" s="28">
        <v>0.92</v>
      </c>
      <c r="AD1216" s="26">
        <v>0.99868377755840698</v>
      </c>
      <c r="AE1216" s="26">
        <v>0.99665037117508604</v>
      </c>
      <c r="AF1216" s="26">
        <v>0.99399378179762599</v>
      </c>
      <c r="AG1216" s="26">
        <v>0.98843574126898504</v>
      </c>
      <c r="AH1216" s="28">
        <v>0.92</v>
      </c>
      <c r="AI1216" s="26">
        <v>0.950221940393152</v>
      </c>
      <c r="AJ1216" s="26">
        <v>0.95669618151632496</v>
      </c>
      <c r="AK1216" s="26">
        <v>0.95908786049631101</v>
      </c>
      <c r="AL1216" s="26">
        <v>0.94095567206863695</v>
      </c>
      <c r="AM1216" s="25">
        <v>0.99</v>
      </c>
      <c r="AN1216" s="30">
        <v>1</v>
      </c>
      <c r="AO1216" s="30">
        <v>1</v>
      </c>
      <c r="AP1216" s="30">
        <v>1</v>
      </c>
      <c r="AQ1216" s="30">
        <v>1</v>
      </c>
      <c r="AR1216" s="50">
        <v>7.2186152540827803E-2</v>
      </c>
      <c r="AS1216" s="34">
        <v>-0.125</v>
      </c>
      <c r="AT1216" s="34">
        <v>2.5000000000000001E-2</v>
      </c>
      <c r="AU1216" s="34">
        <v>3.7037037037037E-2</v>
      </c>
      <c r="AV1216" s="34">
        <v>-8.1967213114754103E-3</v>
      </c>
      <c r="AW1216" s="10"/>
      <c r="AX1216" s="8"/>
    </row>
    <row r="1217" spans="1:50">
      <c r="A1217" s="7"/>
      <c r="B1217" s="10"/>
      <c r="C1217" s="45" t="s">
        <v>1100</v>
      </c>
      <c r="D1217" s="23" t="s">
        <v>25</v>
      </c>
      <c r="E1217" s="84" t="s">
        <v>1261</v>
      </c>
      <c r="F1217" s="84" t="s">
        <v>1261</v>
      </c>
      <c r="G1217" s="84" t="s">
        <v>1261</v>
      </c>
      <c r="H1217" s="84" t="s">
        <v>1261</v>
      </c>
      <c r="I1217" s="25">
        <v>0.9</v>
      </c>
      <c r="J1217" s="26">
        <v>1</v>
      </c>
      <c r="K1217" s="26">
        <v>1</v>
      </c>
      <c r="L1217" s="27">
        <v>1</v>
      </c>
      <c r="M1217" s="26">
        <v>0.93820224719101097</v>
      </c>
      <c r="N1217" s="28">
        <v>0.9</v>
      </c>
      <c r="O1217" s="26">
        <v>0.98037190082644599</v>
      </c>
      <c r="P1217" s="26">
        <v>0.98266790467347598</v>
      </c>
      <c r="Q1217" s="26">
        <v>0.97542857142857098</v>
      </c>
      <c r="R1217" s="26">
        <v>0.97676916879280296</v>
      </c>
      <c r="S1217" s="28">
        <v>0.9</v>
      </c>
      <c r="T1217" s="26">
        <v>0.85606060606060597</v>
      </c>
      <c r="U1217" s="26">
        <v>0.88424636335499796</v>
      </c>
      <c r="V1217" s="26">
        <v>0.90742857142857103</v>
      </c>
      <c r="W1217" s="26">
        <v>0.857392238485296</v>
      </c>
      <c r="X1217" s="28">
        <v>0.92</v>
      </c>
      <c r="Y1217" s="28">
        <v>0.88282828282828296</v>
      </c>
      <c r="Z1217" s="28">
        <v>0.93698630136986305</v>
      </c>
      <c r="AA1217" s="28">
        <v>0.852413793103448</v>
      </c>
      <c r="AB1217" s="28">
        <v>0.87041923189680404</v>
      </c>
      <c r="AC1217" s="28">
        <v>0.92</v>
      </c>
      <c r="AD1217" s="26">
        <v>0.99951076320939303</v>
      </c>
      <c r="AE1217" s="26">
        <v>0.996607705354979</v>
      </c>
      <c r="AF1217" s="26">
        <v>0.99521106775452295</v>
      </c>
      <c r="AG1217" s="26">
        <v>0.99761121553884702</v>
      </c>
      <c r="AH1217" s="28">
        <v>0.92</v>
      </c>
      <c r="AI1217" s="26">
        <v>0.95175051485731099</v>
      </c>
      <c r="AJ1217" s="26">
        <v>0.95985862156021196</v>
      </c>
      <c r="AK1217" s="26">
        <v>0.93171717171717205</v>
      </c>
      <c r="AL1217" s="26">
        <v>0.93351543294181905</v>
      </c>
      <c r="AM1217" s="25">
        <v>0.99</v>
      </c>
      <c r="AN1217" s="30">
        <v>1</v>
      </c>
      <c r="AO1217" s="30">
        <v>1</v>
      </c>
      <c r="AP1217" s="30">
        <v>1</v>
      </c>
      <c r="AQ1217" s="30">
        <v>1</v>
      </c>
      <c r="AR1217" s="50">
        <v>7.2186152540827803E-2</v>
      </c>
      <c r="AS1217" s="34">
        <v>0.11764705882352899</v>
      </c>
      <c r="AT1217" s="34">
        <v>0</v>
      </c>
      <c r="AU1217" s="34">
        <v>0</v>
      </c>
      <c r="AV1217" s="34">
        <v>0.04</v>
      </c>
      <c r="AW1217" s="10"/>
      <c r="AX1217" s="8"/>
    </row>
    <row r="1218" spans="1:50">
      <c r="A1218" s="7"/>
      <c r="B1218" s="10"/>
      <c r="C1218" s="45" t="s">
        <v>1100</v>
      </c>
      <c r="D1218" s="23" t="s">
        <v>25</v>
      </c>
      <c r="E1218" s="83" t="s">
        <v>1262</v>
      </c>
      <c r="F1218" s="83" t="s">
        <v>1262</v>
      </c>
      <c r="G1218" s="83" t="s">
        <v>1262</v>
      </c>
      <c r="H1218" s="83" t="s">
        <v>1262</v>
      </c>
      <c r="I1218" s="25">
        <v>0.9</v>
      </c>
      <c r="J1218" s="26">
        <v>0</v>
      </c>
      <c r="K1218" s="26">
        <v>0</v>
      </c>
      <c r="L1218" s="27">
        <v>0</v>
      </c>
      <c r="M1218" s="26">
        <v>0</v>
      </c>
      <c r="N1218" s="28">
        <v>0.9</v>
      </c>
      <c r="O1218" s="26">
        <v>0.33333333333333298</v>
      </c>
      <c r="P1218" s="26">
        <v>0</v>
      </c>
      <c r="Q1218" s="26">
        <v>0</v>
      </c>
      <c r="R1218" s="26">
        <v>0.4</v>
      </c>
      <c r="S1218" s="28">
        <v>0.9</v>
      </c>
      <c r="T1218" s="26">
        <v>1</v>
      </c>
      <c r="U1218" s="26">
        <v>0</v>
      </c>
      <c r="V1218" s="26">
        <v>1</v>
      </c>
      <c r="W1218" s="26">
        <v>1</v>
      </c>
      <c r="X1218" s="28">
        <v>0.92</v>
      </c>
      <c r="Y1218" s="28">
        <v>0</v>
      </c>
      <c r="Z1218" s="28">
        <v>0</v>
      </c>
      <c r="AA1218" s="28">
        <v>0</v>
      </c>
      <c r="AB1218" s="28">
        <v>0</v>
      </c>
      <c r="AC1218" s="28">
        <v>0.92</v>
      </c>
      <c r="AD1218" s="26">
        <v>0.99855072463768102</v>
      </c>
      <c r="AE1218" s="26">
        <v>0.99676914039553599</v>
      </c>
      <c r="AF1218" s="26">
        <v>0.99427111558411396</v>
      </c>
      <c r="AG1218" s="26">
        <v>0.981174503416265</v>
      </c>
      <c r="AH1218" s="28">
        <v>0.92</v>
      </c>
      <c r="AI1218" s="26">
        <v>0.75</v>
      </c>
      <c r="AJ1218" s="26">
        <v>1</v>
      </c>
      <c r="AK1218" s="26">
        <v>1</v>
      </c>
      <c r="AL1218" s="26">
        <v>0.88888888888888895</v>
      </c>
      <c r="AM1218" s="25">
        <v>0.99</v>
      </c>
      <c r="AN1218" s="30">
        <v>1</v>
      </c>
      <c r="AO1218" s="30">
        <v>1</v>
      </c>
      <c r="AP1218" s="30">
        <v>1</v>
      </c>
      <c r="AQ1218" s="30">
        <v>1</v>
      </c>
      <c r="AR1218" s="50">
        <v>7.2186152540827803E-2</v>
      </c>
      <c r="AS1218" s="34">
        <v>0</v>
      </c>
      <c r="AT1218" s="34">
        <v>0</v>
      </c>
      <c r="AU1218" s="34">
        <v>0</v>
      </c>
      <c r="AV1218" s="34">
        <v>0</v>
      </c>
      <c r="AW1218" s="10"/>
      <c r="AX1218" s="8"/>
    </row>
    <row r="1219" spans="1:50">
      <c r="A1219" s="7"/>
      <c r="B1219" s="10"/>
      <c r="C1219" s="45" t="s">
        <v>1100</v>
      </c>
      <c r="D1219" s="23" t="s">
        <v>25</v>
      </c>
      <c r="E1219" s="83" t="s">
        <v>1263</v>
      </c>
      <c r="F1219" s="83" t="s">
        <v>1263</v>
      </c>
      <c r="G1219" s="83" t="s">
        <v>1263</v>
      </c>
      <c r="H1219" s="83" t="s">
        <v>1263</v>
      </c>
      <c r="I1219" s="25">
        <v>0.9</v>
      </c>
      <c r="J1219" s="26">
        <v>0</v>
      </c>
      <c r="K1219" s="26">
        <v>0</v>
      </c>
      <c r="L1219" s="27">
        <v>0</v>
      </c>
      <c r="M1219" s="26">
        <v>0</v>
      </c>
      <c r="N1219" s="28">
        <v>0.9</v>
      </c>
      <c r="O1219" s="26">
        <v>0.99393939393939401</v>
      </c>
      <c r="P1219" s="26">
        <v>0.99570815450643801</v>
      </c>
      <c r="Q1219" s="26">
        <v>0.99140893470790403</v>
      </c>
      <c r="R1219" s="26">
        <v>0.99591002044989796</v>
      </c>
      <c r="S1219" s="28">
        <v>0.9</v>
      </c>
      <c r="T1219" s="26">
        <v>0.99848484848484897</v>
      </c>
      <c r="U1219" s="26">
        <v>0.99785407725321895</v>
      </c>
      <c r="V1219" s="26">
        <v>0.99312714776632305</v>
      </c>
      <c r="W1219" s="26">
        <v>0.99761417859577395</v>
      </c>
      <c r="X1219" s="28">
        <v>0.92</v>
      </c>
      <c r="Y1219" s="28">
        <v>1</v>
      </c>
      <c r="Z1219" s="28">
        <v>1</v>
      </c>
      <c r="AA1219" s="28">
        <v>1</v>
      </c>
      <c r="AB1219" s="28">
        <v>0.99724137931034496</v>
      </c>
      <c r="AC1219" s="28">
        <v>0.92</v>
      </c>
      <c r="AD1219" s="26">
        <v>0.75274687777246996</v>
      </c>
      <c r="AE1219" s="26">
        <v>0.99768295037652099</v>
      </c>
      <c r="AF1219" s="26">
        <v>0.99462198779604905</v>
      </c>
      <c r="AG1219" s="26">
        <v>0.95446551588946305</v>
      </c>
      <c r="AH1219" s="28">
        <v>0.92</v>
      </c>
      <c r="AI1219" s="26">
        <v>0.99861878453038699</v>
      </c>
      <c r="AJ1219" s="26">
        <v>0.99837925445705</v>
      </c>
      <c r="AK1219" s="26">
        <v>0.99425287356321801</v>
      </c>
      <c r="AL1219" s="26">
        <v>0.99754299754299802</v>
      </c>
      <c r="AM1219" s="25">
        <v>0.99</v>
      </c>
      <c r="AN1219" s="30">
        <v>1</v>
      </c>
      <c r="AO1219" s="30">
        <v>1</v>
      </c>
      <c r="AP1219" s="30">
        <v>1</v>
      </c>
      <c r="AQ1219" s="30">
        <v>1</v>
      </c>
      <c r="AR1219" s="50">
        <v>7.2186152540827803E-2</v>
      </c>
      <c r="AS1219" s="34">
        <v>0</v>
      </c>
      <c r="AT1219" s="34">
        <v>1.4705882352941201E-2</v>
      </c>
      <c r="AU1219" s="34">
        <v>0</v>
      </c>
      <c r="AV1219" s="34">
        <v>1.01522842639594E-2</v>
      </c>
      <c r="AW1219" s="10"/>
      <c r="AX1219" s="8"/>
    </row>
    <row r="1220" spans="1:50">
      <c r="A1220" s="7"/>
      <c r="B1220" s="10"/>
      <c r="C1220" s="45" t="s">
        <v>1100</v>
      </c>
      <c r="D1220" s="23" t="s">
        <v>25</v>
      </c>
      <c r="E1220" s="85" t="s">
        <v>1264</v>
      </c>
      <c r="F1220" s="85" t="s">
        <v>1264</v>
      </c>
      <c r="G1220" s="85" t="s">
        <v>1264</v>
      </c>
      <c r="H1220" s="85" t="s">
        <v>1264</v>
      </c>
      <c r="I1220" s="25">
        <v>0.9</v>
      </c>
      <c r="J1220" s="26">
        <v>0.88235294117647101</v>
      </c>
      <c r="K1220" s="26">
        <v>0.94736842105263197</v>
      </c>
      <c r="L1220" s="27">
        <v>0.83333333333333304</v>
      </c>
      <c r="M1220" s="26">
        <v>0.89523809523809506</v>
      </c>
      <c r="N1220" s="28">
        <v>0.9</v>
      </c>
      <c r="O1220" s="26">
        <v>0.92805383022774302</v>
      </c>
      <c r="P1220" s="26">
        <v>0.92108050847457601</v>
      </c>
      <c r="Q1220" s="26">
        <v>0.964454976303318</v>
      </c>
      <c r="R1220" s="26">
        <v>0.94196804037005899</v>
      </c>
      <c r="S1220" s="28">
        <v>0.9</v>
      </c>
      <c r="T1220" s="26">
        <v>0.88250517598343703</v>
      </c>
      <c r="U1220" s="26">
        <v>0.88824152542372903</v>
      </c>
      <c r="V1220" s="26">
        <v>0.95576619273301699</v>
      </c>
      <c r="W1220" s="26">
        <v>0.901492851135408</v>
      </c>
      <c r="X1220" s="28">
        <v>0.92</v>
      </c>
      <c r="Y1220" s="28">
        <v>0.92834890965732098</v>
      </c>
      <c r="Z1220" s="28">
        <v>0.95388349514563098</v>
      </c>
      <c r="AA1220" s="28">
        <v>0.92901878914405001</v>
      </c>
      <c r="AB1220" s="28">
        <v>0.93579175704989204</v>
      </c>
      <c r="AC1220" s="28">
        <v>0.92</v>
      </c>
      <c r="AD1220" s="26">
        <v>0.92300337816304401</v>
      </c>
      <c r="AE1220" s="26">
        <v>0.94943635766663004</v>
      </c>
      <c r="AF1220" s="26">
        <v>0.98288735333673405</v>
      </c>
      <c r="AG1220" s="26">
        <v>0.85327835425257104</v>
      </c>
      <c r="AH1220" s="28">
        <v>0.92</v>
      </c>
      <c r="AI1220" s="26">
        <v>0.95385980479148202</v>
      </c>
      <c r="AJ1220" s="26">
        <v>0.972173913043478</v>
      </c>
      <c r="AK1220" s="26">
        <v>0.97020057306590302</v>
      </c>
      <c r="AL1220" s="26">
        <v>0.96607157965987001</v>
      </c>
      <c r="AM1220" s="25">
        <v>0.99</v>
      </c>
      <c r="AN1220" s="30">
        <v>1</v>
      </c>
      <c r="AO1220" s="30">
        <v>1</v>
      </c>
      <c r="AP1220" s="30">
        <v>1</v>
      </c>
      <c r="AQ1220" s="30">
        <v>1</v>
      </c>
      <c r="AR1220" s="50">
        <v>7.2186152540827803E-2</v>
      </c>
      <c r="AS1220" s="34">
        <v>0</v>
      </c>
      <c r="AT1220" s="34">
        <v>0.125</v>
      </c>
      <c r="AU1220" s="34">
        <v>0.28571428571428598</v>
      </c>
      <c r="AV1220" s="34">
        <v>6.6666666666666693E-2</v>
      </c>
      <c r="AW1220" s="10"/>
      <c r="AX1220" s="8"/>
    </row>
    <row r="1221" spans="1:50">
      <c r="A1221" s="7"/>
      <c r="B1221" s="10"/>
      <c r="C1221" s="45" t="s">
        <v>1100</v>
      </c>
      <c r="D1221" s="23" t="s">
        <v>25</v>
      </c>
      <c r="E1221" s="83" t="s">
        <v>1265</v>
      </c>
      <c r="F1221" s="83" t="s">
        <v>1265</v>
      </c>
      <c r="G1221" s="83" t="s">
        <v>1265</v>
      </c>
      <c r="H1221" s="83" t="s">
        <v>1265</v>
      </c>
      <c r="I1221" s="25">
        <v>0.9</v>
      </c>
      <c r="J1221" s="26">
        <v>0</v>
      </c>
      <c r="K1221" s="26">
        <v>0</v>
      </c>
      <c r="L1221" s="27">
        <v>0</v>
      </c>
      <c r="M1221" s="26">
        <v>0</v>
      </c>
      <c r="N1221" s="28">
        <v>0.9</v>
      </c>
      <c r="O1221" s="26">
        <v>0</v>
      </c>
      <c r="P1221" s="26">
        <v>0</v>
      </c>
      <c r="Q1221" s="26">
        <v>0</v>
      </c>
      <c r="R1221" s="26">
        <v>0</v>
      </c>
      <c r="S1221" s="28">
        <v>0.9</v>
      </c>
      <c r="T1221" s="26">
        <v>0</v>
      </c>
      <c r="U1221" s="26">
        <v>0</v>
      </c>
      <c r="V1221" s="26">
        <v>0</v>
      </c>
      <c r="W1221" s="26">
        <v>0.66666666666666696</v>
      </c>
      <c r="X1221" s="28">
        <v>0.92</v>
      </c>
      <c r="Y1221" s="28">
        <v>0</v>
      </c>
      <c r="Z1221" s="28">
        <v>0</v>
      </c>
      <c r="AA1221" s="28">
        <v>0</v>
      </c>
      <c r="AB1221" s="28">
        <v>0</v>
      </c>
      <c r="AC1221" s="28">
        <v>0.92</v>
      </c>
      <c r="AD1221" s="26">
        <v>0.99868399407797304</v>
      </c>
      <c r="AE1221" s="26">
        <v>0.72080709788208397</v>
      </c>
      <c r="AF1221" s="26">
        <v>0.99057873485868098</v>
      </c>
      <c r="AG1221" s="26">
        <v>0.86312766168168797</v>
      </c>
      <c r="AH1221" s="28">
        <v>0.92</v>
      </c>
      <c r="AI1221" s="26">
        <v>0</v>
      </c>
      <c r="AJ1221" s="26">
        <v>0</v>
      </c>
      <c r="AK1221" s="26">
        <v>0</v>
      </c>
      <c r="AL1221" s="26">
        <v>0.66666666666666696</v>
      </c>
      <c r="AM1221" s="25">
        <v>0.99</v>
      </c>
      <c r="AN1221" s="30">
        <v>1</v>
      </c>
      <c r="AO1221" s="30">
        <v>1</v>
      </c>
      <c r="AP1221" s="30">
        <v>1</v>
      </c>
      <c r="AQ1221" s="30">
        <v>1</v>
      </c>
      <c r="AR1221" s="50">
        <v>7.2186152540827803E-2</v>
      </c>
      <c r="AS1221" s="34">
        <v>0</v>
      </c>
      <c r="AT1221" s="34">
        <v>0</v>
      </c>
      <c r="AU1221" s="34">
        <v>0</v>
      </c>
      <c r="AV1221" s="34">
        <v>0</v>
      </c>
      <c r="AW1221" s="10"/>
      <c r="AX1221" s="8"/>
    </row>
    <row r="1222" spans="1:50">
      <c r="A1222" s="7"/>
      <c r="B1222" s="10"/>
      <c r="C1222" s="45" t="s">
        <v>1100</v>
      </c>
      <c r="D1222" s="23" t="s">
        <v>25</v>
      </c>
      <c r="E1222" s="83" t="s">
        <v>1266</v>
      </c>
      <c r="F1222" s="83" t="s">
        <v>1266</v>
      </c>
      <c r="G1222" s="83" t="s">
        <v>1266</v>
      </c>
      <c r="H1222" s="83" t="s">
        <v>1266</v>
      </c>
      <c r="I1222" s="25">
        <v>0.9</v>
      </c>
      <c r="J1222" s="26">
        <v>0.95833333333333304</v>
      </c>
      <c r="K1222" s="26">
        <v>1</v>
      </c>
      <c r="L1222" s="27">
        <v>0.95</v>
      </c>
      <c r="M1222" s="26">
        <v>0.97112860892388497</v>
      </c>
      <c r="N1222" s="28">
        <v>0.9</v>
      </c>
      <c r="O1222" s="26">
        <v>0.91304856641310705</v>
      </c>
      <c r="P1222" s="26">
        <v>0.90082379373060895</v>
      </c>
      <c r="Q1222" s="26">
        <v>0.97454426014123796</v>
      </c>
      <c r="R1222" s="26">
        <v>0.94052391799544399</v>
      </c>
      <c r="S1222" s="28">
        <v>0.9</v>
      </c>
      <c r="T1222" s="26">
        <v>0.90965476887068497</v>
      </c>
      <c r="U1222" s="26">
        <v>0.88659462929282096</v>
      </c>
      <c r="V1222" s="26">
        <v>0.94629660042699903</v>
      </c>
      <c r="W1222" s="26">
        <v>0.89920273348519397</v>
      </c>
      <c r="X1222" s="28">
        <v>0.92</v>
      </c>
      <c r="Y1222" s="28">
        <v>0.92676767676767702</v>
      </c>
      <c r="Z1222" s="28">
        <v>0.93393847705496702</v>
      </c>
      <c r="AA1222" s="28">
        <v>0.94346978557504901</v>
      </c>
      <c r="AB1222" s="28">
        <v>0.92965596771093595</v>
      </c>
      <c r="AC1222" s="28">
        <v>0.92</v>
      </c>
      <c r="AD1222" s="26">
        <v>0.98417356261126399</v>
      </c>
      <c r="AE1222" s="26">
        <v>0.91591424631944096</v>
      </c>
      <c r="AF1222" s="26">
        <v>0.94595049955351895</v>
      </c>
      <c r="AG1222" s="26">
        <v>0.93232121245730704</v>
      </c>
      <c r="AH1222" s="28">
        <v>0.92</v>
      </c>
      <c r="AI1222" s="26">
        <v>0.95557310692072295</v>
      </c>
      <c r="AJ1222" s="26">
        <v>0.95992939099735197</v>
      </c>
      <c r="AK1222" s="26">
        <v>0.97064242722024296</v>
      </c>
      <c r="AL1222" s="26">
        <v>0.95907207953604001</v>
      </c>
      <c r="AM1222" s="25">
        <v>0.99</v>
      </c>
      <c r="AN1222" s="30">
        <v>1</v>
      </c>
      <c r="AO1222" s="30">
        <v>1</v>
      </c>
      <c r="AP1222" s="30">
        <v>1</v>
      </c>
      <c r="AQ1222" s="30">
        <v>1</v>
      </c>
      <c r="AR1222" s="50">
        <v>7.2186152540827803E-2</v>
      </c>
      <c r="AS1222" s="34">
        <v>5.5555555555555601E-2</v>
      </c>
      <c r="AT1222" s="34">
        <v>0</v>
      </c>
      <c r="AU1222" s="34">
        <v>3.8461538461538498E-2</v>
      </c>
      <c r="AV1222" s="34">
        <v>4.95049504950495E-2</v>
      </c>
      <c r="AW1222" s="10"/>
      <c r="AX1222" s="8"/>
    </row>
    <row r="1223" spans="1:50">
      <c r="A1223" s="7"/>
      <c r="B1223" s="10"/>
      <c r="C1223" s="45" t="s">
        <v>1100</v>
      </c>
      <c r="D1223" s="23" t="s">
        <v>25</v>
      </c>
      <c r="E1223" s="83" t="s">
        <v>1267</v>
      </c>
      <c r="F1223" s="83" t="s">
        <v>1267</v>
      </c>
      <c r="G1223" s="83" t="s">
        <v>1267</v>
      </c>
      <c r="H1223" s="83" t="s">
        <v>1267</v>
      </c>
      <c r="I1223" s="25">
        <v>0.9</v>
      </c>
      <c r="J1223" s="26">
        <v>1</v>
      </c>
      <c r="K1223" s="26">
        <v>0.96153846153846201</v>
      </c>
      <c r="L1223" s="27">
        <v>0.89610389610389596</v>
      </c>
      <c r="M1223" s="26">
        <v>0.88009049773755699</v>
      </c>
      <c r="N1223" s="28">
        <v>0.9</v>
      </c>
      <c r="O1223" s="26">
        <v>0.95704814067454602</v>
      </c>
      <c r="P1223" s="26">
        <v>0.95515637115533703</v>
      </c>
      <c r="Q1223" s="26">
        <v>0.95484790874524705</v>
      </c>
      <c r="R1223" s="26">
        <v>0.95305228956136201</v>
      </c>
      <c r="S1223" s="28">
        <v>0.9</v>
      </c>
      <c r="T1223" s="26">
        <v>0.88555779763620601</v>
      </c>
      <c r="U1223" s="26">
        <v>0.86391832514861699</v>
      </c>
      <c r="V1223" s="26">
        <v>0.90066539923954403</v>
      </c>
      <c r="W1223" s="26">
        <v>0.87884461822287097</v>
      </c>
      <c r="X1223" s="28">
        <v>0.92</v>
      </c>
      <c r="Y1223" s="28">
        <v>0.92034757422157898</v>
      </c>
      <c r="Z1223" s="28">
        <v>0.93164847788627203</v>
      </c>
      <c r="AA1223" s="28">
        <v>0.93812375249501001</v>
      </c>
      <c r="AB1223" s="28">
        <v>0.929824561403509</v>
      </c>
      <c r="AC1223" s="28">
        <v>0.92</v>
      </c>
      <c r="AD1223" s="26">
        <v>0.992776886035313</v>
      </c>
      <c r="AE1223" s="26">
        <v>0.996555287633483</v>
      </c>
      <c r="AF1223" s="26">
        <v>0.99868507560815301</v>
      </c>
      <c r="AG1223" s="26">
        <v>0.99577737376107001</v>
      </c>
      <c r="AH1223" s="28">
        <v>0.92</v>
      </c>
      <c r="AI1223" s="26">
        <v>0.95239812477461205</v>
      </c>
      <c r="AJ1223" s="26">
        <v>0.95801244857052403</v>
      </c>
      <c r="AK1223" s="26">
        <v>0.96088845968131298</v>
      </c>
      <c r="AL1223" s="26">
        <v>0.95920988529164297</v>
      </c>
      <c r="AM1223" s="25">
        <v>0.99</v>
      </c>
      <c r="AN1223" s="30">
        <v>1</v>
      </c>
      <c r="AO1223" s="30">
        <v>1</v>
      </c>
      <c r="AP1223" s="30">
        <v>1</v>
      </c>
      <c r="AQ1223" s="30">
        <v>1</v>
      </c>
      <c r="AR1223" s="50">
        <v>7.2186152540827803E-2</v>
      </c>
      <c r="AS1223" s="34">
        <v>7.8947368421052599E-2</v>
      </c>
      <c r="AT1223" s="34">
        <v>0</v>
      </c>
      <c r="AU1223" s="34">
        <v>5.2631578947368397E-2</v>
      </c>
      <c r="AV1223" s="34">
        <v>2.7397260273972601E-2</v>
      </c>
      <c r="AW1223" s="10"/>
      <c r="AX1223" s="8"/>
    </row>
    <row r="1224" spans="1:50">
      <c r="A1224" s="7"/>
      <c r="B1224" s="10"/>
      <c r="C1224" s="45" t="s">
        <v>1100</v>
      </c>
      <c r="D1224" s="23" t="s">
        <v>25</v>
      </c>
      <c r="E1224" s="83" t="s">
        <v>1268</v>
      </c>
      <c r="F1224" s="83" t="s">
        <v>1268</v>
      </c>
      <c r="G1224" s="83" t="s">
        <v>1268</v>
      </c>
      <c r="H1224" s="83" t="s">
        <v>1268</v>
      </c>
      <c r="I1224" s="25">
        <v>0.9</v>
      </c>
      <c r="J1224" s="26">
        <v>0</v>
      </c>
      <c r="K1224" s="26">
        <v>0</v>
      </c>
      <c r="L1224" s="27">
        <v>0</v>
      </c>
      <c r="M1224" s="26">
        <v>0</v>
      </c>
      <c r="N1224" s="28">
        <v>0.9</v>
      </c>
      <c r="O1224" s="26">
        <v>0</v>
      </c>
      <c r="P1224" s="26">
        <v>0</v>
      </c>
      <c r="Q1224" s="26">
        <v>0</v>
      </c>
      <c r="R1224" s="26">
        <v>1</v>
      </c>
      <c r="S1224" s="28">
        <v>0.9</v>
      </c>
      <c r="T1224" s="26">
        <v>0</v>
      </c>
      <c r="U1224" s="26">
        <v>0</v>
      </c>
      <c r="V1224" s="26">
        <v>0</v>
      </c>
      <c r="W1224" s="26">
        <v>1</v>
      </c>
      <c r="X1224" s="28">
        <v>0.92</v>
      </c>
      <c r="Y1224" s="28">
        <v>1</v>
      </c>
      <c r="Z1224" s="28">
        <v>0</v>
      </c>
      <c r="AA1224" s="28">
        <v>0</v>
      </c>
      <c r="AB1224" s="28">
        <v>1</v>
      </c>
      <c r="AC1224" s="28">
        <v>0.92</v>
      </c>
      <c r="AD1224" s="26">
        <v>0.99908966772872099</v>
      </c>
      <c r="AE1224" s="26">
        <v>0.99637322782723403</v>
      </c>
      <c r="AF1224" s="26">
        <v>0.99830412662521195</v>
      </c>
      <c r="AG1224" s="26">
        <v>0.99868680236375595</v>
      </c>
      <c r="AH1224" s="28">
        <v>0.92</v>
      </c>
      <c r="AI1224" s="26">
        <v>1</v>
      </c>
      <c r="AJ1224" s="26">
        <v>1</v>
      </c>
      <c r="AK1224" s="26">
        <v>0</v>
      </c>
      <c r="AL1224" s="26">
        <v>1</v>
      </c>
      <c r="AM1224" s="25">
        <v>0.99</v>
      </c>
      <c r="AN1224" s="30">
        <v>1</v>
      </c>
      <c r="AO1224" s="30">
        <v>1</v>
      </c>
      <c r="AP1224" s="30">
        <v>1</v>
      </c>
      <c r="AQ1224" s="30">
        <v>1</v>
      </c>
      <c r="AR1224" s="50">
        <v>7.2186152540827803E-2</v>
      </c>
      <c r="AS1224" s="34">
        <v>0</v>
      </c>
      <c r="AT1224" s="34">
        <v>0</v>
      </c>
      <c r="AU1224" s="34">
        <v>0</v>
      </c>
      <c r="AV1224" s="34">
        <v>0</v>
      </c>
      <c r="AW1224" s="10"/>
      <c r="AX1224" s="8"/>
    </row>
    <row r="1225" spans="1:50">
      <c r="A1225" s="7"/>
      <c r="B1225" s="10"/>
      <c r="C1225" s="45" t="s">
        <v>1100</v>
      </c>
      <c r="D1225" s="23" t="s">
        <v>25</v>
      </c>
      <c r="E1225" s="83" t="s">
        <v>1269</v>
      </c>
      <c r="F1225" s="83" t="s">
        <v>1269</v>
      </c>
      <c r="G1225" s="83" t="s">
        <v>1269</v>
      </c>
      <c r="H1225" s="83" t="s">
        <v>1269</v>
      </c>
      <c r="I1225" s="25">
        <v>0.9</v>
      </c>
      <c r="J1225" s="26">
        <v>0.90566037735849103</v>
      </c>
      <c r="K1225" s="26">
        <v>0.91525423728813604</v>
      </c>
      <c r="L1225" s="27">
        <v>0.92</v>
      </c>
      <c r="M1225" s="26">
        <v>0.92331288343558304</v>
      </c>
      <c r="N1225" s="28">
        <v>0.9</v>
      </c>
      <c r="O1225" s="26">
        <v>0.89931470743278896</v>
      </c>
      <c r="P1225" s="26">
        <v>0.93909657320872297</v>
      </c>
      <c r="Q1225" s="26">
        <v>0.979084228377614</v>
      </c>
      <c r="R1225" s="26">
        <v>0.95346029117505005</v>
      </c>
      <c r="S1225" s="28">
        <v>0.9</v>
      </c>
      <c r="T1225" s="26">
        <v>0.89843612721841504</v>
      </c>
      <c r="U1225" s="26">
        <v>0.88987538940809996</v>
      </c>
      <c r="V1225" s="26">
        <v>0.94064443188241897</v>
      </c>
      <c r="W1225" s="26">
        <v>0.90578210170427098</v>
      </c>
      <c r="X1225" s="28">
        <v>0.92</v>
      </c>
      <c r="Y1225" s="28">
        <v>0.93047619047619001</v>
      </c>
      <c r="Z1225" s="28">
        <v>0.95278688524590205</v>
      </c>
      <c r="AA1225" s="28">
        <v>0.95418181818181802</v>
      </c>
      <c r="AB1225" s="28">
        <v>0.94407158836688998</v>
      </c>
      <c r="AC1225" s="28">
        <v>0.92</v>
      </c>
      <c r="AD1225" s="26">
        <v>0.99989580077107398</v>
      </c>
      <c r="AE1225" s="26">
        <v>0.999457994579946</v>
      </c>
      <c r="AF1225" s="26">
        <v>0.99669834111773203</v>
      </c>
      <c r="AG1225" s="26">
        <v>0.89823253940279002</v>
      </c>
      <c r="AH1225" s="28">
        <v>0.92</v>
      </c>
      <c r="AI1225" s="26">
        <v>0.96559394928073605</v>
      </c>
      <c r="AJ1225" s="26">
        <v>0.97293554884189304</v>
      </c>
      <c r="AK1225" s="26">
        <v>0.97333604722165701</v>
      </c>
      <c r="AL1225" s="26">
        <v>0.96834379202151499</v>
      </c>
      <c r="AM1225" s="25">
        <v>0.99</v>
      </c>
      <c r="AN1225" s="30">
        <v>1</v>
      </c>
      <c r="AO1225" s="30">
        <v>1</v>
      </c>
      <c r="AP1225" s="30">
        <v>1</v>
      </c>
      <c r="AQ1225" s="30">
        <v>1</v>
      </c>
      <c r="AR1225" s="50">
        <v>7.2186152540827803E-2</v>
      </c>
      <c r="AS1225" s="34">
        <v>2.9411764705882401E-2</v>
      </c>
      <c r="AT1225" s="34">
        <v>-2.27272727272727E-2</v>
      </c>
      <c r="AU1225" s="34">
        <v>0</v>
      </c>
      <c r="AV1225" s="34">
        <v>9.0909090909090905E-3</v>
      </c>
      <c r="AW1225" s="10"/>
      <c r="AX1225" s="8"/>
    </row>
    <row r="1226" spans="1:50">
      <c r="A1226" s="7"/>
      <c r="B1226" s="10"/>
      <c r="C1226" s="45" t="s">
        <v>1100</v>
      </c>
      <c r="D1226" s="23" t="s">
        <v>25</v>
      </c>
      <c r="E1226" s="83" t="s">
        <v>1270</v>
      </c>
      <c r="F1226" s="83" t="s">
        <v>1270</v>
      </c>
      <c r="G1226" s="83" t="s">
        <v>1270</v>
      </c>
      <c r="H1226" s="83" t="s">
        <v>1270</v>
      </c>
      <c r="I1226" s="25">
        <v>0.9</v>
      </c>
      <c r="J1226" s="26">
        <v>0</v>
      </c>
      <c r="K1226" s="26">
        <v>0</v>
      </c>
      <c r="L1226" s="27">
        <v>0</v>
      </c>
      <c r="M1226" s="26">
        <v>0</v>
      </c>
      <c r="N1226" s="28">
        <v>0.9</v>
      </c>
      <c r="O1226" s="26">
        <v>0</v>
      </c>
      <c r="P1226" s="26">
        <v>0</v>
      </c>
      <c r="Q1226" s="26">
        <v>0</v>
      </c>
      <c r="R1226" s="26">
        <v>0</v>
      </c>
      <c r="S1226" s="28">
        <v>0.9</v>
      </c>
      <c r="T1226" s="26">
        <v>1</v>
      </c>
      <c r="U1226" s="26">
        <v>0</v>
      </c>
      <c r="V1226" s="26">
        <v>0</v>
      </c>
      <c r="W1226" s="26">
        <v>1</v>
      </c>
      <c r="X1226" s="28">
        <v>0.92</v>
      </c>
      <c r="Y1226" s="28">
        <v>0</v>
      </c>
      <c r="Z1226" s="28">
        <v>0</v>
      </c>
      <c r="AA1226" s="28">
        <v>0</v>
      </c>
      <c r="AB1226" s="28">
        <v>0.5</v>
      </c>
      <c r="AC1226" s="28">
        <v>0.92</v>
      </c>
      <c r="AD1226" s="26">
        <v>0.99984752611115302</v>
      </c>
      <c r="AE1226" s="26">
        <v>0.99759945130315497</v>
      </c>
      <c r="AF1226" s="26">
        <v>0.99314116229492999</v>
      </c>
      <c r="AG1226" s="26">
        <v>0.98902164111812396</v>
      </c>
      <c r="AH1226" s="28">
        <v>0.92</v>
      </c>
      <c r="AI1226" s="26">
        <v>0.75</v>
      </c>
      <c r="AJ1226" s="26">
        <v>0</v>
      </c>
      <c r="AK1226" s="26">
        <v>0</v>
      </c>
      <c r="AL1226" s="26">
        <v>0.875</v>
      </c>
      <c r="AM1226" s="25">
        <v>0.99</v>
      </c>
      <c r="AN1226" s="30">
        <v>1</v>
      </c>
      <c r="AO1226" s="30">
        <v>1</v>
      </c>
      <c r="AP1226" s="30">
        <v>1</v>
      </c>
      <c r="AQ1226" s="30">
        <v>1</v>
      </c>
      <c r="AR1226" s="50">
        <v>7.2186152540827803E-2</v>
      </c>
      <c r="AS1226" s="34">
        <v>0</v>
      </c>
      <c r="AT1226" s="34">
        <v>0</v>
      </c>
      <c r="AU1226" s="34">
        <v>0</v>
      </c>
      <c r="AV1226" s="34">
        <v>0</v>
      </c>
      <c r="AW1226" s="10"/>
      <c r="AX1226" s="8"/>
    </row>
    <row r="1227" spans="1:50">
      <c r="A1227" s="7"/>
      <c r="B1227" s="10"/>
      <c r="C1227" s="45" t="s">
        <v>1100</v>
      </c>
      <c r="D1227" s="23" t="s">
        <v>25</v>
      </c>
      <c r="E1227" s="83" t="s">
        <v>1271</v>
      </c>
      <c r="F1227" s="83" t="s">
        <v>1271</v>
      </c>
      <c r="G1227" s="83" t="s">
        <v>1271</v>
      </c>
      <c r="H1227" s="83" t="s">
        <v>1271</v>
      </c>
      <c r="I1227" s="25">
        <v>0.9</v>
      </c>
      <c r="J1227" s="26">
        <v>0</v>
      </c>
      <c r="K1227" s="26">
        <v>0</v>
      </c>
      <c r="L1227" s="27">
        <v>0</v>
      </c>
      <c r="M1227" s="26">
        <v>0</v>
      </c>
      <c r="N1227" s="28">
        <v>0.9</v>
      </c>
      <c r="O1227" s="26">
        <v>0</v>
      </c>
      <c r="P1227" s="26">
        <v>0</v>
      </c>
      <c r="Q1227" s="26">
        <v>0</v>
      </c>
      <c r="R1227" s="26">
        <v>0</v>
      </c>
      <c r="S1227" s="28">
        <v>0.9</v>
      </c>
      <c r="T1227" s="26">
        <v>0</v>
      </c>
      <c r="U1227" s="26">
        <v>1</v>
      </c>
      <c r="V1227" s="26">
        <v>1</v>
      </c>
      <c r="W1227" s="26">
        <v>1</v>
      </c>
      <c r="X1227" s="28">
        <v>0.92</v>
      </c>
      <c r="Y1227" s="28">
        <v>0</v>
      </c>
      <c r="Z1227" s="28">
        <v>0</v>
      </c>
      <c r="AA1227" s="28">
        <v>0</v>
      </c>
      <c r="AB1227" s="28">
        <v>1</v>
      </c>
      <c r="AC1227" s="28">
        <v>0.92</v>
      </c>
      <c r="AD1227" s="26">
        <v>0.994684750733138</v>
      </c>
      <c r="AE1227" s="26">
        <v>0.99856836077308497</v>
      </c>
      <c r="AF1227" s="26">
        <v>0.99638802889576905</v>
      </c>
      <c r="AG1227" s="26">
        <v>0.995721059326934</v>
      </c>
      <c r="AH1227" s="28">
        <v>0.92</v>
      </c>
      <c r="AI1227" s="26">
        <v>0</v>
      </c>
      <c r="AJ1227" s="26">
        <v>1</v>
      </c>
      <c r="AK1227" s="26">
        <v>1</v>
      </c>
      <c r="AL1227" s="26">
        <v>1</v>
      </c>
      <c r="AM1227" s="25">
        <v>0.99</v>
      </c>
      <c r="AN1227" s="30">
        <v>1</v>
      </c>
      <c r="AO1227" s="30">
        <v>1</v>
      </c>
      <c r="AP1227" s="30">
        <v>1</v>
      </c>
      <c r="AQ1227" s="30">
        <v>1</v>
      </c>
      <c r="AR1227" s="50">
        <v>7.2186152540827803E-2</v>
      </c>
      <c r="AS1227" s="34">
        <v>0</v>
      </c>
      <c r="AT1227" s="34">
        <v>0</v>
      </c>
      <c r="AU1227" s="34">
        <v>0</v>
      </c>
      <c r="AV1227" s="34">
        <v>0</v>
      </c>
      <c r="AW1227" s="10"/>
      <c r="AX1227" s="8"/>
    </row>
    <row r="1228" spans="1:50">
      <c r="A1228" s="7"/>
      <c r="B1228" s="10"/>
      <c r="C1228" s="45" t="s">
        <v>1100</v>
      </c>
      <c r="D1228" s="23" t="s">
        <v>25</v>
      </c>
      <c r="E1228" s="83" t="s">
        <v>1272</v>
      </c>
      <c r="F1228" s="83" t="s">
        <v>1272</v>
      </c>
      <c r="G1228" s="83" t="s">
        <v>1272</v>
      </c>
      <c r="H1228" s="83" t="s">
        <v>1272</v>
      </c>
      <c r="I1228" s="25">
        <v>0.9</v>
      </c>
      <c r="J1228" s="26">
        <v>0.92307692307692302</v>
      </c>
      <c r="K1228" s="26">
        <v>0.875</v>
      </c>
      <c r="L1228" s="27">
        <v>1</v>
      </c>
      <c r="M1228" s="26">
        <v>0.96296296296296302</v>
      </c>
      <c r="N1228" s="28">
        <v>0.9</v>
      </c>
      <c r="O1228" s="26">
        <v>0.82083487255264098</v>
      </c>
      <c r="P1228" s="26">
        <v>0.63967099019297702</v>
      </c>
      <c r="Q1228" s="26">
        <v>0.99118387909319905</v>
      </c>
      <c r="R1228" s="26">
        <v>0.77768277041470701</v>
      </c>
      <c r="S1228" s="28">
        <v>0.9</v>
      </c>
      <c r="T1228" s="26">
        <v>0.79128186183967497</v>
      </c>
      <c r="U1228" s="26">
        <v>0.73457766529579205</v>
      </c>
      <c r="V1228" s="26">
        <v>0.88035264483627196</v>
      </c>
      <c r="W1228" s="26">
        <v>0.78694598831409401</v>
      </c>
      <c r="X1228" s="28">
        <v>0.92</v>
      </c>
      <c r="Y1228" s="28">
        <v>0.85084033613445398</v>
      </c>
      <c r="Z1228" s="28">
        <v>0.82995319812792501</v>
      </c>
      <c r="AA1228" s="28">
        <v>0.87317073170731696</v>
      </c>
      <c r="AB1228" s="28">
        <v>0.81685575364667795</v>
      </c>
      <c r="AC1228" s="28">
        <v>0.92</v>
      </c>
      <c r="AD1228" s="26">
        <v>0.99886941775014104</v>
      </c>
      <c r="AE1228" s="26">
        <v>0.99898764932172501</v>
      </c>
      <c r="AF1228" s="26">
        <v>0.99952614120991901</v>
      </c>
      <c r="AG1228" s="26">
        <v>0.99933640063705498</v>
      </c>
      <c r="AH1228" s="28">
        <v>0.92</v>
      </c>
      <c r="AI1228" s="26">
        <v>0.94753377316996501</v>
      </c>
      <c r="AJ1228" s="26">
        <v>0.94003156233561302</v>
      </c>
      <c r="AK1228" s="26">
        <v>0.92873354516568296</v>
      </c>
      <c r="AL1228" s="26">
        <v>0.91967988784391597</v>
      </c>
      <c r="AM1228" s="25">
        <v>0.99</v>
      </c>
      <c r="AN1228" s="30">
        <v>1</v>
      </c>
      <c r="AO1228" s="30">
        <v>1</v>
      </c>
      <c r="AP1228" s="30">
        <v>1</v>
      </c>
      <c r="AQ1228" s="30">
        <v>1</v>
      </c>
      <c r="AR1228" s="50">
        <v>7.2186152540827803E-2</v>
      </c>
      <c r="AS1228" s="34">
        <v>-3.5714285714285698E-2</v>
      </c>
      <c r="AT1228" s="34">
        <v>-7.1428571428571397E-2</v>
      </c>
      <c r="AU1228" s="34">
        <v>0</v>
      </c>
      <c r="AV1228" s="34">
        <v>-5.3097345132743397E-2</v>
      </c>
      <c r="AW1228" s="10"/>
      <c r="AX1228" s="8"/>
    </row>
    <row r="1229" spans="1:50">
      <c r="A1229" s="7"/>
      <c r="B1229" s="10"/>
      <c r="C1229" s="45" t="s">
        <v>1100</v>
      </c>
      <c r="D1229" s="23" t="s">
        <v>25</v>
      </c>
      <c r="E1229" s="83" t="s">
        <v>1273</v>
      </c>
      <c r="F1229" s="83" t="s">
        <v>1273</v>
      </c>
      <c r="G1229" s="83" t="s">
        <v>1273</v>
      </c>
      <c r="H1229" s="83" t="s">
        <v>1273</v>
      </c>
      <c r="I1229" s="25">
        <v>0.9</v>
      </c>
      <c r="J1229" s="26">
        <v>1</v>
      </c>
      <c r="K1229" s="26">
        <v>0.967741935483871</v>
      </c>
      <c r="L1229" s="27">
        <v>0.96428571428571397</v>
      </c>
      <c r="M1229" s="26">
        <v>0.97802197802197799</v>
      </c>
      <c r="N1229" s="28">
        <v>0.9</v>
      </c>
      <c r="O1229" s="26">
        <v>0.94274146905725897</v>
      </c>
      <c r="P1229" s="26">
        <v>0.96954998652654301</v>
      </c>
      <c r="Q1229" s="26">
        <v>0.95614828209764902</v>
      </c>
      <c r="R1229" s="26">
        <v>0.95708179635810098</v>
      </c>
      <c r="S1229" s="28">
        <v>0.9</v>
      </c>
      <c r="T1229" s="26">
        <v>0.93117408906882604</v>
      </c>
      <c r="U1229" s="26">
        <v>0.93209377526273196</v>
      </c>
      <c r="V1229" s="26">
        <v>0.94891500904159098</v>
      </c>
      <c r="W1229" s="26">
        <v>0.92962117219977702</v>
      </c>
      <c r="X1229" s="28">
        <v>0.92</v>
      </c>
      <c r="Y1229" s="28">
        <v>0.94179104477611897</v>
      </c>
      <c r="Z1229" s="28">
        <v>0.97131681877444598</v>
      </c>
      <c r="AA1229" s="28">
        <v>0.97228637413394903</v>
      </c>
      <c r="AB1229" s="28">
        <v>0.965052421367948</v>
      </c>
      <c r="AC1229" s="28">
        <v>0.92</v>
      </c>
      <c r="AD1229" s="26">
        <v>0.99550192774525204</v>
      </c>
      <c r="AE1229" s="26">
        <v>0.99958374958374996</v>
      </c>
      <c r="AF1229" s="26">
        <v>0.99784166450833101</v>
      </c>
      <c r="AG1229" s="26">
        <v>0.99698572421057396</v>
      </c>
      <c r="AH1229" s="28">
        <v>0.92</v>
      </c>
      <c r="AI1229" s="26">
        <v>0.97723419714216497</v>
      </c>
      <c r="AJ1229" s="26">
        <v>0.98282783229259596</v>
      </c>
      <c r="AK1229" s="26">
        <v>0.98605254622121297</v>
      </c>
      <c r="AL1229" s="26">
        <v>0.98133143804785605</v>
      </c>
      <c r="AM1229" s="25">
        <v>0.99</v>
      </c>
      <c r="AN1229" s="30">
        <v>1</v>
      </c>
      <c r="AO1229" s="30">
        <v>1</v>
      </c>
      <c r="AP1229" s="30">
        <v>1</v>
      </c>
      <c r="AQ1229" s="30">
        <v>1</v>
      </c>
      <c r="AR1229" s="50">
        <v>7.2186152540827803E-2</v>
      </c>
      <c r="AS1229" s="34">
        <v>0</v>
      </c>
      <c r="AT1229" s="34">
        <v>0</v>
      </c>
      <c r="AU1229" s="34">
        <v>-0.25</v>
      </c>
      <c r="AV1229" s="34">
        <v>-1.7094017094017099E-2</v>
      </c>
      <c r="AW1229" s="10"/>
      <c r="AX1229" s="8"/>
    </row>
    <row r="1230" spans="1:50">
      <c r="A1230" s="7"/>
      <c r="B1230" s="10"/>
      <c r="C1230" s="45" t="s">
        <v>1100</v>
      </c>
      <c r="D1230" s="23" t="s">
        <v>25</v>
      </c>
      <c r="E1230" s="83" t="s">
        <v>1274</v>
      </c>
      <c r="F1230" s="83" t="s">
        <v>1274</v>
      </c>
      <c r="G1230" s="83" t="s">
        <v>1274</v>
      </c>
      <c r="H1230" s="83" t="s">
        <v>1274</v>
      </c>
      <c r="I1230" s="25">
        <v>0.9</v>
      </c>
      <c r="J1230" s="26">
        <v>0.98571428571428599</v>
      </c>
      <c r="K1230" s="26">
        <v>0.98648648648648696</v>
      </c>
      <c r="L1230" s="27">
        <v>0.984375</v>
      </c>
      <c r="M1230" s="26">
        <v>0.98465473145780003</v>
      </c>
      <c r="N1230" s="28">
        <v>0.9</v>
      </c>
      <c r="O1230" s="26">
        <v>0.902769379610594</v>
      </c>
      <c r="P1230" s="26">
        <v>0.93391438658428905</v>
      </c>
      <c r="Q1230" s="26">
        <v>0.96480938416422302</v>
      </c>
      <c r="R1230" s="26">
        <v>0.91896092362344595</v>
      </c>
      <c r="S1230" s="28">
        <v>0.9</v>
      </c>
      <c r="T1230" s="26">
        <v>0.78993832386020102</v>
      </c>
      <c r="U1230" s="26">
        <v>0.79468225948808502</v>
      </c>
      <c r="V1230" s="26">
        <v>0.892961876832845</v>
      </c>
      <c r="W1230" s="26">
        <v>0.80296526544306301</v>
      </c>
      <c r="X1230" s="28">
        <v>0.92</v>
      </c>
      <c r="Y1230" s="28">
        <v>0.88173374613003097</v>
      </c>
      <c r="Z1230" s="28">
        <v>0.90429384376616695</v>
      </c>
      <c r="AA1230" s="28">
        <v>0.909933093154915</v>
      </c>
      <c r="AB1230" s="28">
        <v>0.87716654107008296</v>
      </c>
      <c r="AC1230" s="28">
        <v>0.92</v>
      </c>
      <c r="AD1230" s="26">
        <v>0.99569393839019504</v>
      </c>
      <c r="AE1230" s="26">
        <v>0.99473288186606501</v>
      </c>
      <c r="AF1230" s="26">
        <v>0.99147436626122498</v>
      </c>
      <c r="AG1230" s="26">
        <v>0.97730939895118996</v>
      </c>
      <c r="AH1230" s="28">
        <v>0.92</v>
      </c>
      <c r="AI1230" s="26">
        <v>0.94506828528072795</v>
      </c>
      <c r="AJ1230" s="26">
        <v>0.95206912232833096</v>
      </c>
      <c r="AK1230" s="26">
        <v>0.95013396844298903</v>
      </c>
      <c r="AL1230" s="26">
        <v>0.940895498424549</v>
      </c>
      <c r="AM1230" s="25">
        <v>0.99</v>
      </c>
      <c r="AN1230" s="30">
        <v>1</v>
      </c>
      <c r="AO1230" s="30">
        <v>1</v>
      </c>
      <c r="AP1230" s="30">
        <v>1</v>
      </c>
      <c r="AQ1230" s="30">
        <v>1</v>
      </c>
      <c r="AR1230" s="50">
        <v>7.2186152540827803E-2</v>
      </c>
      <c r="AS1230" s="34">
        <v>4.1095890410958902E-2</v>
      </c>
      <c r="AT1230" s="34">
        <v>1.4084507042253501E-2</v>
      </c>
      <c r="AU1230" s="34">
        <v>1.8181818181818198E-2</v>
      </c>
      <c r="AV1230" s="34">
        <v>2.7568922305764399E-2</v>
      </c>
      <c r="AW1230" s="10"/>
      <c r="AX1230" s="8"/>
    </row>
    <row r="1231" spans="1:50">
      <c r="A1231" s="7"/>
      <c r="B1231" s="10"/>
      <c r="C1231" s="45" t="s">
        <v>1100</v>
      </c>
      <c r="D1231" s="23" t="s">
        <v>25</v>
      </c>
      <c r="E1231" s="83" t="s">
        <v>1275</v>
      </c>
      <c r="F1231" s="83" t="s">
        <v>1275</v>
      </c>
      <c r="G1231" s="83" t="s">
        <v>1275</v>
      </c>
      <c r="H1231" s="83" t="s">
        <v>1275</v>
      </c>
      <c r="I1231" s="25">
        <v>0.9</v>
      </c>
      <c r="J1231" s="26">
        <v>0</v>
      </c>
      <c r="K1231" s="26">
        <v>0</v>
      </c>
      <c r="L1231" s="27">
        <v>0</v>
      </c>
      <c r="M1231" s="26">
        <v>0</v>
      </c>
      <c r="N1231" s="28">
        <v>0.9</v>
      </c>
      <c r="O1231" s="26">
        <v>0</v>
      </c>
      <c r="P1231" s="26">
        <v>0</v>
      </c>
      <c r="Q1231" s="26">
        <v>0</v>
      </c>
      <c r="R1231" s="26">
        <v>0</v>
      </c>
      <c r="S1231" s="28">
        <v>0.9</v>
      </c>
      <c r="T1231" s="26">
        <v>0</v>
      </c>
      <c r="U1231" s="26">
        <v>0</v>
      </c>
      <c r="V1231" s="26">
        <v>0</v>
      </c>
      <c r="W1231" s="26">
        <v>0</v>
      </c>
      <c r="X1231" s="28">
        <v>0.92</v>
      </c>
      <c r="Y1231" s="28">
        <v>0</v>
      </c>
      <c r="Z1231" s="28">
        <v>0</v>
      </c>
      <c r="AA1231" s="28">
        <v>0</v>
      </c>
      <c r="AB1231" s="28">
        <v>0</v>
      </c>
      <c r="AC1231" s="28">
        <v>0.92</v>
      </c>
      <c r="AD1231" s="26">
        <v>0.97653772986683596</v>
      </c>
      <c r="AE1231" s="26">
        <v>0.81640625</v>
      </c>
      <c r="AF1231" s="26">
        <v>0.431758144995597</v>
      </c>
      <c r="AG1231" s="26">
        <v>0.749087513793396</v>
      </c>
      <c r="AH1231" s="28">
        <v>0.92</v>
      </c>
      <c r="AI1231" s="26">
        <v>0</v>
      </c>
      <c r="AJ1231" s="26">
        <v>0</v>
      </c>
      <c r="AK1231" s="26">
        <v>0</v>
      </c>
      <c r="AL1231" s="26">
        <v>0</v>
      </c>
      <c r="AM1231" s="25">
        <v>0.99</v>
      </c>
      <c r="AN1231" s="30">
        <v>1</v>
      </c>
      <c r="AO1231" s="30">
        <v>1</v>
      </c>
      <c r="AP1231" s="30">
        <v>1</v>
      </c>
      <c r="AQ1231" s="30">
        <v>1</v>
      </c>
      <c r="AR1231" s="50">
        <v>7.2186152540827803E-2</v>
      </c>
      <c r="AS1231" s="34">
        <v>0</v>
      </c>
      <c r="AT1231" s="34">
        <v>0</v>
      </c>
      <c r="AU1231" s="34">
        <v>0</v>
      </c>
      <c r="AV1231" s="34">
        <v>0</v>
      </c>
      <c r="AW1231" s="10"/>
      <c r="AX1231" s="8"/>
    </row>
    <row r="1232" spans="1:50">
      <c r="A1232" s="7"/>
      <c r="B1232" s="10"/>
      <c r="C1232" s="45" t="s">
        <v>1100</v>
      </c>
      <c r="D1232" s="23" t="s">
        <v>25</v>
      </c>
      <c r="E1232" s="83" t="s">
        <v>1276</v>
      </c>
      <c r="F1232" s="83" t="s">
        <v>1276</v>
      </c>
      <c r="G1232" s="83" t="s">
        <v>1276</v>
      </c>
      <c r="H1232" s="83" t="s">
        <v>1276</v>
      </c>
      <c r="I1232" s="25">
        <v>0.9</v>
      </c>
      <c r="J1232" s="26">
        <v>1</v>
      </c>
      <c r="K1232" s="26">
        <v>0.97142857142857097</v>
      </c>
      <c r="L1232" s="27">
        <v>1</v>
      </c>
      <c r="M1232" s="26">
        <v>0.94054054054054104</v>
      </c>
      <c r="N1232" s="28">
        <v>0.9</v>
      </c>
      <c r="O1232" s="26">
        <v>0.96296296296296302</v>
      </c>
      <c r="P1232" s="26">
        <v>0.97704416265850502</v>
      </c>
      <c r="Q1232" s="26">
        <v>0.98447986577181201</v>
      </c>
      <c r="R1232" s="26">
        <v>0.97538986354775803</v>
      </c>
      <c r="S1232" s="28">
        <v>0.9</v>
      </c>
      <c r="T1232" s="26">
        <v>0.905833938513677</v>
      </c>
      <c r="U1232" s="26">
        <v>0.88237866200262305</v>
      </c>
      <c r="V1232" s="26">
        <v>0.93582214765100702</v>
      </c>
      <c r="W1232" s="26">
        <v>0.88377192982456099</v>
      </c>
      <c r="X1232" s="28">
        <v>0.92</v>
      </c>
      <c r="Y1232" s="28">
        <v>0.95</v>
      </c>
      <c r="Z1232" s="28">
        <v>0.93911248710010298</v>
      </c>
      <c r="AA1232" s="28">
        <v>0.97026431718061701</v>
      </c>
      <c r="AB1232" s="28">
        <v>0.93179805137289595</v>
      </c>
      <c r="AC1232" s="28">
        <v>0.92</v>
      </c>
      <c r="AD1232" s="26">
        <v>0.99171752397558899</v>
      </c>
      <c r="AE1232" s="26">
        <v>0.99355553317893497</v>
      </c>
      <c r="AF1232" s="26">
        <v>0.96371849045606905</v>
      </c>
      <c r="AG1232" s="26">
        <v>0.98507046183898395</v>
      </c>
      <c r="AH1232" s="28">
        <v>0.92</v>
      </c>
      <c r="AI1232" s="26">
        <v>0.97019250672738599</v>
      </c>
      <c r="AJ1232" s="26">
        <v>0.97186147186147198</v>
      </c>
      <c r="AK1232" s="26">
        <v>0.98056483449741905</v>
      </c>
      <c r="AL1232" s="26">
        <v>0.96461520028755099</v>
      </c>
      <c r="AM1232" s="25">
        <v>0.99</v>
      </c>
      <c r="AN1232" s="30">
        <v>1</v>
      </c>
      <c r="AO1232" s="30">
        <v>1</v>
      </c>
      <c r="AP1232" s="30">
        <v>1</v>
      </c>
      <c r="AQ1232" s="30">
        <v>1</v>
      </c>
      <c r="AR1232" s="50">
        <v>7.2186152540827803E-2</v>
      </c>
      <c r="AS1232" s="34">
        <v>3.8461538461538498E-2</v>
      </c>
      <c r="AT1232" s="34">
        <v>3.7037037037037E-2</v>
      </c>
      <c r="AU1232" s="34">
        <v>3.7037037037037E-2</v>
      </c>
      <c r="AV1232" s="34">
        <v>2.8409090909090901E-2</v>
      </c>
      <c r="AW1232" s="10"/>
      <c r="AX1232" s="8"/>
    </row>
    <row r="1233" spans="1:50">
      <c r="A1233" s="7"/>
      <c r="B1233" s="10"/>
      <c r="C1233" s="45" t="s">
        <v>1100</v>
      </c>
      <c r="D1233" s="23" t="s">
        <v>25</v>
      </c>
      <c r="E1233" s="83" t="s">
        <v>1277</v>
      </c>
      <c r="F1233" s="83" t="s">
        <v>1277</v>
      </c>
      <c r="G1233" s="83" t="s">
        <v>1277</v>
      </c>
      <c r="H1233" s="83" t="s">
        <v>1277</v>
      </c>
      <c r="I1233" s="25">
        <v>0.9</v>
      </c>
      <c r="J1233" s="26">
        <v>0</v>
      </c>
      <c r="K1233" s="26">
        <v>0</v>
      </c>
      <c r="L1233" s="27">
        <v>0</v>
      </c>
      <c r="M1233" s="26">
        <v>0</v>
      </c>
      <c r="N1233" s="28">
        <v>0.9</v>
      </c>
      <c r="O1233" s="26">
        <v>0</v>
      </c>
      <c r="P1233" s="26">
        <v>0</v>
      </c>
      <c r="Q1233" s="26">
        <v>0</v>
      </c>
      <c r="R1233" s="26">
        <v>0</v>
      </c>
      <c r="S1233" s="28">
        <v>0.9</v>
      </c>
      <c r="T1233" s="26">
        <v>1</v>
      </c>
      <c r="U1233" s="26">
        <v>1</v>
      </c>
      <c r="V1233" s="26">
        <v>1</v>
      </c>
      <c r="W1233" s="26">
        <v>0.875</v>
      </c>
      <c r="X1233" s="28">
        <v>0.92</v>
      </c>
      <c r="Y1233" s="28">
        <v>0</v>
      </c>
      <c r="Z1233" s="28">
        <v>0</v>
      </c>
      <c r="AA1233" s="28">
        <v>0</v>
      </c>
      <c r="AB1233" s="28">
        <v>0</v>
      </c>
      <c r="AC1233" s="28">
        <v>0.92</v>
      </c>
      <c r="AD1233" s="26">
        <v>0.999255675474507</v>
      </c>
      <c r="AE1233" s="26">
        <v>0.98992443324936996</v>
      </c>
      <c r="AF1233" s="26">
        <v>0.99809471965160601</v>
      </c>
      <c r="AG1233" s="26">
        <v>0.84473975636766296</v>
      </c>
      <c r="AH1233" s="28">
        <v>0.92</v>
      </c>
      <c r="AI1233" s="26">
        <v>1</v>
      </c>
      <c r="AJ1233" s="26">
        <v>1</v>
      </c>
      <c r="AK1233" s="26">
        <v>1</v>
      </c>
      <c r="AL1233" s="26">
        <v>1</v>
      </c>
      <c r="AM1233" s="25">
        <v>0.99</v>
      </c>
      <c r="AN1233" s="30">
        <v>1</v>
      </c>
      <c r="AO1233" s="30">
        <v>1</v>
      </c>
      <c r="AP1233" s="30">
        <v>1</v>
      </c>
      <c r="AQ1233" s="30">
        <v>1</v>
      </c>
      <c r="AR1233" s="50">
        <v>7.2186152540827803E-2</v>
      </c>
      <c r="AS1233" s="34">
        <v>0</v>
      </c>
      <c r="AT1233" s="34">
        <v>0</v>
      </c>
      <c r="AU1233" s="34">
        <v>0</v>
      </c>
      <c r="AV1233" s="34">
        <v>0</v>
      </c>
      <c r="AW1233" s="10"/>
      <c r="AX1233" s="8"/>
    </row>
    <row r="1234" spans="1:50">
      <c r="A1234" s="7"/>
      <c r="B1234" s="10"/>
      <c r="C1234" s="45" t="s">
        <v>1100</v>
      </c>
      <c r="D1234" s="23" t="s">
        <v>25</v>
      </c>
      <c r="E1234" s="83" t="s">
        <v>1278</v>
      </c>
      <c r="F1234" s="83" t="s">
        <v>1278</v>
      </c>
      <c r="G1234" s="83" t="s">
        <v>1278</v>
      </c>
      <c r="H1234" s="83" t="s">
        <v>1278</v>
      </c>
      <c r="I1234" s="25">
        <v>0.9</v>
      </c>
      <c r="J1234" s="26">
        <v>0.95161290322580605</v>
      </c>
      <c r="K1234" s="26">
        <v>0.95384615384615401</v>
      </c>
      <c r="L1234" s="27">
        <v>0.96</v>
      </c>
      <c r="M1234" s="26">
        <v>0.95930232558139505</v>
      </c>
      <c r="N1234" s="28">
        <v>0.9</v>
      </c>
      <c r="O1234" s="26">
        <v>0.95897941922751595</v>
      </c>
      <c r="P1234" s="26">
        <v>0.89772868313267995</v>
      </c>
      <c r="Q1234" s="26">
        <v>0.96309794988610498</v>
      </c>
      <c r="R1234" s="26">
        <v>0.94482406112127404</v>
      </c>
      <c r="S1234" s="28">
        <v>0.9</v>
      </c>
      <c r="T1234" s="26">
        <v>0.89765999436143196</v>
      </c>
      <c r="U1234" s="26">
        <v>0.86719622688345499</v>
      </c>
      <c r="V1234" s="26">
        <v>0.91731207289293804</v>
      </c>
      <c r="W1234" s="26">
        <v>0.888787259227375</v>
      </c>
      <c r="X1234" s="28">
        <v>0.92</v>
      </c>
      <c r="Y1234" s="28">
        <v>0.94518622628250204</v>
      </c>
      <c r="Z1234" s="28">
        <v>0.95224056603773599</v>
      </c>
      <c r="AA1234" s="28">
        <v>0.94827586206896597</v>
      </c>
      <c r="AB1234" s="28">
        <v>0.94550946903683097</v>
      </c>
      <c r="AC1234" s="28">
        <v>0.92</v>
      </c>
      <c r="AD1234" s="26">
        <v>0.87075587220304995</v>
      </c>
      <c r="AE1234" s="26">
        <v>0.85590118938700799</v>
      </c>
      <c r="AF1234" s="26">
        <v>0.99131134352373296</v>
      </c>
      <c r="AG1234" s="26">
        <v>0.94758259858540805</v>
      </c>
      <c r="AH1234" s="28">
        <v>0.92</v>
      </c>
      <c r="AI1234" s="26">
        <v>0.97065038741488596</v>
      </c>
      <c r="AJ1234" s="26">
        <v>0.975597252127551</v>
      </c>
      <c r="AK1234" s="26">
        <v>0.97070124879923103</v>
      </c>
      <c r="AL1234" s="26">
        <v>0.96882918304936605</v>
      </c>
      <c r="AM1234" s="25">
        <v>0.99</v>
      </c>
      <c r="AN1234" s="30">
        <v>1</v>
      </c>
      <c r="AO1234" s="30">
        <v>1</v>
      </c>
      <c r="AP1234" s="30">
        <v>1</v>
      </c>
      <c r="AQ1234" s="30">
        <v>1</v>
      </c>
      <c r="AR1234" s="50">
        <v>7.2186152540827803E-2</v>
      </c>
      <c r="AS1234" s="34">
        <v>-2.32558139534884E-2</v>
      </c>
      <c r="AT1234" s="34">
        <v>-8.8235294117647106E-2</v>
      </c>
      <c r="AU1234" s="34">
        <v>4.7619047619047603E-2</v>
      </c>
      <c r="AV1234" s="34">
        <v>-2.41545893719807E-2</v>
      </c>
      <c r="AW1234" s="10"/>
      <c r="AX1234" s="8"/>
    </row>
    <row r="1235" spans="1:50">
      <c r="A1235" s="7"/>
      <c r="B1235" s="10"/>
      <c r="C1235" s="45" t="s">
        <v>1100</v>
      </c>
      <c r="D1235" s="23" t="s">
        <v>25</v>
      </c>
      <c r="E1235" s="83" t="s">
        <v>1279</v>
      </c>
      <c r="F1235" s="83" t="s">
        <v>1279</v>
      </c>
      <c r="G1235" s="83" t="s">
        <v>1279</v>
      </c>
      <c r="H1235" s="83" t="s">
        <v>1279</v>
      </c>
      <c r="I1235" s="25">
        <v>0.9</v>
      </c>
      <c r="J1235" s="26">
        <v>0.95</v>
      </c>
      <c r="K1235" s="26">
        <v>0.95</v>
      </c>
      <c r="L1235" s="27">
        <v>0.939393939393939</v>
      </c>
      <c r="M1235" s="26">
        <v>0.94520547945205502</v>
      </c>
      <c r="N1235" s="28">
        <v>0.9</v>
      </c>
      <c r="O1235" s="26">
        <v>0.949312538477324</v>
      </c>
      <c r="P1235" s="26">
        <v>0.84935215625604299</v>
      </c>
      <c r="Q1235" s="26">
        <v>0.981978798586572</v>
      </c>
      <c r="R1235" s="26">
        <v>0.94140425531914895</v>
      </c>
      <c r="S1235" s="28">
        <v>0.9</v>
      </c>
      <c r="T1235" s="26">
        <v>0.918530679253027</v>
      </c>
      <c r="U1235" s="26">
        <v>0.88764262231676705</v>
      </c>
      <c r="V1235" s="26">
        <v>0.92049469964664299</v>
      </c>
      <c r="W1235" s="26">
        <v>0.898382978723404</v>
      </c>
      <c r="X1235" s="28">
        <v>0.92</v>
      </c>
      <c r="Y1235" s="28">
        <v>0.93130779392338203</v>
      </c>
      <c r="Z1235" s="28">
        <v>0.94949494949494995</v>
      </c>
      <c r="AA1235" s="28">
        <v>0.9326171875</v>
      </c>
      <c r="AB1235" s="28">
        <v>0.93146239022527699</v>
      </c>
      <c r="AC1235" s="28">
        <v>0.92</v>
      </c>
      <c r="AD1235" s="26">
        <v>0.948116369486526</v>
      </c>
      <c r="AE1235" s="26">
        <v>0.93147885561764998</v>
      </c>
      <c r="AF1235" s="26">
        <v>0.96035536203385097</v>
      </c>
      <c r="AG1235" s="26">
        <v>0.92700755803235901</v>
      </c>
      <c r="AH1235" s="28">
        <v>0.92</v>
      </c>
      <c r="AI1235" s="26">
        <v>0.96590303676078804</v>
      </c>
      <c r="AJ1235" s="26">
        <v>0.96964856230031904</v>
      </c>
      <c r="AK1235" s="26">
        <v>0.96419304618578106</v>
      </c>
      <c r="AL1235" s="26">
        <v>0.96137652667107398</v>
      </c>
      <c r="AM1235" s="25">
        <v>0.99</v>
      </c>
      <c r="AN1235" s="30">
        <v>1</v>
      </c>
      <c r="AO1235" s="30">
        <v>1</v>
      </c>
      <c r="AP1235" s="30">
        <v>1</v>
      </c>
      <c r="AQ1235" s="30">
        <v>1</v>
      </c>
      <c r="AR1235" s="50">
        <v>7.2186152540827803E-2</v>
      </c>
      <c r="AS1235" s="34">
        <v>0</v>
      </c>
      <c r="AT1235" s="34">
        <v>5.8823529411764698E-2</v>
      </c>
      <c r="AU1235" s="34">
        <v>-0.05</v>
      </c>
      <c r="AV1235" s="34">
        <v>4.6511627906976702E-2</v>
      </c>
      <c r="AW1235" s="10"/>
      <c r="AX1235" s="8"/>
    </row>
    <row r="1236" spans="1:50">
      <c r="A1236" s="7"/>
      <c r="B1236" s="10"/>
      <c r="C1236" s="45" t="s">
        <v>1100</v>
      </c>
      <c r="D1236" s="23" t="s">
        <v>25</v>
      </c>
      <c r="E1236" s="83" t="s">
        <v>1280</v>
      </c>
      <c r="F1236" s="83" t="s">
        <v>1280</v>
      </c>
      <c r="G1236" s="83" t="s">
        <v>1280</v>
      </c>
      <c r="H1236" s="83" t="s">
        <v>1280</v>
      </c>
      <c r="I1236" s="25">
        <v>0.9</v>
      </c>
      <c r="J1236" s="26">
        <v>0</v>
      </c>
      <c r="K1236" s="26">
        <v>0</v>
      </c>
      <c r="L1236" s="27">
        <v>0</v>
      </c>
      <c r="M1236" s="26">
        <v>0</v>
      </c>
      <c r="N1236" s="28">
        <v>0.9</v>
      </c>
      <c r="O1236" s="26">
        <v>0</v>
      </c>
      <c r="P1236" s="26">
        <v>0.125</v>
      </c>
      <c r="Q1236" s="26">
        <v>0</v>
      </c>
      <c r="R1236" s="26">
        <v>0.20833333333333301</v>
      </c>
      <c r="S1236" s="28">
        <v>0.9</v>
      </c>
      <c r="T1236" s="26">
        <v>0</v>
      </c>
      <c r="U1236" s="26">
        <v>0.9375</v>
      </c>
      <c r="V1236" s="26">
        <v>0</v>
      </c>
      <c r="W1236" s="26">
        <v>0.75</v>
      </c>
      <c r="X1236" s="28">
        <v>0.92</v>
      </c>
      <c r="Y1236" s="28">
        <v>1</v>
      </c>
      <c r="Z1236" s="28">
        <v>0</v>
      </c>
      <c r="AA1236" s="28">
        <v>0</v>
      </c>
      <c r="AB1236" s="28">
        <v>1</v>
      </c>
      <c r="AC1236" s="28">
        <v>0.92</v>
      </c>
      <c r="AD1236" s="26">
        <v>0.99322405782137302</v>
      </c>
      <c r="AE1236" s="26">
        <v>0.98181599951989396</v>
      </c>
      <c r="AF1236" s="26">
        <v>0.99786434936298696</v>
      </c>
      <c r="AG1236" s="26">
        <v>0.99361120771026901</v>
      </c>
      <c r="AH1236" s="28">
        <v>0.92</v>
      </c>
      <c r="AI1236" s="26">
        <v>0.33333333333333298</v>
      </c>
      <c r="AJ1236" s="26">
        <v>1</v>
      </c>
      <c r="AK1236" s="26">
        <v>1</v>
      </c>
      <c r="AL1236" s="26">
        <v>0.82142857142857095</v>
      </c>
      <c r="AM1236" s="25">
        <v>0.99</v>
      </c>
      <c r="AN1236" s="30">
        <v>1</v>
      </c>
      <c r="AO1236" s="30">
        <v>1</v>
      </c>
      <c r="AP1236" s="30">
        <v>1</v>
      </c>
      <c r="AQ1236" s="30">
        <v>1</v>
      </c>
      <c r="AR1236" s="50">
        <v>7.2186152540827803E-2</v>
      </c>
      <c r="AS1236" s="34">
        <v>0</v>
      </c>
      <c r="AT1236" s="34">
        <v>0</v>
      </c>
      <c r="AU1236" s="34">
        <v>0</v>
      </c>
      <c r="AV1236" s="34">
        <v>0</v>
      </c>
      <c r="AW1236" s="10"/>
      <c r="AX1236" s="8"/>
    </row>
    <row r="1237" spans="1:50">
      <c r="A1237" s="7"/>
      <c r="B1237" s="10"/>
      <c r="C1237" s="45" t="s">
        <v>1100</v>
      </c>
      <c r="D1237" s="23" t="s">
        <v>25</v>
      </c>
      <c r="E1237" s="83" t="s">
        <v>1281</v>
      </c>
      <c r="F1237" s="83" t="s">
        <v>1281</v>
      </c>
      <c r="G1237" s="83" t="s">
        <v>1281</v>
      </c>
      <c r="H1237" s="83" t="s">
        <v>1281</v>
      </c>
      <c r="I1237" s="25">
        <v>0.9</v>
      </c>
      <c r="J1237" s="26">
        <v>0.93548387096774199</v>
      </c>
      <c r="K1237" s="26">
        <v>0.96721311475409799</v>
      </c>
      <c r="L1237" s="27">
        <v>0.96363636363636396</v>
      </c>
      <c r="M1237" s="26">
        <v>0.96755162241887904</v>
      </c>
      <c r="N1237" s="28">
        <v>0.9</v>
      </c>
      <c r="O1237" s="26">
        <v>0.97565799482732396</v>
      </c>
      <c r="P1237" s="26">
        <v>0.74630816383393705</v>
      </c>
      <c r="Q1237" s="26">
        <v>0.99025202092249198</v>
      </c>
      <c r="R1237" s="26">
        <v>0.81934900542495503</v>
      </c>
      <c r="S1237" s="28">
        <v>0.9</v>
      </c>
      <c r="T1237" s="26">
        <v>0.82032557431918496</v>
      </c>
      <c r="U1237" s="26">
        <v>0.72945110058512097</v>
      </c>
      <c r="V1237" s="26">
        <v>0.91892534474560195</v>
      </c>
      <c r="W1237" s="26">
        <v>0.81880650994574999</v>
      </c>
      <c r="X1237" s="28">
        <v>0.92</v>
      </c>
      <c r="Y1237" s="28">
        <v>0.93176074136478504</v>
      </c>
      <c r="Z1237" s="28">
        <v>0.930851063829787</v>
      </c>
      <c r="AA1237" s="28">
        <v>0.94511041009463703</v>
      </c>
      <c r="AB1237" s="28">
        <v>0.93891343904340996</v>
      </c>
      <c r="AC1237" s="28">
        <v>0.92</v>
      </c>
      <c r="AD1237" s="26">
        <v>0.99284853959650698</v>
      </c>
      <c r="AE1237" s="26">
        <v>0.99624704250632301</v>
      </c>
      <c r="AF1237" s="26">
        <v>0.995057762401927</v>
      </c>
      <c r="AG1237" s="26">
        <v>0.96607463580123698</v>
      </c>
      <c r="AH1237" s="28">
        <v>0.92</v>
      </c>
      <c r="AI1237" s="26">
        <v>0.96327792810204904</v>
      </c>
      <c r="AJ1237" s="26">
        <v>0.95728267127230904</v>
      </c>
      <c r="AK1237" s="26">
        <v>0.97064410291832104</v>
      </c>
      <c r="AL1237" s="26">
        <v>0.96169088507265499</v>
      </c>
      <c r="AM1237" s="25">
        <v>0.99</v>
      </c>
      <c r="AN1237" s="30">
        <v>1</v>
      </c>
      <c r="AO1237" s="30">
        <v>1</v>
      </c>
      <c r="AP1237" s="30">
        <v>1</v>
      </c>
      <c r="AQ1237" s="30">
        <v>1</v>
      </c>
      <c r="AR1237" s="50">
        <v>7.2186152540827803E-2</v>
      </c>
      <c r="AS1237" s="34">
        <v>-3.9215686274509803E-2</v>
      </c>
      <c r="AT1237" s="34">
        <v>2.1276595744680899E-2</v>
      </c>
      <c r="AU1237" s="34">
        <v>0</v>
      </c>
      <c r="AV1237" s="34">
        <v>-1.50375939849624E-2</v>
      </c>
      <c r="AW1237" s="10"/>
      <c r="AX1237" s="8"/>
    </row>
    <row r="1238" spans="1:50">
      <c r="A1238" s="7"/>
      <c r="B1238" s="10"/>
      <c r="C1238" s="45" t="s">
        <v>1100</v>
      </c>
      <c r="D1238" s="23" t="s">
        <v>25</v>
      </c>
      <c r="E1238" s="83" t="s">
        <v>1282</v>
      </c>
      <c r="F1238" s="83" t="s">
        <v>1282</v>
      </c>
      <c r="G1238" s="83" t="s">
        <v>1282</v>
      </c>
      <c r="H1238" s="83" t="s">
        <v>1282</v>
      </c>
      <c r="I1238" s="25">
        <v>0.9</v>
      </c>
      <c r="J1238" s="26">
        <v>0</v>
      </c>
      <c r="K1238" s="26">
        <v>0</v>
      </c>
      <c r="L1238" s="27">
        <v>0</v>
      </c>
      <c r="M1238" s="26">
        <v>0</v>
      </c>
      <c r="N1238" s="28">
        <v>0.9</v>
      </c>
      <c r="O1238" s="26">
        <v>0</v>
      </c>
      <c r="P1238" s="26">
        <v>0</v>
      </c>
      <c r="Q1238" s="26">
        <v>0</v>
      </c>
      <c r="R1238" s="26">
        <v>0</v>
      </c>
      <c r="S1238" s="28">
        <v>0.9</v>
      </c>
      <c r="T1238" s="26">
        <v>0</v>
      </c>
      <c r="U1238" s="26">
        <v>0</v>
      </c>
      <c r="V1238" s="26">
        <v>0</v>
      </c>
      <c r="W1238" s="26">
        <v>1</v>
      </c>
      <c r="X1238" s="28">
        <v>0.92</v>
      </c>
      <c r="Y1238" s="28">
        <v>0</v>
      </c>
      <c r="Z1238" s="28">
        <v>0</v>
      </c>
      <c r="AA1238" s="28">
        <v>0</v>
      </c>
      <c r="AB1238" s="28">
        <v>0</v>
      </c>
      <c r="AC1238" s="28">
        <v>0.92</v>
      </c>
      <c r="AD1238" s="26">
        <v>0.99271592091571303</v>
      </c>
      <c r="AE1238" s="26">
        <v>0.99766899766899797</v>
      </c>
      <c r="AF1238" s="26">
        <v>0.97793380140421304</v>
      </c>
      <c r="AG1238" s="26">
        <v>0.99032815198618296</v>
      </c>
      <c r="AH1238" s="28">
        <v>0.92</v>
      </c>
      <c r="AI1238" s="26">
        <v>0</v>
      </c>
      <c r="AJ1238" s="26">
        <v>0</v>
      </c>
      <c r="AK1238" s="26">
        <v>0</v>
      </c>
      <c r="AL1238" s="26">
        <v>1</v>
      </c>
      <c r="AM1238" s="25">
        <v>0.99</v>
      </c>
      <c r="AN1238" s="30">
        <v>1</v>
      </c>
      <c r="AO1238" s="30">
        <v>0</v>
      </c>
      <c r="AP1238" s="30">
        <v>1</v>
      </c>
      <c r="AQ1238" s="30">
        <v>1</v>
      </c>
      <c r="AR1238" s="50">
        <v>7.2186152540827803E-2</v>
      </c>
      <c r="AS1238" s="34">
        <v>0</v>
      </c>
      <c r="AT1238" s="34">
        <v>0</v>
      </c>
      <c r="AU1238" s="34">
        <v>0</v>
      </c>
      <c r="AV1238" s="34">
        <v>0</v>
      </c>
      <c r="AW1238" s="10"/>
      <c r="AX1238" s="8"/>
    </row>
    <row r="1239" spans="1:50">
      <c r="A1239" s="7"/>
      <c r="B1239" s="10"/>
      <c r="C1239" s="45" t="s">
        <v>1100</v>
      </c>
      <c r="D1239" s="23" t="s">
        <v>25</v>
      </c>
      <c r="E1239" s="83" t="s">
        <v>1283</v>
      </c>
      <c r="F1239" s="83" t="s">
        <v>1283</v>
      </c>
      <c r="G1239" s="83" t="s">
        <v>1283</v>
      </c>
      <c r="H1239" s="83" t="s">
        <v>1283</v>
      </c>
      <c r="I1239" s="25">
        <v>0.9</v>
      </c>
      <c r="J1239" s="26">
        <v>0</v>
      </c>
      <c r="K1239" s="26">
        <v>0</v>
      </c>
      <c r="L1239" s="27">
        <v>0</v>
      </c>
      <c r="M1239" s="26">
        <v>0</v>
      </c>
      <c r="N1239" s="28">
        <v>0.9</v>
      </c>
      <c r="O1239" s="26">
        <v>0</v>
      </c>
      <c r="P1239" s="26">
        <v>0</v>
      </c>
      <c r="Q1239" s="26">
        <v>0</v>
      </c>
      <c r="R1239" s="26">
        <v>0</v>
      </c>
      <c r="S1239" s="28">
        <v>0.9</v>
      </c>
      <c r="T1239" s="26">
        <v>1</v>
      </c>
      <c r="U1239" s="26">
        <v>0</v>
      </c>
      <c r="V1239" s="26">
        <v>1</v>
      </c>
      <c r="W1239" s="26">
        <v>1</v>
      </c>
      <c r="X1239" s="28">
        <v>0.92</v>
      </c>
      <c r="Y1239" s="28">
        <v>0</v>
      </c>
      <c r="Z1239" s="28">
        <v>0</v>
      </c>
      <c r="AA1239" s="28">
        <v>0</v>
      </c>
      <c r="AB1239" s="28">
        <v>1</v>
      </c>
      <c r="AC1239" s="28">
        <v>0.92</v>
      </c>
      <c r="AD1239" s="26">
        <v>0.986152324431256</v>
      </c>
      <c r="AE1239" s="26">
        <v>0.93177327093083695</v>
      </c>
      <c r="AF1239" s="26">
        <v>0.95512780056800295</v>
      </c>
      <c r="AG1239" s="26">
        <v>0.96390868200998503</v>
      </c>
      <c r="AH1239" s="28">
        <v>0.92</v>
      </c>
      <c r="AI1239" s="26">
        <v>1</v>
      </c>
      <c r="AJ1239" s="26">
        <v>0</v>
      </c>
      <c r="AK1239" s="26">
        <v>1</v>
      </c>
      <c r="AL1239" s="26">
        <v>1</v>
      </c>
      <c r="AM1239" s="25">
        <v>0.99</v>
      </c>
      <c r="AN1239" s="30">
        <v>1</v>
      </c>
      <c r="AO1239" s="30">
        <v>1</v>
      </c>
      <c r="AP1239" s="30">
        <v>1</v>
      </c>
      <c r="AQ1239" s="30">
        <v>1</v>
      </c>
      <c r="AR1239" s="50">
        <v>7.2186152540827803E-2</v>
      </c>
      <c r="AS1239" s="34">
        <v>0</v>
      </c>
      <c r="AT1239" s="34">
        <v>0</v>
      </c>
      <c r="AU1239" s="34">
        <v>0</v>
      </c>
      <c r="AV1239" s="34">
        <v>0</v>
      </c>
      <c r="AW1239" s="10"/>
      <c r="AX1239" s="8"/>
    </row>
    <row r="1240" spans="1:50">
      <c r="A1240" s="7"/>
      <c r="B1240" s="10"/>
      <c r="C1240" s="45" t="s">
        <v>1100</v>
      </c>
      <c r="D1240" s="23" t="s">
        <v>25</v>
      </c>
      <c r="E1240" s="83" t="s">
        <v>1284</v>
      </c>
      <c r="F1240" s="83" t="s">
        <v>1284</v>
      </c>
      <c r="G1240" s="83" t="s">
        <v>1284</v>
      </c>
      <c r="H1240" s="83" t="s">
        <v>1284</v>
      </c>
      <c r="I1240" s="25">
        <v>0.9</v>
      </c>
      <c r="J1240" s="26">
        <v>0</v>
      </c>
      <c r="K1240" s="26">
        <v>0</v>
      </c>
      <c r="L1240" s="27">
        <v>0</v>
      </c>
      <c r="M1240" s="26">
        <v>0</v>
      </c>
      <c r="N1240" s="28">
        <v>0.9</v>
      </c>
      <c r="O1240" s="26">
        <v>0</v>
      </c>
      <c r="P1240" s="26">
        <v>0</v>
      </c>
      <c r="Q1240" s="26">
        <v>0</v>
      </c>
      <c r="R1240" s="26">
        <v>0</v>
      </c>
      <c r="S1240" s="28">
        <v>0.9</v>
      </c>
      <c r="T1240" s="26">
        <v>0</v>
      </c>
      <c r="U1240" s="26">
        <v>1</v>
      </c>
      <c r="V1240" s="26">
        <v>1</v>
      </c>
      <c r="W1240" s="26">
        <v>1</v>
      </c>
      <c r="X1240" s="28">
        <v>0.92</v>
      </c>
      <c r="Y1240" s="28">
        <v>0</v>
      </c>
      <c r="Z1240" s="28">
        <v>0</v>
      </c>
      <c r="AA1240" s="28">
        <v>0</v>
      </c>
      <c r="AB1240" s="28">
        <v>0</v>
      </c>
      <c r="AC1240" s="28">
        <v>0.92</v>
      </c>
      <c r="AD1240" s="26">
        <v>0.99866785079928999</v>
      </c>
      <c r="AE1240" s="26">
        <v>0.99380209446462897</v>
      </c>
      <c r="AF1240" s="26">
        <v>0.99628436958137201</v>
      </c>
      <c r="AG1240" s="26">
        <v>0.98664249241471202</v>
      </c>
      <c r="AH1240" s="28">
        <v>0.92</v>
      </c>
      <c r="AI1240" s="26">
        <v>0</v>
      </c>
      <c r="AJ1240" s="26">
        <v>1</v>
      </c>
      <c r="AK1240" s="26">
        <v>1</v>
      </c>
      <c r="AL1240" s="26">
        <v>1</v>
      </c>
      <c r="AM1240" s="25">
        <v>0.99</v>
      </c>
      <c r="AN1240" s="30">
        <v>1</v>
      </c>
      <c r="AO1240" s="30">
        <v>1</v>
      </c>
      <c r="AP1240" s="30">
        <v>1</v>
      </c>
      <c r="AQ1240" s="30">
        <v>1</v>
      </c>
      <c r="AR1240" s="50">
        <v>7.2186152540827803E-2</v>
      </c>
      <c r="AS1240" s="34">
        <v>0</v>
      </c>
      <c r="AT1240" s="34">
        <v>0</v>
      </c>
      <c r="AU1240" s="34">
        <v>0</v>
      </c>
      <c r="AV1240" s="34">
        <v>0</v>
      </c>
      <c r="AW1240" s="10"/>
      <c r="AX1240" s="8"/>
    </row>
    <row r="1241" spans="1:50">
      <c r="A1241" s="7"/>
      <c r="B1241" s="10"/>
      <c r="C1241" s="45" t="s">
        <v>1100</v>
      </c>
      <c r="D1241" s="23" t="s">
        <v>25</v>
      </c>
      <c r="E1241" s="83" t="s">
        <v>1285</v>
      </c>
      <c r="F1241" s="83" t="s">
        <v>1285</v>
      </c>
      <c r="G1241" s="83" t="s">
        <v>1285</v>
      </c>
      <c r="H1241" s="83" t="s">
        <v>1285</v>
      </c>
      <c r="I1241" s="25">
        <v>0.9</v>
      </c>
      <c r="J1241" s="26">
        <v>0.98701298701298701</v>
      </c>
      <c r="K1241" s="26">
        <v>1</v>
      </c>
      <c r="L1241" s="27">
        <v>0.98591549295774605</v>
      </c>
      <c r="M1241" s="26">
        <v>0.977827050997783</v>
      </c>
      <c r="N1241" s="28">
        <v>0.9</v>
      </c>
      <c r="O1241" s="26">
        <v>0.96542108198549903</v>
      </c>
      <c r="P1241" s="26">
        <v>0.85776930409914198</v>
      </c>
      <c r="Q1241" s="26">
        <v>0.96419483824064001</v>
      </c>
      <c r="R1241" s="26">
        <v>0.93047968589962404</v>
      </c>
      <c r="S1241" s="28">
        <v>0.9</v>
      </c>
      <c r="T1241" s="26">
        <v>0.89470161740100396</v>
      </c>
      <c r="U1241" s="26">
        <v>0.86301239275500496</v>
      </c>
      <c r="V1241" s="26">
        <v>0.92039258451472195</v>
      </c>
      <c r="W1241" s="26">
        <v>0.89181461249573202</v>
      </c>
      <c r="X1241" s="28">
        <v>0.92</v>
      </c>
      <c r="Y1241" s="28">
        <v>0.93397745571658597</v>
      </c>
      <c r="Z1241" s="28">
        <v>0.92726499361973602</v>
      </c>
      <c r="AA1241" s="28">
        <v>0.92149122807017503</v>
      </c>
      <c r="AB1241" s="28">
        <v>0.91285637439483602</v>
      </c>
      <c r="AC1241" s="28">
        <v>0.92</v>
      </c>
      <c r="AD1241" s="26">
        <v>0.99817073170731696</v>
      </c>
      <c r="AE1241" s="26">
        <v>0.99757145525873303</v>
      </c>
      <c r="AF1241" s="26">
        <v>0.99409665019220195</v>
      </c>
      <c r="AG1241" s="26">
        <v>0.99557419728087904</v>
      </c>
      <c r="AH1241" s="28">
        <v>0.92</v>
      </c>
      <c r="AI1241" s="26">
        <v>0.96740234555360605</v>
      </c>
      <c r="AJ1241" s="26">
        <v>0.96986216026789196</v>
      </c>
      <c r="AK1241" s="26">
        <v>0.95566692367000805</v>
      </c>
      <c r="AL1241" s="26">
        <v>0.95808486436179396</v>
      </c>
      <c r="AM1241" s="25">
        <v>0.99</v>
      </c>
      <c r="AN1241" s="30">
        <v>1</v>
      </c>
      <c r="AO1241" s="30">
        <v>1</v>
      </c>
      <c r="AP1241" s="30">
        <v>1</v>
      </c>
      <c r="AQ1241" s="30">
        <v>1</v>
      </c>
      <c r="AR1241" s="50">
        <v>7.2186152540827803E-2</v>
      </c>
      <c r="AS1241" s="34">
        <v>5.4054054054054099E-2</v>
      </c>
      <c r="AT1241" s="34">
        <v>4.49438202247191E-2</v>
      </c>
      <c r="AU1241" s="34">
        <v>6.0606060606060601E-2</v>
      </c>
      <c r="AV1241" s="34">
        <v>3.5897435897435902E-2</v>
      </c>
      <c r="AW1241" s="10"/>
      <c r="AX1241" s="8"/>
    </row>
    <row r="1242" spans="1:50">
      <c r="A1242" s="7"/>
      <c r="B1242" s="10"/>
      <c r="C1242" s="45" t="s">
        <v>1100</v>
      </c>
      <c r="D1242" s="23" t="s">
        <v>25</v>
      </c>
      <c r="E1242" s="86" t="s">
        <v>1286</v>
      </c>
      <c r="F1242" s="86" t="s">
        <v>1286</v>
      </c>
      <c r="G1242" s="86" t="s">
        <v>1286</v>
      </c>
      <c r="H1242" s="86" t="s">
        <v>1286</v>
      </c>
      <c r="I1242" s="25">
        <v>0.9</v>
      </c>
      <c r="J1242" s="26">
        <v>0</v>
      </c>
      <c r="K1242" s="26">
        <v>0</v>
      </c>
      <c r="L1242" s="27">
        <v>0</v>
      </c>
      <c r="M1242" s="26">
        <v>0</v>
      </c>
      <c r="N1242" s="28">
        <v>0.9</v>
      </c>
      <c r="O1242" s="26">
        <v>0</v>
      </c>
      <c r="P1242" s="26">
        <v>0</v>
      </c>
      <c r="Q1242" s="26">
        <v>0</v>
      </c>
      <c r="R1242" s="26">
        <v>0</v>
      </c>
      <c r="S1242" s="28">
        <v>0.9</v>
      </c>
      <c r="T1242" s="26">
        <v>1</v>
      </c>
      <c r="U1242" s="26">
        <v>1</v>
      </c>
      <c r="V1242" s="26">
        <v>1</v>
      </c>
      <c r="W1242" s="26">
        <v>0.98823529411764699</v>
      </c>
      <c r="X1242" s="28">
        <v>0.92</v>
      </c>
      <c r="Y1242" s="28">
        <v>1</v>
      </c>
      <c r="Z1242" s="28">
        <v>1</v>
      </c>
      <c r="AA1242" s="28">
        <v>1</v>
      </c>
      <c r="AB1242" s="28">
        <v>1</v>
      </c>
      <c r="AC1242" s="28">
        <v>0.92</v>
      </c>
      <c r="AD1242" s="26">
        <v>1</v>
      </c>
      <c r="AE1242" s="26">
        <v>1</v>
      </c>
      <c r="AF1242" s="26">
        <v>1</v>
      </c>
      <c r="AG1242" s="26">
        <v>0.999785084891468</v>
      </c>
      <c r="AH1242" s="28">
        <v>0.92</v>
      </c>
      <c r="AI1242" s="26">
        <v>1</v>
      </c>
      <c r="AJ1242" s="26">
        <v>1</v>
      </c>
      <c r="AK1242" s="26">
        <v>1</v>
      </c>
      <c r="AL1242" s="26">
        <v>0.99063231850117095</v>
      </c>
      <c r="AM1242" s="25">
        <v>0.99</v>
      </c>
      <c r="AN1242" s="30">
        <v>1</v>
      </c>
      <c r="AO1242" s="30">
        <v>1</v>
      </c>
      <c r="AP1242" s="30">
        <v>0</v>
      </c>
      <c r="AQ1242" s="30">
        <v>1</v>
      </c>
      <c r="AR1242" s="50">
        <v>7.2186152540827803E-2</v>
      </c>
      <c r="AS1242" s="34">
        <v>0</v>
      </c>
      <c r="AT1242" s="34">
        <v>0</v>
      </c>
      <c r="AU1242" s="34">
        <v>0</v>
      </c>
      <c r="AV1242" s="34">
        <v>0</v>
      </c>
      <c r="AW1242" s="10"/>
      <c r="AX1242" s="8"/>
    </row>
    <row r="1243" spans="1:50">
      <c r="A1243" s="7"/>
      <c r="B1243" s="10"/>
      <c r="C1243" s="45" t="s">
        <v>1100</v>
      </c>
      <c r="D1243" s="23" t="s">
        <v>25</v>
      </c>
      <c r="E1243" s="83" t="s">
        <v>1287</v>
      </c>
      <c r="F1243" s="83" t="s">
        <v>1287</v>
      </c>
      <c r="G1243" s="83" t="s">
        <v>1287</v>
      </c>
      <c r="H1243" s="83" t="s">
        <v>1287</v>
      </c>
      <c r="I1243" s="25">
        <v>0.9</v>
      </c>
      <c r="J1243" s="26">
        <v>0.98113207547169801</v>
      </c>
      <c r="K1243" s="26">
        <v>1</v>
      </c>
      <c r="L1243" s="27">
        <v>0.97727272727272696</v>
      </c>
      <c r="M1243" s="26">
        <v>0.989247311827957</v>
      </c>
      <c r="N1243" s="28">
        <v>0.9</v>
      </c>
      <c r="O1243" s="26">
        <v>0.98767334360554704</v>
      </c>
      <c r="P1243" s="26">
        <v>0.98912579957356095</v>
      </c>
      <c r="Q1243" s="26">
        <v>0.987956204379562</v>
      </c>
      <c r="R1243" s="26">
        <v>0.98063489256344505</v>
      </c>
      <c r="S1243" s="28">
        <v>0.9</v>
      </c>
      <c r="T1243" s="26">
        <v>0.89324235086946902</v>
      </c>
      <c r="U1243" s="26">
        <v>0.91002132196162</v>
      </c>
      <c r="V1243" s="26">
        <v>0.93029197080292003</v>
      </c>
      <c r="W1243" s="26">
        <v>0.88212927756654003</v>
      </c>
      <c r="X1243" s="28">
        <v>0.92</v>
      </c>
      <c r="Y1243" s="28">
        <v>0.93133047210300401</v>
      </c>
      <c r="Z1243" s="28">
        <v>0.92687747035573098</v>
      </c>
      <c r="AA1243" s="28">
        <v>0.93510054844606905</v>
      </c>
      <c r="AB1243" s="28">
        <v>0.90909090909090895</v>
      </c>
      <c r="AC1243" s="28">
        <v>0.92</v>
      </c>
      <c r="AD1243" s="26">
        <v>0.98925796129818699</v>
      </c>
      <c r="AE1243" s="26">
        <v>0.85586007319771895</v>
      </c>
      <c r="AF1243" s="26">
        <v>0.89021662349894004</v>
      </c>
      <c r="AG1243" s="26">
        <v>0.90028471381352904</v>
      </c>
      <c r="AH1243" s="28">
        <v>0.92</v>
      </c>
      <c r="AI1243" s="26">
        <v>0.96603980281175805</v>
      </c>
      <c r="AJ1243" s="26">
        <v>0.96966508854988598</v>
      </c>
      <c r="AK1243" s="26">
        <v>0.96687532603025605</v>
      </c>
      <c r="AL1243" s="26">
        <v>0.95066833006594198</v>
      </c>
      <c r="AM1243" s="25">
        <v>0.99</v>
      </c>
      <c r="AN1243" s="30">
        <v>1</v>
      </c>
      <c r="AO1243" s="30">
        <v>1</v>
      </c>
      <c r="AP1243" s="30">
        <v>1</v>
      </c>
      <c r="AQ1243" s="30">
        <v>1</v>
      </c>
      <c r="AR1243" s="50">
        <v>7.2186152540827803E-2</v>
      </c>
      <c r="AS1243" s="34">
        <v>0.04</v>
      </c>
      <c r="AT1243" s="34">
        <v>-0.08</v>
      </c>
      <c r="AU1243" s="34">
        <v>0</v>
      </c>
      <c r="AV1243" s="34">
        <v>-6.8376068376068397E-2</v>
      </c>
      <c r="AW1243" s="10"/>
      <c r="AX1243" s="8"/>
    </row>
    <row r="1244" spans="1:50">
      <c r="A1244" s="7"/>
      <c r="B1244" s="10"/>
      <c r="C1244" s="45" t="s">
        <v>1100</v>
      </c>
      <c r="D1244" s="23" t="s">
        <v>25</v>
      </c>
      <c r="E1244" s="83" t="s">
        <v>1288</v>
      </c>
      <c r="F1244" s="83" t="s">
        <v>1288</v>
      </c>
      <c r="G1244" s="83" t="s">
        <v>1288</v>
      </c>
      <c r="H1244" s="83" t="s">
        <v>1288</v>
      </c>
      <c r="I1244" s="25">
        <v>0.9</v>
      </c>
      <c r="J1244" s="26">
        <v>0.98333333333333295</v>
      </c>
      <c r="K1244" s="26">
        <v>1</v>
      </c>
      <c r="L1244" s="27">
        <v>0.95918367346938804</v>
      </c>
      <c r="M1244" s="26">
        <v>0.95412844036697297</v>
      </c>
      <c r="N1244" s="28">
        <v>0.9</v>
      </c>
      <c r="O1244" s="26">
        <v>0.929866169744198</v>
      </c>
      <c r="P1244" s="26">
        <v>0.85309952315028503</v>
      </c>
      <c r="Q1244" s="26">
        <v>0.95832135671169905</v>
      </c>
      <c r="R1244" s="26">
        <v>0.92048732480401796</v>
      </c>
      <c r="S1244" s="28">
        <v>0.9</v>
      </c>
      <c r="T1244" s="26">
        <v>0.88751482297137096</v>
      </c>
      <c r="U1244" s="26">
        <v>0.87109675434548495</v>
      </c>
      <c r="V1244" s="26">
        <v>0.91606783558493798</v>
      </c>
      <c r="W1244" s="26">
        <v>0.88617775817015598</v>
      </c>
      <c r="X1244" s="28">
        <v>0.92</v>
      </c>
      <c r="Y1244" s="28">
        <v>0.92629482071713098</v>
      </c>
      <c r="Z1244" s="28">
        <v>0.91257225433526001</v>
      </c>
      <c r="AA1244" s="28">
        <v>0.90604026845637597</v>
      </c>
      <c r="AB1244" s="28">
        <v>0.90081644995464205</v>
      </c>
      <c r="AC1244" s="28">
        <v>0.92</v>
      </c>
      <c r="AD1244" s="26">
        <v>0.99838546922300697</v>
      </c>
      <c r="AE1244" s="26">
        <v>0.97843485993775003</v>
      </c>
      <c r="AF1244" s="26">
        <v>0.99660111677591601</v>
      </c>
      <c r="AG1244" s="26">
        <v>0.98936427362823298</v>
      </c>
      <c r="AH1244" s="28">
        <v>0.92</v>
      </c>
      <c r="AI1244" s="26">
        <v>0.96396526772793101</v>
      </c>
      <c r="AJ1244" s="26">
        <v>0.96006085964245003</v>
      </c>
      <c r="AK1244" s="26">
        <v>0.95395146235220896</v>
      </c>
      <c r="AL1244" s="26">
        <v>0.95240074252625195</v>
      </c>
      <c r="AM1244" s="25">
        <v>0.99</v>
      </c>
      <c r="AN1244" s="30">
        <v>1</v>
      </c>
      <c r="AO1244" s="30">
        <v>1</v>
      </c>
      <c r="AP1244" s="30">
        <v>1</v>
      </c>
      <c r="AQ1244" s="30">
        <v>1</v>
      </c>
      <c r="AR1244" s="50">
        <v>7.2186152540827803E-2</v>
      </c>
      <c r="AS1244" s="34">
        <v>8.5714285714285701E-2</v>
      </c>
      <c r="AT1244" s="34">
        <v>3.2258064516128997E-2</v>
      </c>
      <c r="AU1244" s="34">
        <v>0.125</v>
      </c>
      <c r="AV1244" s="34">
        <v>6.8322981366459604E-2</v>
      </c>
      <c r="AW1244" s="10"/>
      <c r="AX1244" s="8"/>
    </row>
    <row r="1245" spans="1:50">
      <c r="A1245" s="7"/>
      <c r="B1245" s="10"/>
      <c r="C1245" s="45" t="s">
        <v>1100</v>
      </c>
      <c r="D1245" s="23" t="s">
        <v>25</v>
      </c>
      <c r="E1245" s="83" t="s">
        <v>1289</v>
      </c>
      <c r="F1245" s="83" t="s">
        <v>1289</v>
      </c>
      <c r="G1245" s="83" t="s">
        <v>1289</v>
      </c>
      <c r="H1245" s="83" t="s">
        <v>1289</v>
      </c>
      <c r="I1245" s="25">
        <v>0.9</v>
      </c>
      <c r="J1245" s="26">
        <v>1</v>
      </c>
      <c r="K1245" s="26">
        <v>1</v>
      </c>
      <c r="L1245" s="27">
        <v>1</v>
      </c>
      <c r="M1245" s="26">
        <v>0.99275362318840599</v>
      </c>
      <c r="N1245" s="28">
        <v>0.9</v>
      </c>
      <c r="O1245" s="26">
        <v>0.96175220660346505</v>
      </c>
      <c r="P1245" s="26">
        <v>0.95811965811965805</v>
      </c>
      <c r="Q1245" s="26">
        <v>0.96282911719153297</v>
      </c>
      <c r="R1245" s="26">
        <v>0.96230949218996997</v>
      </c>
      <c r="S1245" s="28">
        <v>0.9</v>
      </c>
      <c r="T1245" s="26">
        <v>0.91402419091206299</v>
      </c>
      <c r="U1245" s="26">
        <v>0.90512820512820502</v>
      </c>
      <c r="V1245" s="26">
        <v>0.91533298915849204</v>
      </c>
      <c r="W1245" s="26">
        <v>0.91323594510845496</v>
      </c>
      <c r="X1245" s="28">
        <v>0.92</v>
      </c>
      <c r="Y1245" s="28">
        <v>0.92905405405405395</v>
      </c>
      <c r="Z1245" s="28">
        <v>0.93076923076923102</v>
      </c>
      <c r="AA1245" s="28">
        <v>0.91994572591587498</v>
      </c>
      <c r="AB1245" s="28">
        <v>0.92209944751381201</v>
      </c>
      <c r="AC1245" s="28">
        <v>0.92</v>
      </c>
      <c r="AD1245" s="26">
        <v>0.98696814435286295</v>
      </c>
      <c r="AE1245" s="26">
        <v>0.99097826086956498</v>
      </c>
      <c r="AF1245" s="26">
        <v>0.99284899201217203</v>
      </c>
      <c r="AG1245" s="26">
        <v>0.953219148001757</v>
      </c>
      <c r="AH1245" s="28">
        <v>0.92</v>
      </c>
      <c r="AI1245" s="26">
        <v>0.96795398520953202</v>
      </c>
      <c r="AJ1245" s="26">
        <v>0.967599067599068</v>
      </c>
      <c r="AK1245" s="26">
        <v>0.95848915482423303</v>
      </c>
      <c r="AL1245" s="26">
        <v>0.96351754656787103</v>
      </c>
      <c r="AM1245" s="25">
        <v>0.99</v>
      </c>
      <c r="AN1245" s="30">
        <v>1</v>
      </c>
      <c r="AO1245" s="30">
        <v>1</v>
      </c>
      <c r="AP1245" s="30">
        <v>1</v>
      </c>
      <c r="AQ1245" s="30">
        <v>1</v>
      </c>
      <c r="AR1245" s="50">
        <v>7.2186152540827803E-2</v>
      </c>
      <c r="AS1245" s="34">
        <v>7.4999999999999997E-2</v>
      </c>
      <c r="AT1245" s="34">
        <v>2.32558139534884E-2</v>
      </c>
      <c r="AU1245" s="34">
        <v>0.10344827586206901</v>
      </c>
      <c r="AV1245" s="34">
        <v>3.8610038610038602E-2</v>
      </c>
      <c r="AW1245" s="10"/>
      <c r="AX1245" s="8"/>
    </row>
    <row r="1246" spans="1:50">
      <c r="A1246" s="7"/>
      <c r="B1246" s="10"/>
      <c r="C1246" s="45" t="s">
        <v>1100</v>
      </c>
      <c r="D1246" s="23" t="s">
        <v>25</v>
      </c>
      <c r="E1246" s="83" t="s">
        <v>1290</v>
      </c>
      <c r="F1246" s="83" t="s">
        <v>1290</v>
      </c>
      <c r="G1246" s="83" t="s">
        <v>1290</v>
      </c>
      <c r="H1246" s="83" t="s">
        <v>1290</v>
      </c>
      <c r="I1246" s="25">
        <v>0.9</v>
      </c>
      <c r="J1246" s="26">
        <v>0</v>
      </c>
      <c r="K1246" s="26">
        <v>0</v>
      </c>
      <c r="L1246" s="27">
        <v>0</v>
      </c>
      <c r="M1246" s="26">
        <v>0</v>
      </c>
      <c r="N1246" s="28">
        <v>0.9</v>
      </c>
      <c r="O1246" s="26">
        <v>0.54269972451790605</v>
      </c>
      <c r="P1246" s="26">
        <v>0.34688346883468801</v>
      </c>
      <c r="Q1246" s="26">
        <v>0.50980392156862697</v>
      </c>
      <c r="R1246" s="26">
        <v>0.473290598290598</v>
      </c>
      <c r="S1246" s="28">
        <v>0.9</v>
      </c>
      <c r="T1246" s="26">
        <v>1</v>
      </c>
      <c r="U1246" s="26">
        <v>0.98373983739837401</v>
      </c>
      <c r="V1246" s="26">
        <v>1</v>
      </c>
      <c r="W1246" s="26">
        <v>0.98611111111111105</v>
      </c>
      <c r="X1246" s="28">
        <v>0.92</v>
      </c>
      <c r="Y1246" s="28">
        <v>0.984375</v>
      </c>
      <c r="Z1246" s="28">
        <v>1</v>
      </c>
      <c r="AA1246" s="28">
        <v>0.95</v>
      </c>
      <c r="AB1246" s="28">
        <v>0.98416289592760198</v>
      </c>
      <c r="AC1246" s="28">
        <v>0.92</v>
      </c>
      <c r="AD1246" s="26">
        <v>0.99277472231208896</v>
      </c>
      <c r="AE1246" s="26">
        <v>0.98600133320636096</v>
      </c>
      <c r="AF1246" s="26">
        <v>0.98346693386773498</v>
      </c>
      <c r="AG1246" s="26">
        <v>0.97497875554716296</v>
      </c>
      <c r="AH1246" s="28">
        <v>0.92</v>
      </c>
      <c r="AI1246" s="26">
        <v>0.99766355140186902</v>
      </c>
      <c r="AJ1246" s="26">
        <v>0.98712446351931304</v>
      </c>
      <c r="AK1246" s="26">
        <v>0.997361477572559</v>
      </c>
      <c r="AL1246" s="26">
        <v>0.98584298584298602</v>
      </c>
      <c r="AM1246" s="25">
        <v>0.99</v>
      </c>
      <c r="AN1246" s="30">
        <v>1</v>
      </c>
      <c r="AO1246" s="30">
        <v>1</v>
      </c>
      <c r="AP1246" s="30">
        <v>1</v>
      </c>
      <c r="AQ1246" s="30">
        <v>1</v>
      </c>
      <c r="AR1246" s="50">
        <v>7.2186152540827803E-2</v>
      </c>
      <c r="AS1246" s="34">
        <v>0</v>
      </c>
      <c r="AT1246" s="34">
        <v>0</v>
      </c>
      <c r="AU1246" s="34">
        <v>0</v>
      </c>
      <c r="AV1246" s="34">
        <v>0</v>
      </c>
      <c r="AW1246" s="10"/>
      <c r="AX1246" s="8"/>
    </row>
    <row r="1247" spans="1:50">
      <c r="A1247" s="7"/>
      <c r="B1247" s="10"/>
      <c r="C1247" s="45" t="s">
        <v>1100</v>
      </c>
      <c r="D1247" s="23" t="s">
        <v>25</v>
      </c>
      <c r="E1247" s="83" t="s">
        <v>1291</v>
      </c>
      <c r="F1247" s="83" t="s">
        <v>1291</v>
      </c>
      <c r="G1247" s="83" t="s">
        <v>1291</v>
      </c>
      <c r="H1247" s="83" t="s">
        <v>1291</v>
      </c>
      <c r="I1247" s="25">
        <v>0.9</v>
      </c>
      <c r="J1247" s="26">
        <v>0</v>
      </c>
      <c r="K1247" s="26">
        <v>0</v>
      </c>
      <c r="L1247" s="27">
        <v>0</v>
      </c>
      <c r="M1247" s="26">
        <v>0</v>
      </c>
      <c r="N1247" s="28">
        <v>0.9</v>
      </c>
      <c r="O1247" s="26">
        <v>0</v>
      </c>
      <c r="P1247" s="26">
        <v>0</v>
      </c>
      <c r="Q1247" s="26">
        <v>0</v>
      </c>
      <c r="R1247" s="26">
        <v>0</v>
      </c>
      <c r="S1247" s="28">
        <v>0.9</v>
      </c>
      <c r="T1247" s="26">
        <v>0</v>
      </c>
      <c r="U1247" s="26">
        <v>1</v>
      </c>
      <c r="V1247" s="26">
        <v>0</v>
      </c>
      <c r="W1247" s="26">
        <v>1</v>
      </c>
      <c r="X1247" s="28">
        <v>0.92</v>
      </c>
      <c r="Y1247" s="28">
        <v>0</v>
      </c>
      <c r="Z1247" s="28">
        <v>0</v>
      </c>
      <c r="AA1247" s="28">
        <v>0</v>
      </c>
      <c r="AB1247" s="28">
        <v>0</v>
      </c>
      <c r="AC1247" s="28">
        <v>0.92</v>
      </c>
      <c r="AD1247" s="26">
        <v>0.97882020709130801</v>
      </c>
      <c r="AE1247" s="26">
        <v>0.97660492967553303</v>
      </c>
      <c r="AF1247" s="26">
        <v>0.985609368797142</v>
      </c>
      <c r="AG1247" s="26">
        <v>0.97125962920210096</v>
      </c>
      <c r="AH1247" s="28">
        <v>0.92</v>
      </c>
      <c r="AI1247" s="26">
        <v>0</v>
      </c>
      <c r="AJ1247" s="26">
        <v>1</v>
      </c>
      <c r="AK1247" s="26">
        <v>0</v>
      </c>
      <c r="AL1247" s="26">
        <v>1</v>
      </c>
      <c r="AM1247" s="25">
        <v>0.99</v>
      </c>
      <c r="AN1247" s="30">
        <v>1</v>
      </c>
      <c r="AO1247" s="30">
        <v>1</v>
      </c>
      <c r="AP1247" s="30">
        <v>1</v>
      </c>
      <c r="AQ1247" s="30">
        <v>1</v>
      </c>
      <c r="AR1247" s="50">
        <v>7.2186152540827803E-2</v>
      </c>
      <c r="AS1247" s="34">
        <v>0</v>
      </c>
      <c r="AT1247" s="34">
        <v>0</v>
      </c>
      <c r="AU1247" s="34">
        <v>0</v>
      </c>
      <c r="AV1247" s="34">
        <v>0</v>
      </c>
      <c r="AW1247" s="10"/>
      <c r="AX1247" s="8"/>
    </row>
    <row r="1248" spans="1:50">
      <c r="A1248" s="7"/>
      <c r="B1248" s="10"/>
      <c r="C1248" s="45" t="s">
        <v>1100</v>
      </c>
      <c r="D1248" s="23" t="s">
        <v>25</v>
      </c>
      <c r="E1248" s="83" t="s">
        <v>1292</v>
      </c>
      <c r="F1248" s="83" t="s">
        <v>1292</v>
      </c>
      <c r="G1248" s="83" t="s">
        <v>1292</v>
      </c>
      <c r="H1248" s="83" t="s">
        <v>1292</v>
      </c>
      <c r="I1248" s="25">
        <v>0.9</v>
      </c>
      <c r="J1248" s="26">
        <v>0.97499999999999998</v>
      </c>
      <c r="K1248" s="26">
        <v>0.93181818181818199</v>
      </c>
      <c r="L1248" s="27">
        <v>0.94594594594594605</v>
      </c>
      <c r="M1248" s="26">
        <v>0.938271604938272</v>
      </c>
      <c r="N1248" s="28">
        <v>0.9</v>
      </c>
      <c r="O1248" s="26">
        <v>0.94915534945346103</v>
      </c>
      <c r="P1248" s="26">
        <v>0.94807908696351095</v>
      </c>
      <c r="Q1248" s="26">
        <v>0.98859857482185298</v>
      </c>
      <c r="R1248" s="26">
        <v>0.93867710827778095</v>
      </c>
      <c r="S1248" s="28">
        <v>0.9</v>
      </c>
      <c r="T1248" s="26">
        <v>0.83620404107320301</v>
      </c>
      <c r="U1248" s="26">
        <v>0.84584471949847295</v>
      </c>
      <c r="V1248" s="26">
        <v>0.91995249406175805</v>
      </c>
      <c r="W1248" s="26">
        <v>0.86195068280370202</v>
      </c>
      <c r="X1248" s="28">
        <v>0.92</v>
      </c>
      <c r="Y1248" s="28">
        <v>0.88358778625954204</v>
      </c>
      <c r="Z1248" s="28">
        <v>0.89469964664310997</v>
      </c>
      <c r="AA1248" s="28">
        <v>0.89857250187828697</v>
      </c>
      <c r="AB1248" s="28">
        <v>0.89507464769080503</v>
      </c>
      <c r="AC1248" s="28">
        <v>0.92</v>
      </c>
      <c r="AD1248" s="26">
        <v>0.99673816699166795</v>
      </c>
      <c r="AE1248" s="26">
        <v>0.99470685411820203</v>
      </c>
      <c r="AF1248" s="26">
        <v>0.991809529189143</v>
      </c>
      <c r="AG1248" s="26">
        <v>0.99294181522034197</v>
      </c>
      <c r="AH1248" s="28">
        <v>0.92</v>
      </c>
      <c r="AI1248" s="26">
        <v>0.94780646071378205</v>
      </c>
      <c r="AJ1248" s="26">
        <v>0.95522388059701502</v>
      </c>
      <c r="AK1248" s="26">
        <v>0.95019848430169596</v>
      </c>
      <c r="AL1248" s="26">
        <v>0.94810788098427001</v>
      </c>
      <c r="AM1248" s="25">
        <v>0.99</v>
      </c>
      <c r="AN1248" s="30">
        <v>1</v>
      </c>
      <c r="AO1248" s="30">
        <v>1</v>
      </c>
      <c r="AP1248" s="30">
        <v>1</v>
      </c>
      <c r="AQ1248" s="30">
        <v>1</v>
      </c>
      <c r="AR1248" s="50">
        <v>7.2186152540827803E-2</v>
      </c>
      <c r="AS1248" s="34">
        <v>-4.3478260869565202E-2</v>
      </c>
      <c r="AT1248" s="34">
        <v>0.04</v>
      </c>
      <c r="AU1248" s="34">
        <v>0</v>
      </c>
      <c r="AV1248" s="34">
        <v>-8.0000000000000002E-3</v>
      </c>
      <c r="AW1248" s="10"/>
      <c r="AX1248" s="8"/>
    </row>
    <row r="1249" spans="1:50">
      <c r="A1249" s="7"/>
      <c r="B1249" s="10"/>
      <c r="C1249" s="45" t="s">
        <v>1100</v>
      </c>
      <c r="D1249" s="23" t="s">
        <v>25</v>
      </c>
      <c r="E1249" s="83" t="s">
        <v>1293</v>
      </c>
      <c r="F1249" s="83" t="s">
        <v>1293</v>
      </c>
      <c r="G1249" s="83" t="s">
        <v>1293</v>
      </c>
      <c r="H1249" s="83" t="s">
        <v>1293</v>
      </c>
      <c r="I1249" s="25">
        <v>0.9</v>
      </c>
      <c r="J1249" s="26">
        <v>0</v>
      </c>
      <c r="K1249" s="26">
        <v>0</v>
      </c>
      <c r="L1249" s="27">
        <v>0</v>
      </c>
      <c r="M1249" s="26">
        <v>0</v>
      </c>
      <c r="N1249" s="28">
        <v>0.9</v>
      </c>
      <c r="O1249" s="26">
        <v>0</v>
      </c>
      <c r="P1249" s="26">
        <v>0</v>
      </c>
      <c r="Q1249" s="26">
        <v>0</v>
      </c>
      <c r="R1249" s="26">
        <v>0</v>
      </c>
      <c r="S1249" s="28">
        <v>0.9</v>
      </c>
      <c r="T1249" s="26">
        <v>1</v>
      </c>
      <c r="U1249" s="26">
        <v>1</v>
      </c>
      <c r="V1249" s="26">
        <v>1</v>
      </c>
      <c r="W1249" s="26">
        <v>1</v>
      </c>
      <c r="X1249" s="28">
        <v>0.92</v>
      </c>
      <c r="Y1249" s="28">
        <v>0</v>
      </c>
      <c r="Z1249" s="28">
        <v>1</v>
      </c>
      <c r="AA1249" s="28">
        <v>0</v>
      </c>
      <c r="AB1249" s="28">
        <v>1</v>
      </c>
      <c r="AC1249" s="28">
        <v>0.92</v>
      </c>
      <c r="AD1249" s="26">
        <v>0.99964739069111397</v>
      </c>
      <c r="AE1249" s="26">
        <v>0.997547817557626</v>
      </c>
      <c r="AF1249" s="26">
        <v>0.99520715731174803</v>
      </c>
      <c r="AG1249" s="26">
        <v>0.99683042789223497</v>
      </c>
      <c r="AH1249" s="28">
        <v>0.92</v>
      </c>
      <c r="AI1249" s="26">
        <v>1</v>
      </c>
      <c r="AJ1249" s="26">
        <v>1</v>
      </c>
      <c r="AK1249" s="26">
        <v>1</v>
      </c>
      <c r="AL1249" s="26">
        <v>1</v>
      </c>
      <c r="AM1249" s="25">
        <v>0.99</v>
      </c>
      <c r="AN1249" s="30">
        <v>1</v>
      </c>
      <c r="AO1249" s="30">
        <v>1</v>
      </c>
      <c r="AP1249" s="30">
        <v>1</v>
      </c>
      <c r="AQ1249" s="30">
        <v>1</v>
      </c>
      <c r="AR1249" s="50">
        <v>7.2186152540827803E-2</v>
      </c>
      <c r="AS1249" s="34">
        <v>0</v>
      </c>
      <c r="AT1249" s="34">
        <v>0</v>
      </c>
      <c r="AU1249" s="34">
        <v>0</v>
      </c>
      <c r="AV1249" s="34">
        <v>0</v>
      </c>
      <c r="AW1249" s="10"/>
      <c r="AX1249" s="8"/>
    </row>
    <row r="1250" spans="1:50">
      <c r="A1250" s="7"/>
      <c r="B1250" s="10"/>
      <c r="C1250" s="45" t="s">
        <v>1100</v>
      </c>
      <c r="D1250" s="23" t="s">
        <v>25</v>
      </c>
      <c r="E1250" s="83" t="s">
        <v>1294</v>
      </c>
      <c r="F1250" s="83" t="s">
        <v>1294</v>
      </c>
      <c r="G1250" s="83" t="s">
        <v>1294</v>
      </c>
      <c r="H1250" s="83" t="s">
        <v>1294</v>
      </c>
      <c r="I1250" s="25">
        <v>0.9</v>
      </c>
      <c r="J1250" s="26">
        <v>0.97368421052631604</v>
      </c>
      <c r="K1250" s="26">
        <v>0.98666666666666702</v>
      </c>
      <c r="L1250" s="27">
        <v>1</v>
      </c>
      <c r="M1250" s="26">
        <v>0.98786407766990303</v>
      </c>
      <c r="N1250" s="28">
        <v>0.9</v>
      </c>
      <c r="O1250" s="26">
        <v>0.95900137425561105</v>
      </c>
      <c r="P1250" s="26">
        <v>0.95400609051769403</v>
      </c>
      <c r="Q1250" s="26">
        <v>0.95793531087648698</v>
      </c>
      <c r="R1250" s="26">
        <v>0.933842857458417</v>
      </c>
      <c r="S1250" s="28">
        <v>0.9</v>
      </c>
      <c r="T1250" s="26">
        <v>0.88948694457168997</v>
      </c>
      <c r="U1250" s="26">
        <v>0.89352094928068904</v>
      </c>
      <c r="V1250" s="26">
        <v>0.92190380425674501</v>
      </c>
      <c r="W1250" s="26">
        <v>0.87570409312805098</v>
      </c>
      <c r="X1250" s="28">
        <v>0.92</v>
      </c>
      <c r="Y1250" s="28">
        <v>0.90410958904109595</v>
      </c>
      <c r="Z1250" s="28">
        <v>0.92987512007684903</v>
      </c>
      <c r="AA1250" s="28">
        <v>0.91446484549932805</v>
      </c>
      <c r="AB1250" s="28">
        <v>0.88553829180840304</v>
      </c>
      <c r="AC1250" s="28">
        <v>0.92</v>
      </c>
      <c r="AD1250" s="26">
        <v>0.99285565072070203</v>
      </c>
      <c r="AE1250" s="26">
        <v>0.994191674733785</v>
      </c>
      <c r="AF1250" s="26">
        <v>0.99679687175007303</v>
      </c>
      <c r="AG1250" s="26">
        <v>0.98212647671994402</v>
      </c>
      <c r="AH1250" s="28">
        <v>0.92</v>
      </c>
      <c r="AI1250" s="26">
        <v>0.95670830552112096</v>
      </c>
      <c r="AJ1250" s="26">
        <v>0.96139927623642896</v>
      </c>
      <c r="AK1250" s="26">
        <v>0.95171909290417001</v>
      </c>
      <c r="AL1250" s="26">
        <v>0.93815773072882302</v>
      </c>
      <c r="AM1250" s="25">
        <v>0.99</v>
      </c>
      <c r="AN1250" s="30">
        <v>1</v>
      </c>
      <c r="AO1250" s="30">
        <v>1</v>
      </c>
      <c r="AP1250" s="30">
        <v>1</v>
      </c>
      <c r="AQ1250" s="30">
        <v>1</v>
      </c>
      <c r="AR1250" s="50">
        <v>7.2186152540827803E-2</v>
      </c>
      <c r="AS1250" s="34">
        <v>2.27272727272727E-2</v>
      </c>
      <c r="AT1250" s="34">
        <v>3.125E-2</v>
      </c>
      <c r="AU1250" s="34">
        <v>2.6315789473684199E-2</v>
      </c>
      <c r="AV1250" s="34">
        <v>3.5211267605633798E-2</v>
      </c>
      <c r="AW1250" s="10"/>
      <c r="AX1250" s="8"/>
    </row>
    <row r="1251" spans="1:50">
      <c r="A1251" s="7"/>
      <c r="B1251" s="10"/>
      <c r="C1251" s="45" t="s">
        <v>1100</v>
      </c>
      <c r="D1251" s="23" t="s">
        <v>25</v>
      </c>
      <c r="E1251" s="83" t="s">
        <v>1295</v>
      </c>
      <c r="F1251" s="83" t="s">
        <v>1295</v>
      </c>
      <c r="G1251" s="83" t="s">
        <v>1295</v>
      </c>
      <c r="H1251" s="83" t="s">
        <v>1295</v>
      </c>
      <c r="I1251" s="25">
        <v>0.9</v>
      </c>
      <c r="J1251" s="26">
        <v>0.87037037037037002</v>
      </c>
      <c r="K1251" s="26">
        <v>0.88524590163934402</v>
      </c>
      <c r="L1251" s="27">
        <v>0.86</v>
      </c>
      <c r="M1251" s="26">
        <v>0.87234042553191504</v>
      </c>
      <c r="N1251" s="28">
        <v>0.9</v>
      </c>
      <c r="O1251" s="26">
        <v>0.93390224980605097</v>
      </c>
      <c r="P1251" s="26">
        <v>0.87094519015659999</v>
      </c>
      <c r="Q1251" s="26">
        <v>0.91438191438191396</v>
      </c>
      <c r="R1251" s="26">
        <v>0.91370913739575099</v>
      </c>
      <c r="S1251" s="28">
        <v>0.9</v>
      </c>
      <c r="T1251" s="26">
        <v>0.76276183087664895</v>
      </c>
      <c r="U1251" s="26">
        <v>0.78649328859060397</v>
      </c>
      <c r="V1251" s="26">
        <v>0.86531986531986504</v>
      </c>
      <c r="W1251" s="26">
        <v>0.800237414013514</v>
      </c>
      <c r="X1251" s="28">
        <v>0.92</v>
      </c>
      <c r="Y1251" s="28">
        <v>0.870009285051068</v>
      </c>
      <c r="Z1251" s="28">
        <v>0.90344361917623195</v>
      </c>
      <c r="AA1251" s="28">
        <v>0.90476190476190499</v>
      </c>
      <c r="AB1251" s="28">
        <v>0.87357691289383099</v>
      </c>
      <c r="AC1251" s="28">
        <v>0.92</v>
      </c>
      <c r="AD1251" s="26">
        <v>0.98917761788666203</v>
      </c>
      <c r="AE1251" s="26">
        <v>0.98774452038651905</v>
      </c>
      <c r="AF1251" s="26">
        <v>0.98135948860586497</v>
      </c>
      <c r="AG1251" s="26">
        <v>0.97686241866043699</v>
      </c>
      <c r="AH1251" s="28">
        <v>0.92</v>
      </c>
      <c r="AI1251" s="26">
        <v>0.928087199255616</v>
      </c>
      <c r="AJ1251" s="26">
        <v>0.94729526236534201</v>
      </c>
      <c r="AK1251" s="26">
        <v>0.94563711911357295</v>
      </c>
      <c r="AL1251" s="26">
        <v>0.93048922323129801</v>
      </c>
      <c r="AM1251" s="25">
        <v>0.99</v>
      </c>
      <c r="AN1251" s="30">
        <v>1</v>
      </c>
      <c r="AO1251" s="30">
        <v>1</v>
      </c>
      <c r="AP1251" s="30">
        <v>1</v>
      </c>
      <c r="AQ1251" s="30">
        <v>1</v>
      </c>
      <c r="AR1251" s="50">
        <v>7.2186152540827803E-2</v>
      </c>
      <c r="AS1251" s="34">
        <v>0.12121212121212099</v>
      </c>
      <c r="AT1251" s="34">
        <v>-2.2222222222222199E-2</v>
      </c>
      <c r="AU1251" s="34">
        <v>0.1</v>
      </c>
      <c r="AV1251" s="34">
        <v>2.4752475247524799E-2</v>
      </c>
      <c r="AW1251" s="10"/>
      <c r="AX1251" s="8"/>
    </row>
    <row r="1252" spans="1:50">
      <c r="A1252" s="7"/>
      <c r="B1252" s="10"/>
      <c r="C1252" s="45" t="s">
        <v>1100</v>
      </c>
      <c r="D1252" s="23" t="s">
        <v>25</v>
      </c>
      <c r="E1252" s="83" t="s">
        <v>1296</v>
      </c>
      <c r="F1252" s="83" t="s">
        <v>1296</v>
      </c>
      <c r="G1252" s="83" t="s">
        <v>1296</v>
      </c>
      <c r="H1252" s="83" t="s">
        <v>1296</v>
      </c>
      <c r="I1252" s="25">
        <v>0.9</v>
      </c>
      <c r="J1252" s="26">
        <v>1</v>
      </c>
      <c r="K1252" s="26">
        <v>1</v>
      </c>
      <c r="L1252" s="27">
        <v>1</v>
      </c>
      <c r="M1252" s="26">
        <v>0.97814207650273199</v>
      </c>
      <c r="N1252" s="28">
        <v>0.9</v>
      </c>
      <c r="O1252" s="26">
        <v>0.97916666666666696</v>
      </c>
      <c r="P1252" s="26">
        <v>0.98259788688626504</v>
      </c>
      <c r="Q1252" s="26">
        <v>0.987411056376574</v>
      </c>
      <c r="R1252" s="26">
        <v>0.97946024993352798</v>
      </c>
      <c r="S1252" s="28">
        <v>0.9</v>
      </c>
      <c r="T1252" s="26">
        <v>0.94479166666666703</v>
      </c>
      <c r="U1252" s="26">
        <v>0.95525170913610902</v>
      </c>
      <c r="V1252" s="26">
        <v>0.96004378762999498</v>
      </c>
      <c r="W1252" s="26">
        <v>0.90926615261898402</v>
      </c>
      <c r="X1252" s="28">
        <v>0.92</v>
      </c>
      <c r="Y1252" s="28">
        <v>0.93386773547094204</v>
      </c>
      <c r="Z1252" s="28">
        <v>0.95460992907801401</v>
      </c>
      <c r="AA1252" s="28">
        <v>0.91409395973154395</v>
      </c>
      <c r="AB1252" s="28">
        <v>0.90758426966292105</v>
      </c>
      <c r="AC1252" s="28">
        <v>0.92</v>
      </c>
      <c r="AD1252" s="26">
        <v>0.998393144081414</v>
      </c>
      <c r="AE1252" s="26">
        <v>0.99719101123595499</v>
      </c>
      <c r="AF1252" s="26">
        <v>0.99640109208240302</v>
      </c>
      <c r="AG1252" s="26">
        <v>0.98716585859109696</v>
      </c>
      <c r="AH1252" s="28">
        <v>0.92</v>
      </c>
      <c r="AI1252" s="26">
        <v>0.96834319526627199</v>
      </c>
      <c r="AJ1252" s="26">
        <v>0.97680346673464202</v>
      </c>
      <c r="AK1252" s="26">
        <v>0.96578538102643896</v>
      </c>
      <c r="AL1252" s="26">
        <v>0.94362033752552898</v>
      </c>
      <c r="AM1252" s="25">
        <v>0.99</v>
      </c>
      <c r="AN1252" s="30">
        <v>1</v>
      </c>
      <c r="AO1252" s="30">
        <v>1</v>
      </c>
      <c r="AP1252" s="30">
        <v>1</v>
      </c>
      <c r="AQ1252" s="30">
        <v>1</v>
      </c>
      <c r="AR1252" s="50">
        <v>7.2186152540827803E-2</v>
      </c>
      <c r="AS1252" s="34">
        <v>0</v>
      </c>
      <c r="AT1252" s="34">
        <v>0</v>
      </c>
      <c r="AU1252" s="34">
        <v>0</v>
      </c>
      <c r="AV1252" s="34">
        <v>4.2553191489361701E-2</v>
      </c>
      <c r="AW1252" s="10"/>
      <c r="AX1252" s="8"/>
    </row>
    <row r="1253" spans="1:50">
      <c r="A1253" s="7"/>
      <c r="B1253" s="10"/>
      <c r="C1253" s="45" t="s">
        <v>1100</v>
      </c>
      <c r="D1253" s="23" t="s">
        <v>25</v>
      </c>
      <c r="E1253" s="83" t="s">
        <v>1297</v>
      </c>
      <c r="F1253" s="83" t="s">
        <v>1297</v>
      </c>
      <c r="G1253" s="83" t="s">
        <v>1297</v>
      </c>
      <c r="H1253" s="83" t="s">
        <v>1297</v>
      </c>
      <c r="I1253" s="25">
        <v>0.9</v>
      </c>
      <c r="J1253" s="26">
        <v>0.98412698412698396</v>
      </c>
      <c r="K1253" s="26">
        <v>0.984375</v>
      </c>
      <c r="L1253" s="27">
        <v>0.98214285714285698</v>
      </c>
      <c r="M1253" s="26">
        <v>0.98039215686274495</v>
      </c>
      <c r="N1253" s="28">
        <v>0.9</v>
      </c>
      <c r="O1253" s="26">
        <v>0.98392442823997395</v>
      </c>
      <c r="P1253" s="26">
        <v>0.98743796526054595</v>
      </c>
      <c r="Q1253" s="26">
        <v>0.98784464868069999</v>
      </c>
      <c r="R1253" s="26">
        <v>0.985010070327203</v>
      </c>
      <c r="S1253" s="28">
        <v>0.9</v>
      </c>
      <c r="T1253" s="26">
        <v>0.88879681803115695</v>
      </c>
      <c r="U1253" s="26">
        <v>0.89392059553349901</v>
      </c>
      <c r="V1253" s="26">
        <v>0.92884672398458301</v>
      </c>
      <c r="W1253" s="26">
        <v>0.89137253607158196</v>
      </c>
      <c r="X1253" s="28">
        <v>0.92</v>
      </c>
      <c r="Y1253" s="28">
        <v>0.92393162393162398</v>
      </c>
      <c r="Z1253" s="28">
        <v>0.945347119645495</v>
      </c>
      <c r="AA1253" s="28">
        <v>0.94197031039136303</v>
      </c>
      <c r="AB1253" s="28">
        <v>0.92182030338389698</v>
      </c>
      <c r="AC1253" s="28">
        <v>0.92</v>
      </c>
      <c r="AD1253" s="26">
        <v>0.99885844748858399</v>
      </c>
      <c r="AE1253" s="26">
        <v>0.99824330259112903</v>
      </c>
      <c r="AF1253" s="26">
        <v>0.995947098976109</v>
      </c>
      <c r="AG1253" s="26">
        <v>0.99820186438271896</v>
      </c>
      <c r="AH1253" s="28">
        <v>0.92</v>
      </c>
      <c r="AI1253" s="26">
        <v>0.95433092726263202</v>
      </c>
      <c r="AJ1253" s="26">
        <v>0.96937075483788304</v>
      </c>
      <c r="AK1253" s="26">
        <v>0.96745623069000997</v>
      </c>
      <c r="AL1253" s="26">
        <v>0.95051823933234603</v>
      </c>
      <c r="AM1253" s="25">
        <v>0.99</v>
      </c>
      <c r="AN1253" s="30">
        <v>1</v>
      </c>
      <c r="AO1253" s="30">
        <v>1</v>
      </c>
      <c r="AP1253" s="30">
        <v>1</v>
      </c>
      <c r="AQ1253" s="30">
        <v>1</v>
      </c>
      <c r="AR1253" s="50">
        <v>7.2186152540827803E-2</v>
      </c>
      <c r="AS1253" s="34">
        <v>6.6666666666666693E-2</v>
      </c>
      <c r="AT1253" s="34">
        <v>0</v>
      </c>
      <c r="AU1253" s="34">
        <v>0.04</v>
      </c>
      <c r="AV1253" s="34">
        <v>0.03</v>
      </c>
      <c r="AW1253" s="10"/>
      <c r="AX1253" s="8"/>
    </row>
    <row r="1254" spans="1:50">
      <c r="A1254" s="7"/>
      <c r="B1254" s="10"/>
      <c r="C1254" s="45" t="s">
        <v>1100</v>
      </c>
      <c r="D1254" s="23" t="s">
        <v>25</v>
      </c>
      <c r="E1254" s="83" t="s">
        <v>1298</v>
      </c>
      <c r="F1254" s="83" t="s">
        <v>1298</v>
      </c>
      <c r="G1254" s="83" t="s">
        <v>1298</v>
      </c>
      <c r="H1254" s="83" t="s">
        <v>1298</v>
      </c>
      <c r="I1254" s="25">
        <v>0.9</v>
      </c>
      <c r="J1254" s="26">
        <v>1</v>
      </c>
      <c r="K1254" s="26">
        <v>1</v>
      </c>
      <c r="L1254" s="27">
        <v>0.96428571428571397</v>
      </c>
      <c r="M1254" s="26">
        <v>0.99484536082474195</v>
      </c>
      <c r="N1254" s="28">
        <v>0.9</v>
      </c>
      <c r="O1254" s="26">
        <v>0.97527100271002698</v>
      </c>
      <c r="P1254" s="26">
        <v>0.98269785325216297</v>
      </c>
      <c r="Q1254" s="26">
        <v>0.97621681415929196</v>
      </c>
      <c r="R1254" s="26">
        <v>0.97600317313413099</v>
      </c>
      <c r="S1254" s="28">
        <v>0.9</v>
      </c>
      <c r="T1254" s="26">
        <v>0.92818428184281798</v>
      </c>
      <c r="U1254" s="26">
        <v>0.93015059275873102</v>
      </c>
      <c r="V1254" s="26">
        <v>0.92865044247787598</v>
      </c>
      <c r="W1254" s="26">
        <v>0.91035896079857204</v>
      </c>
      <c r="X1254" s="28">
        <v>0.92</v>
      </c>
      <c r="Y1254" s="28">
        <v>0.94107452339688002</v>
      </c>
      <c r="Z1254" s="28">
        <v>0.97172619047619002</v>
      </c>
      <c r="AA1254" s="28">
        <v>0.958620689655172</v>
      </c>
      <c r="AB1254" s="28">
        <v>0.93723252496433695</v>
      </c>
      <c r="AC1254" s="28">
        <v>0.92</v>
      </c>
      <c r="AD1254" s="26">
        <v>0.99301350721937598</v>
      </c>
      <c r="AE1254" s="26">
        <v>0.99373346330594603</v>
      </c>
      <c r="AF1254" s="26">
        <v>0.994856312199486</v>
      </c>
      <c r="AG1254" s="26">
        <v>0.99454806312768995</v>
      </c>
      <c r="AH1254" s="28">
        <v>0.92</v>
      </c>
      <c r="AI1254" s="26">
        <v>0.96657223796033997</v>
      </c>
      <c r="AJ1254" s="26">
        <v>0.98022673345636702</v>
      </c>
      <c r="AK1254" s="26">
        <v>0.97275957362810905</v>
      </c>
      <c r="AL1254" s="26">
        <v>0.96146621585359304</v>
      </c>
      <c r="AM1254" s="25">
        <v>0.99</v>
      </c>
      <c r="AN1254" s="30">
        <v>1</v>
      </c>
      <c r="AO1254" s="30">
        <v>1</v>
      </c>
      <c r="AP1254" s="30">
        <v>1</v>
      </c>
      <c r="AQ1254" s="30">
        <v>1</v>
      </c>
      <c r="AR1254" s="50">
        <v>7.2186152540827803E-2</v>
      </c>
      <c r="AS1254" s="34">
        <v>0</v>
      </c>
      <c r="AT1254" s="34">
        <v>0</v>
      </c>
      <c r="AU1254" s="34">
        <v>0.14285714285714299</v>
      </c>
      <c r="AV1254" s="34">
        <v>0.04</v>
      </c>
      <c r="AW1254" s="10"/>
      <c r="AX1254" s="8"/>
    </row>
    <row r="1255" spans="1:50">
      <c r="A1255" s="7"/>
      <c r="B1255" s="10"/>
      <c r="C1255" s="45" t="s">
        <v>1100</v>
      </c>
      <c r="D1255" s="23" t="s">
        <v>25</v>
      </c>
      <c r="E1255" s="83" t="s">
        <v>1299</v>
      </c>
      <c r="F1255" s="83" t="s">
        <v>1299</v>
      </c>
      <c r="G1255" s="83" t="s">
        <v>1299</v>
      </c>
      <c r="H1255" s="83" t="s">
        <v>1299</v>
      </c>
      <c r="I1255" s="25">
        <v>0.9</v>
      </c>
      <c r="J1255" s="26">
        <v>0.95384615384615401</v>
      </c>
      <c r="K1255" s="26">
        <v>0.97142857142857097</v>
      </c>
      <c r="L1255" s="27">
        <v>0.9</v>
      </c>
      <c r="M1255" s="26">
        <v>0.93882978723404298</v>
      </c>
      <c r="N1255" s="28">
        <v>0.9</v>
      </c>
      <c r="O1255" s="26">
        <v>0.95461854564945503</v>
      </c>
      <c r="P1255" s="26">
        <v>0.95098039215686303</v>
      </c>
      <c r="Q1255" s="26">
        <v>0.94702176403207305</v>
      </c>
      <c r="R1255" s="26">
        <v>0.95514565064005597</v>
      </c>
      <c r="S1255" s="28">
        <v>0.9</v>
      </c>
      <c r="T1255" s="26">
        <v>0.89333571556190805</v>
      </c>
      <c r="U1255" s="26">
        <v>0.90336134453781503</v>
      </c>
      <c r="V1255" s="26">
        <v>0.91609392898052699</v>
      </c>
      <c r="W1255" s="26">
        <v>0.90162282028021401</v>
      </c>
      <c r="X1255" s="28">
        <v>0.92</v>
      </c>
      <c r="Y1255" s="28">
        <v>0.91021126760563398</v>
      </c>
      <c r="Z1255" s="28">
        <v>0.92736610418195198</v>
      </c>
      <c r="AA1255" s="28">
        <v>0.93373901284651795</v>
      </c>
      <c r="AB1255" s="28">
        <v>0.92185487333619598</v>
      </c>
      <c r="AC1255" s="28">
        <v>0.92</v>
      </c>
      <c r="AD1255" s="26">
        <v>0.99142064092858995</v>
      </c>
      <c r="AE1255" s="26">
        <v>0.98578519855595703</v>
      </c>
      <c r="AF1255" s="26">
        <v>0.99334774654914304</v>
      </c>
      <c r="AG1255" s="26">
        <v>0.98813986177814195</v>
      </c>
      <c r="AH1255" s="28">
        <v>0.92</v>
      </c>
      <c r="AI1255" s="26">
        <v>0.95574038318728605</v>
      </c>
      <c r="AJ1255" s="26">
        <v>0.96430864039029396</v>
      </c>
      <c r="AK1255" s="26">
        <v>0.96077248038623997</v>
      </c>
      <c r="AL1255" s="26">
        <v>0.959811710927296</v>
      </c>
      <c r="AM1255" s="25">
        <v>0.99</v>
      </c>
      <c r="AN1255" s="30">
        <v>1</v>
      </c>
      <c r="AO1255" s="30">
        <v>1</v>
      </c>
      <c r="AP1255" s="30">
        <v>1</v>
      </c>
      <c r="AQ1255" s="30">
        <v>1</v>
      </c>
      <c r="AR1255" s="50">
        <v>7.2186152540827803E-2</v>
      </c>
      <c r="AS1255" s="34">
        <v>-3.4482758620689703E-2</v>
      </c>
      <c r="AT1255" s="34">
        <v>7.1428571428571397E-2</v>
      </c>
      <c r="AU1255" s="34">
        <v>0</v>
      </c>
      <c r="AV1255" s="34">
        <v>0</v>
      </c>
      <c r="AW1255" s="10"/>
      <c r="AX1255" s="8"/>
    </row>
    <row r="1256" spans="1:50">
      <c r="A1256" s="7"/>
      <c r="B1256" s="10"/>
      <c r="C1256" s="45" t="s">
        <v>1100</v>
      </c>
      <c r="D1256" s="23" t="s">
        <v>25</v>
      </c>
      <c r="E1256" s="83" t="s">
        <v>1300</v>
      </c>
      <c r="F1256" s="83" t="s">
        <v>1300</v>
      </c>
      <c r="G1256" s="83" t="s">
        <v>1300</v>
      </c>
      <c r="H1256" s="83" t="s">
        <v>1300</v>
      </c>
      <c r="I1256" s="25">
        <v>0.9</v>
      </c>
      <c r="J1256" s="26">
        <v>0</v>
      </c>
      <c r="K1256" s="26">
        <v>0</v>
      </c>
      <c r="L1256" s="27">
        <v>0</v>
      </c>
      <c r="M1256" s="26">
        <v>0</v>
      </c>
      <c r="N1256" s="28">
        <v>0.9</v>
      </c>
      <c r="O1256" s="26">
        <v>0.5</v>
      </c>
      <c r="P1256" s="26">
        <v>0</v>
      </c>
      <c r="Q1256" s="26">
        <v>1</v>
      </c>
      <c r="R1256" s="26">
        <v>0.9</v>
      </c>
      <c r="S1256" s="28">
        <v>0.9</v>
      </c>
      <c r="T1256" s="26">
        <v>1</v>
      </c>
      <c r="U1256" s="26">
        <v>0</v>
      </c>
      <c r="V1256" s="26">
        <v>0.66666666666666696</v>
      </c>
      <c r="W1256" s="26">
        <v>0.9</v>
      </c>
      <c r="X1256" s="28">
        <v>0.92</v>
      </c>
      <c r="Y1256" s="28">
        <v>0</v>
      </c>
      <c r="Z1256" s="28">
        <v>0</v>
      </c>
      <c r="AA1256" s="28">
        <v>0</v>
      </c>
      <c r="AB1256" s="28">
        <v>0</v>
      </c>
      <c r="AC1256" s="28">
        <v>0.92</v>
      </c>
      <c r="AD1256" s="26">
        <v>0.982420603342256</v>
      </c>
      <c r="AE1256" s="26">
        <v>0.988293845506799</v>
      </c>
      <c r="AF1256" s="26">
        <v>0.98686679174484004</v>
      </c>
      <c r="AG1256" s="26">
        <v>0.98202629737548397</v>
      </c>
      <c r="AH1256" s="28">
        <v>0.92</v>
      </c>
      <c r="AI1256" s="26">
        <v>1</v>
      </c>
      <c r="AJ1256" s="26">
        <v>0</v>
      </c>
      <c r="AK1256" s="26">
        <v>0.75</v>
      </c>
      <c r="AL1256" s="26">
        <v>0.92857142857142905</v>
      </c>
      <c r="AM1256" s="25">
        <v>0.99</v>
      </c>
      <c r="AN1256" s="30">
        <v>1</v>
      </c>
      <c r="AO1256" s="30">
        <v>1</v>
      </c>
      <c r="AP1256" s="30">
        <v>1</v>
      </c>
      <c r="AQ1256" s="30">
        <v>1</v>
      </c>
      <c r="AR1256" s="50">
        <v>7.2186152540827803E-2</v>
      </c>
      <c r="AS1256" s="34">
        <v>0</v>
      </c>
      <c r="AT1256" s="34">
        <v>0</v>
      </c>
      <c r="AU1256" s="34">
        <v>0</v>
      </c>
      <c r="AV1256" s="34">
        <v>0</v>
      </c>
      <c r="AW1256" s="10"/>
      <c r="AX1256" s="8"/>
    </row>
    <row r="1257" spans="1:50">
      <c r="A1257" s="7"/>
      <c r="B1257" s="10"/>
      <c r="C1257" s="45" t="s">
        <v>1100</v>
      </c>
      <c r="D1257" s="23" t="s">
        <v>25</v>
      </c>
      <c r="E1257" s="83" t="s">
        <v>1301</v>
      </c>
      <c r="F1257" s="83" t="s">
        <v>1301</v>
      </c>
      <c r="G1257" s="83" t="s">
        <v>1301</v>
      </c>
      <c r="H1257" s="83" t="s">
        <v>1301</v>
      </c>
      <c r="I1257" s="25">
        <v>0.9</v>
      </c>
      <c r="J1257" s="26">
        <v>0.97435897435897401</v>
      </c>
      <c r="K1257" s="26">
        <v>0.94736842105263197</v>
      </c>
      <c r="L1257" s="27">
        <v>0.96969696969696995</v>
      </c>
      <c r="M1257" s="26">
        <v>0.96244131455399096</v>
      </c>
      <c r="N1257" s="28">
        <v>0.9</v>
      </c>
      <c r="O1257" s="26">
        <v>0.99493189737092202</v>
      </c>
      <c r="P1257" s="26">
        <v>0.99202127659574502</v>
      </c>
      <c r="Q1257" s="26">
        <v>0.98963193364437496</v>
      </c>
      <c r="R1257" s="26">
        <v>0.98875295974743505</v>
      </c>
      <c r="S1257" s="28">
        <v>0.9</v>
      </c>
      <c r="T1257" s="26">
        <v>0.97370921761165696</v>
      </c>
      <c r="U1257" s="26">
        <v>0.95554711246200597</v>
      </c>
      <c r="V1257" s="26">
        <v>0.959564541213064</v>
      </c>
      <c r="W1257" s="26">
        <v>0.9672454617206</v>
      </c>
      <c r="X1257" s="28">
        <v>0.92</v>
      </c>
      <c r="Y1257" s="28">
        <v>0.97184986595174305</v>
      </c>
      <c r="Z1257" s="28">
        <v>0.97364953886692995</v>
      </c>
      <c r="AA1257" s="28">
        <v>0.97089947089947104</v>
      </c>
      <c r="AB1257" s="28">
        <v>0.97433786194593097</v>
      </c>
      <c r="AC1257" s="28">
        <v>0.92</v>
      </c>
      <c r="AD1257" s="26">
        <v>0.99812617114303603</v>
      </c>
      <c r="AE1257" s="26">
        <v>0.99703966844286596</v>
      </c>
      <c r="AF1257" s="26">
        <v>0.99515905947441197</v>
      </c>
      <c r="AG1257" s="26">
        <v>0.99547427726978899</v>
      </c>
      <c r="AH1257" s="28">
        <v>0.92</v>
      </c>
      <c r="AI1257" s="26">
        <v>0.98451279845128004</v>
      </c>
      <c r="AJ1257" s="26">
        <v>0.97952300650445701</v>
      </c>
      <c r="AK1257" s="26">
        <v>0.97541899441340796</v>
      </c>
      <c r="AL1257" s="26">
        <v>0.98319775970129397</v>
      </c>
      <c r="AM1257" s="25">
        <v>0.99</v>
      </c>
      <c r="AN1257" s="30">
        <v>1</v>
      </c>
      <c r="AO1257" s="30">
        <v>1</v>
      </c>
      <c r="AP1257" s="30">
        <v>1</v>
      </c>
      <c r="AQ1257" s="30">
        <v>1</v>
      </c>
      <c r="AR1257" s="50">
        <v>7.2186152540827803E-2</v>
      </c>
      <c r="AS1257" s="34">
        <v>0</v>
      </c>
      <c r="AT1257" s="34">
        <v>0</v>
      </c>
      <c r="AU1257" s="34">
        <v>0</v>
      </c>
      <c r="AV1257" s="34">
        <v>4.2857142857142899E-2</v>
      </c>
      <c r="AW1257" s="10"/>
      <c r="AX1257" s="8"/>
    </row>
    <row r="1258" spans="1:50">
      <c r="A1258" s="7"/>
      <c r="B1258" s="10"/>
      <c r="C1258" s="45" t="s">
        <v>1100</v>
      </c>
      <c r="D1258" s="23" t="s">
        <v>25</v>
      </c>
      <c r="E1258" s="83" t="s">
        <v>1302</v>
      </c>
      <c r="F1258" s="83" t="s">
        <v>1302</v>
      </c>
      <c r="G1258" s="83" t="s">
        <v>1302</v>
      </c>
      <c r="H1258" s="83" t="s">
        <v>1302</v>
      </c>
      <c r="I1258" s="25">
        <v>0.9</v>
      </c>
      <c r="J1258" s="26">
        <v>0.95652173913043503</v>
      </c>
      <c r="K1258" s="26">
        <v>0.93023255813953498</v>
      </c>
      <c r="L1258" s="27">
        <v>0.9375</v>
      </c>
      <c r="M1258" s="26">
        <v>0.94042553191489398</v>
      </c>
      <c r="N1258" s="28">
        <v>0.9</v>
      </c>
      <c r="O1258" s="26">
        <v>0.96500413337007396</v>
      </c>
      <c r="P1258" s="26">
        <v>0.98985602094240799</v>
      </c>
      <c r="Q1258" s="26">
        <v>0.99140271493212695</v>
      </c>
      <c r="R1258" s="26">
        <v>0.98509508309062899</v>
      </c>
      <c r="S1258" s="28">
        <v>0.9</v>
      </c>
      <c r="T1258" s="26">
        <v>0.92201708459630705</v>
      </c>
      <c r="U1258" s="26">
        <v>0.93880890052356003</v>
      </c>
      <c r="V1258" s="26">
        <v>0.94072398190045203</v>
      </c>
      <c r="W1258" s="26">
        <v>0.93741077037290799</v>
      </c>
      <c r="X1258" s="28">
        <v>0.92</v>
      </c>
      <c r="Y1258" s="28">
        <v>0.95486935866983402</v>
      </c>
      <c r="Z1258" s="28">
        <v>0.96730083234244901</v>
      </c>
      <c r="AA1258" s="28">
        <v>0.95896328293736499</v>
      </c>
      <c r="AB1258" s="28">
        <v>0.96047526673132899</v>
      </c>
      <c r="AC1258" s="28">
        <v>0.92</v>
      </c>
      <c r="AD1258" s="26">
        <v>0.99933333333333296</v>
      </c>
      <c r="AE1258" s="26">
        <v>0.99607072691552101</v>
      </c>
      <c r="AF1258" s="26">
        <v>0.99920127795527203</v>
      </c>
      <c r="AG1258" s="26">
        <v>0.99874613391289802</v>
      </c>
      <c r="AH1258" s="28">
        <v>0.92</v>
      </c>
      <c r="AI1258" s="26">
        <v>0.97571993224167097</v>
      </c>
      <c r="AJ1258" s="26">
        <v>0.97615027437737401</v>
      </c>
      <c r="AK1258" s="26">
        <v>0.97831632653061196</v>
      </c>
      <c r="AL1258" s="26">
        <v>0.97745002910925705</v>
      </c>
      <c r="AM1258" s="25">
        <v>0.99</v>
      </c>
      <c r="AN1258" s="30">
        <v>1</v>
      </c>
      <c r="AO1258" s="30">
        <v>1</v>
      </c>
      <c r="AP1258" s="30">
        <v>1</v>
      </c>
      <c r="AQ1258" s="30">
        <v>1</v>
      </c>
      <c r="AR1258" s="50">
        <v>7.2186152540827803E-2</v>
      </c>
      <c r="AS1258" s="34">
        <v>-5.2631578947368397E-2</v>
      </c>
      <c r="AT1258" s="34">
        <v>0</v>
      </c>
      <c r="AU1258" s="34">
        <v>0.1</v>
      </c>
      <c r="AV1258" s="34">
        <v>4.3478260869565202E-2</v>
      </c>
      <c r="AW1258" s="10"/>
      <c r="AX1258" s="8"/>
    </row>
    <row r="1259" spans="1:50">
      <c r="A1259" s="7"/>
      <c r="B1259" s="10"/>
      <c r="C1259" s="45" t="s">
        <v>1100</v>
      </c>
      <c r="D1259" s="23" t="s">
        <v>25</v>
      </c>
      <c r="E1259" s="83" t="s">
        <v>1303</v>
      </c>
      <c r="F1259" s="83" t="s">
        <v>1303</v>
      </c>
      <c r="G1259" s="83" t="s">
        <v>1303</v>
      </c>
      <c r="H1259" s="83" t="s">
        <v>1303</v>
      </c>
      <c r="I1259" s="25">
        <v>0.9</v>
      </c>
      <c r="J1259" s="26">
        <v>0.9375</v>
      </c>
      <c r="K1259" s="26">
        <v>0.93023255813953498</v>
      </c>
      <c r="L1259" s="27">
        <v>0.91428571428571404</v>
      </c>
      <c r="M1259" s="26">
        <v>0.90157480314960603</v>
      </c>
      <c r="N1259" s="28">
        <v>0.9</v>
      </c>
      <c r="O1259" s="26">
        <v>0.98163693599160595</v>
      </c>
      <c r="P1259" s="26">
        <v>0.98078115313081204</v>
      </c>
      <c r="Q1259" s="26">
        <v>0.97369614512471703</v>
      </c>
      <c r="R1259" s="26">
        <v>0.96740789186832399</v>
      </c>
      <c r="S1259" s="28">
        <v>0.9</v>
      </c>
      <c r="T1259" s="26">
        <v>0.93258132214060896</v>
      </c>
      <c r="U1259" s="26">
        <v>0.92746435213887202</v>
      </c>
      <c r="V1259" s="26">
        <v>0.92653061224489797</v>
      </c>
      <c r="W1259" s="26">
        <v>0.93312622629169395</v>
      </c>
      <c r="X1259" s="28">
        <v>0.92</v>
      </c>
      <c r="Y1259" s="28">
        <v>0.93879781420764996</v>
      </c>
      <c r="Z1259" s="28">
        <v>0.94912472647702395</v>
      </c>
      <c r="AA1259" s="28">
        <v>0.93346774193548399</v>
      </c>
      <c r="AB1259" s="28">
        <v>0.94422927962819503</v>
      </c>
      <c r="AC1259" s="28">
        <v>0.92</v>
      </c>
      <c r="AD1259" s="26">
        <v>0.99705362404242803</v>
      </c>
      <c r="AE1259" s="26">
        <v>0.99923076923076903</v>
      </c>
      <c r="AF1259" s="26">
        <v>0.99936568347605503</v>
      </c>
      <c r="AG1259" s="26">
        <v>0.99906187543337299</v>
      </c>
      <c r="AH1259" s="28">
        <v>0.92</v>
      </c>
      <c r="AI1259" s="26">
        <v>0.96491849751948999</v>
      </c>
      <c r="AJ1259" s="26">
        <v>0.96735905044510395</v>
      </c>
      <c r="AK1259" s="26">
        <v>0.96340319049108503</v>
      </c>
      <c r="AL1259" s="26">
        <v>0.96857090709983595</v>
      </c>
      <c r="AM1259" s="25">
        <v>0.99</v>
      </c>
      <c r="AN1259" s="30">
        <v>1</v>
      </c>
      <c r="AO1259" s="30">
        <v>1</v>
      </c>
      <c r="AP1259" s="30">
        <v>1</v>
      </c>
      <c r="AQ1259" s="30">
        <v>1</v>
      </c>
      <c r="AR1259" s="50">
        <v>7.2186152540827803E-2</v>
      </c>
      <c r="AS1259" s="34">
        <v>0</v>
      </c>
      <c r="AT1259" s="34">
        <v>7.69230769230769E-2</v>
      </c>
      <c r="AU1259" s="34">
        <v>0</v>
      </c>
      <c r="AV1259" s="34">
        <v>2.5974025974026E-2</v>
      </c>
      <c r="AW1259" s="10"/>
      <c r="AX1259" s="8"/>
    </row>
    <row r="1260" spans="1:50">
      <c r="A1260" s="7"/>
      <c r="B1260" s="10"/>
      <c r="C1260" s="45" t="s">
        <v>1100</v>
      </c>
      <c r="D1260" s="23" t="s">
        <v>25</v>
      </c>
      <c r="E1260" s="83" t="s">
        <v>1304</v>
      </c>
      <c r="F1260" s="83" t="s">
        <v>1304</v>
      </c>
      <c r="G1260" s="83" t="s">
        <v>1304</v>
      </c>
      <c r="H1260" s="83" t="s">
        <v>1304</v>
      </c>
      <c r="I1260" s="25">
        <v>0.9</v>
      </c>
      <c r="J1260" s="26">
        <v>0.90476190476190499</v>
      </c>
      <c r="K1260" s="26">
        <v>0.90909090909090895</v>
      </c>
      <c r="L1260" s="27">
        <v>0.91176470588235303</v>
      </c>
      <c r="M1260" s="26">
        <v>0.92050209205020905</v>
      </c>
      <c r="N1260" s="28">
        <v>0.9</v>
      </c>
      <c r="O1260" s="26">
        <v>0.94952408422267098</v>
      </c>
      <c r="P1260" s="26">
        <v>0.98717059639389704</v>
      </c>
      <c r="Q1260" s="26">
        <v>0.98650051921079995</v>
      </c>
      <c r="R1260" s="26">
        <v>0.97756751676170195</v>
      </c>
      <c r="S1260" s="28">
        <v>0.9</v>
      </c>
      <c r="T1260" s="26">
        <v>0.96279203922699697</v>
      </c>
      <c r="U1260" s="26">
        <v>0.96844660194174803</v>
      </c>
      <c r="V1260" s="26">
        <v>0.96002076843198303</v>
      </c>
      <c r="W1260" s="26">
        <v>0.96491008208534401</v>
      </c>
      <c r="X1260" s="28">
        <v>0.92</v>
      </c>
      <c r="Y1260" s="28">
        <v>0.96716417910447805</v>
      </c>
      <c r="Z1260" s="28">
        <v>0.967096774193548</v>
      </c>
      <c r="AA1260" s="28">
        <v>0.96313912009512503</v>
      </c>
      <c r="AB1260" s="28">
        <v>0.967393999504091</v>
      </c>
      <c r="AC1260" s="28">
        <v>0.92</v>
      </c>
      <c r="AD1260" s="26">
        <v>0.99732977303070802</v>
      </c>
      <c r="AE1260" s="26">
        <v>0.99869791666666696</v>
      </c>
      <c r="AF1260" s="26">
        <v>0.99820143884892099</v>
      </c>
      <c r="AG1260" s="26">
        <v>0.99725839616175505</v>
      </c>
      <c r="AH1260" s="28">
        <v>0.92</v>
      </c>
      <c r="AI1260" s="26">
        <v>0.97841306884480705</v>
      </c>
      <c r="AJ1260" s="26">
        <v>0.97925124041497502</v>
      </c>
      <c r="AK1260" s="26">
        <v>0.97940007228044801</v>
      </c>
      <c r="AL1260" s="26">
        <v>0.97973788225504499</v>
      </c>
      <c r="AM1260" s="25">
        <v>0.99</v>
      </c>
      <c r="AN1260" s="30">
        <v>1</v>
      </c>
      <c r="AO1260" s="30">
        <v>1</v>
      </c>
      <c r="AP1260" s="30">
        <v>1</v>
      </c>
      <c r="AQ1260" s="30">
        <v>1</v>
      </c>
      <c r="AR1260" s="50">
        <v>7.2186152540827803E-2</v>
      </c>
      <c r="AS1260" s="34">
        <v>0</v>
      </c>
      <c r="AT1260" s="34">
        <v>0</v>
      </c>
      <c r="AU1260" s="34">
        <v>0.11111111111111099</v>
      </c>
      <c r="AV1260" s="34">
        <v>3.5087719298245598E-2</v>
      </c>
      <c r="AW1260" s="10"/>
      <c r="AX1260" s="8"/>
    </row>
    <row r="1261" spans="1:50">
      <c r="A1261" s="7"/>
      <c r="B1261" s="10"/>
      <c r="C1261" s="45" t="s">
        <v>1100</v>
      </c>
      <c r="D1261" s="23" t="s">
        <v>25</v>
      </c>
      <c r="E1261" s="83" t="s">
        <v>1305</v>
      </c>
      <c r="F1261" s="83" t="s">
        <v>1305</v>
      </c>
      <c r="G1261" s="83" t="s">
        <v>1305</v>
      </c>
      <c r="H1261" s="83" t="s">
        <v>1305</v>
      </c>
      <c r="I1261" s="25">
        <v>0.9</v>
      </c>
      <c r="J1261" s="26">
        <v>0.96296296296296302</v>
      </c>
      <c r="K1261" s="26">
        <v>0.96551724137931005</v>
      </c>
      <c r="L1261" s="27">
        <v>0.91304347826086996</v>
      </c>
      <c r="M1261" s="26">
        <v>0.96226415094339601</v>
      </c>
      <c r="N1261" s="28">
        <v>0.9</v>
      </c>
      <c r="O1261" s="26">
        <v>0.98373626373626399</v>
      </c>
      <c r="P1261" s="26">
        <v>0.99040404040403995</v>
      </c>
      <c r="Q1261" s="26">
        <v>0.98693759071117604</v>
      </c>
      <c r="R1261" s="26">
        <v>0.98784306502118302</v>
      </c>
      <c r="S1261" s="28">
        <v>0.9</v>
      </c>
      <c r="T1261" s="26">
        <v>0.95956043956044001</v>
      </c>
      <c r="U1261" s="26">
        <v>0.96161616161616204</v>
      </c>
      <c r="V1261" s="26">
        <v>0.95718432510885298</v>
      </c>
      <c r="W1261" s="26">
        <v>0.96058205931110696</v>
      </c>
      <c r="X1261" s="28">
        <v>0.92</v>
      </c>
      <c r="Y1261" s="28">
        <v>0.96428571428571397</v>
      </c>
      <c r="Z1261" s="28">
        <v>0.96471774193548399</v>
      </c>
      <c r="AA1261" s="28">
        <v>0.94435351882160401</v>
      </c>
      <c r="AB1261" s="28">
        <v>0.96234939759036098</v>
      </c>
      <c r="AC1261" s="28">
        <v>0.92</v>
      </c>
      <c r="AD1261" s="26">
        <v>0.99786063569682104</v>
      </c>
      <c r="AE1261" s="26">
        <v>0.99685138539042795</v>
      </c>
      <c r="AF1261" s="26">
        <v>0.99389830508474597</v>
      </c>
      <c r="AG1261" s="26">
        <v>0.99612684580004796</v>
      </c>
      <c r="AH1261" s="28">
        <v>0.92</v>
      </c>
      <c r="AI1261" s="26">
        <v>0.97980397980398004</v>
      </c>
      <c r="AJ1261" s="26">
        <v>0.97981157469717395</v>
      </c>
      <c r="AK1261" s="26">
        <v>0.96983408748114597</v>
      </c>
      <c r="AL1261" s="26">
        <v>0.97730645560227603</v>
      </c>
      <c r="AM1261" s="25">
        <v>0.99</v>
      </c>
      <c r="AN1261" s="30">
        <v>1</v>
      </c>
      <c r="AO1261" s="30">
        <v>1</v>
      </c>
      <c r="AP1261" s="30">
        <v>1</v>
      </c>
      <c r="AQ1261" s="30">
        <v>1</v>
      </c>
      <c r="AR1261" s="50">
        <v>7.2186152540827803E-2</v>
      </c>
      <c r="AS1261" s="34">
        <v>0</v>
      </c>
      <c r="AT1261" s="34">
        <v>0</v>
      </c>
      <c r="AU1261" s="34">
        <v>0</v>
      </c>
      <c r="AV1261" s="34">
        <v>-3.5087719298245598E-2</v>
      </c>
      <c r="AW1261" s="10"/>
      <c r="AX1261" s="8"/>
    </row>
    <row r="1262" spans="1:50">
      <c r="A1262" s="7"/>
      <c r="B1262" s="10"/>
      <c r="C1262" s="45" t="s">
        <v>1100</v>
      </c>
      <c r="D1262" s="23" t="s">
        <v>25</v>
      </c>
      <c r="E1262" s="83" t="s">
        <v>1306</v>
      </c>
      <c r="F1262" s="83" t="s">
        <v>1306</v>
      </c>
      <c r="G1262" s="83" t="s">
        <v>1306</v>
      </c>
      <c r="H1262" s="83" t="s">
        <v>1306</v>
      </c>
      <c r="I1262" s="25">
        <v>0.9</v>
      </c>
      <c r="J1262" s="26">
        <v>0.95348837209302295</v>
      </c>
      <c r="K1262" s="26">
        <v>0.97499999999999998</v>
      </c>
      <c r="L1262" s="27">
        <v>0.91176470588235303</v>
      </c>
      <c r="M1262" s="26">
        <v>0.93506493506493504</v>
      </c>
      <c r="N1262" s="28">
        <v>0.9</v>
      </c>
      <c r="O1262" s="26">
        <v>0.95102293862368303</v>
      </c>
      <c r="P1262" s="26">
        <v>0.96201074443591705</v>
      </c>
      <c r="Q1262" s="26">
        <v>0.94561598224195298</v>
      </c>
      <c r="R1262" s="26">
        <v>0.955094991364421</v>
      </c>
      <c r="S1262" s="28">
        <v>0.9</v>
      </c>
      <c r="T1262" s="26">
        <v>0.97520148791072503</v>
      </c>
      <c r="U1262" s="26">
        <v>0.97659247889485801</v>
      </c>
      <c r="V1262" s="26">
        <v>0.96836847946725901</v>
      </c>
      <c r="W1262" s="26">
        <v>0.97309685133519297</v>
      </c>
      <c r="X1262" s="28">
        <v>0.92</v>
      </c>
      <c r="Y1262" s="28">
        <v>0.97299077733860295</v>
      </c>
      <c r="Z1262" s="28">
        <v>0.96922069417157797</v>
      </c>
      <c r="AA1262" s="28">
        <v>0.97391304347826102</v>
      </c>
      <c r="AB1262" s="28">
        <v>0.96877480815030403</v>
      </c>
      <c r="AC1262" s="28">
        <v>0.92</v>
      </c>
      <c r="AD1262" s="26">
        <v>0.99970220369267404</v>
      </c>
      <c r="AE1262" s="26">
        <v>0.99455930359085998</v>
      </c>
      <c r="AF1262" s="26">
        <v>0.994422004231583</v>
      </c>
      <c r="AG1262" s="26">
        <v>0.99648770697441003</v>
      </c>
      <c r="AH1262" s="28">
        <v>0.92</v>
      </c>
      <c r="AI1262" s="26">
        <v>0.98376897133220897</v>
      </c>
      <c r="AJ1262" s="26">
        <v>0.98257924026131105</v>
      </c>
      <c r="AK1262" s="26">
        <v>0.98082086689681602</v>
      </c>
      <c r="AL1262" s="26">
        <v>0.98262292182525601</v>
      </c>
      <c r="AM1262" s="25">
        <v>0.99</v>
      </c>
      <c r="AN1262" s="30">
        <v>1</v>
      </c>
      <c r="AO1262" s="30">
        <v>1</v>
      </c>
      <c r="AP1262" s="30">
        <v>1</v>
      </c>
      <c r="AQ1262" s="30">
        <v>1</v>
      </c>
      <c r="AR1262" s="50">
        <v>7.2186152540827803E-2</v>
      </c>
      <c r="AS1262" s="34">
        <v>0</v>
      </c>
      <c r="AT1262" s="34">
        <v>0</v>
      </c>
      <c r="AU1262" s="34">
        <v>0</v>
      </c>
      <c r="AV1262" s="34">
        <v>4.1666666666666699E-2</v>
      </c>
      <c r="AW1262" s="10"/>
      <c r="AX1262" s="8"/>
    </row>
    <row r="1263" spans="1:50">
      <c r="A1263" s="7"/>
      <c r="B1263" s="10"/>
      <c r="C1263" s="45" t="s">
        <v>1100</v>
      </c>
      <c r="D1263" s="23" t="s">
        <v>25</v>
      </c>
      <c r="E1263" s="83" t="s">
        <v>1307</v>
      </c>
      <c r="F1263" s="83" t="s">
        <v>1307</v>
      </c>
      <c r="G1263" s="83" t="s">
        <v>1307</v>
      </c>
      <c r="H1263" s="83" t="s">
        <v>1307</v>
      </c>
      <c r="I1263" s="25">
        <v>0.9</v>
      </c>
      <c r="J1263" s="26">
        <v>0.97297297297297303</v>
      </c>
      <c r="K1263" s="26">
        <v>0.90625</v>
      </c>
      <c r="L1263" s="27">
        <v>0.86666666666666703</v>
      </c>
      <c r="M1263" s="26">
        <v>0.90147783251231495</v>
      </c>
      <c r="N1263" s="28">
        <v>0.9</v>
      </c>
      <c r="O1263" s="26">
        <v>0.98883572567783096</v>
      </c>
      <c r="P1263" s="26">
        <v>0.98815437523882299</v>
      </c>
      <c r="Q1263" s="26">
        <v>0.98480420806545899</v>
      </c>
      <c r="R1263" s="26">
        <v>0.97955506272090898</v>
      </c>
      <c r="S1263" s="28">
        <v>0.9</v>
      </c>
      <c r="T1263" s="26">
        <v>0.96905901116427395</v>
      </c>
      <c r="U1263" s="26">
        <v>0.96713794421092902</v>
      </c>
      <c r="V1263" s="26">
        <v>0.97019286966686102</v>
      </c>
      <c r="W1263" s="26">
        <v>0.96895141728463496</v>
      </c>
      <c r="X1263" s="28">
        <v>0.92</v>
      </c>
      <c r="Y1263" s="28">
        <v>0.96651038178164805</v>
      </c>
      <c r="Z1263" s="28">
        <v>0.97062937062937105</v>
      </c>
      <c r="AA1263" s="28">
        <v>0.97516339869280999</v>
      </c>
      <c r="AB1263" s="28">
        <v>0.95820562830872102</v>
      </c>
      <c r="AC1263" s="28">
        <v>0.92</v>
      </c>
      <c r="AD1263" s="26">
        <v>1</v>
      </c>
      <c r="AE1263" s="26">
        <v>0.99486652977412704</v>
      </c>
      <c r="AF1263" s="26">
        <v>0.97896749521988502</v>
      </c>
      <c r="AG1263" s="26">
        <v>0.99411764705882399</v>
      </c>
      <c r="AH1263" s="28">
        <v>0.92</v>
      </c>
      <c r="AI1263" s="26">
        <v>0.980985306828003</v>
      </c>
      <c r="AJ1263" s="26">
        <v>0.97924901185770796</v>
      </c>
      <c r="AK1263" s="26">
        <v>0.98344103392568705</v>
      </c>
      <c r="AL1263" s="26">
        <v>0.97783638719230104</v>
      </c>
      <c r="AM1263" s="25">
        <v>0.99</v>
      </c>
      <c r="AN1263" s="30">
        <v>1</v>
      </c>
      <c r="AO1263" s="30">
        <v>1</v>
      </c>
      <c r="AP1263" s="30">
        <v>1</v>
      </c>
      <c r="AQ1263" s="30">
        <v>1</v>
      </c>
      <c r="AR1263" s="50">
        <v>7.2186152540827803E-2</v>
      </c>
      <c r="AS1263" s="34">
        <v>0</v>
      </c>
      <c r="AT1263" s="34">
        <v>0</v>
      </c>
      <c r="AU1263" s="34">
        <v>0.27272727272727298</v>
      </c>
      <c r="AV1263" s="34">
        <v>0.05</v>
      </c>
      <c r="AW1263" s="10"/>
      <c r="AX1263" s="8"/>
    </row>
    <row r="1264" spans="1:50">
      <c r="A1264" s="7"/>
      <c r="B1264" s="10"/>
      <c r="C1264" s="45" t="s">
        <v>1100</v>
      </c>
      <c r="D1264" s="23" t="s">
        <v>25</v>
      </c>
      <c r="E1264" s="83" t="s">
        <v>1308</v>
      </c>
      <c r="F1264" s="83" t="s">
        <v>1308</v>
      </c>
      <c r="G1264" s="83" t="s">
        <v>1308</v>
      </c>
      <c r="H1264" s="83" t="s">
        <v>1308</v>
      </c>
      <c r="I1264" s="25">
        <v>0.9</v>
      </c>
      <c r="J1264" s="26">
        <v>0.95</v>
      </c>
      <c r="K1264" s="26">
        <v>0.94736842105263197</v>
      </c>
      <c r="L1264" s="27">
        <v>0.94444444444444398</v>
      </c>
      <c r="M1264" s="26">
        <v>0.94017094017094005</v>
      </c>
      <c r="N1264" s="28">
        <v>0.9</v>
      </c>
      <c r="O1264" s="26">
        <v>0.98851774530271397</v>
      </c>
      <c r="P1264" s="26">
        <v>0.98119122257053304</v>
      </c>
      <c r="Q1264" s="26">
        <v>0.99010791366906503</v>
      </c>
      <c r="R1264" s="26">
        <v>0.98362288370034301</v>
      </c>
      <c r="S1264" s="28">
        <v>0.9</v>
      </c>
      <c r="T1264" s="26">
        <v>0.95615866388309001</v>
      </c>
      <c r="U1264" s="26">
        <v>0.96238244514106597</v>
      </c>
      <c r="V1264" s="26">
        <v>0.972122302158273</v>
      </c>
      <c r="W1264" s="26">
        <v>0.964258050237911</v>
      </c>
      <c r="X1264" s="28">
        <v>0.92</v>
      </c>
      <c r="Y1264" s="28">
        <v>0.97027348394768098</v>
      </c>
      <c r="Z1264" s="28">
        <v>0.97146118721461205</v>
      </c>
      <c r="AA1264" s="28">
        <v>0.96976744186046504</v>
      </c>
      <c r="AB1264" s="28">
        <v>0.97115384615384603</v>
      </c>
      <c r="AC1264" s="28">
        <v>0.92</v>
      </c>
      <c r="AD1264" s="26">
        <v>1</v>
      </c>
      <c r="AE1264" s="26">
        <v>1</v>
      </c>
      <c r="AF1264" s="26">
        <v>0.99722222222222201</v>
      </c>
      <c r="AG1264" s="26">
        <v>0.99901429275505205</v>
      </c>
      <c r="AH1264" s="28">
        <v>0.92</v>
      </c>
      <c r="AI1264" s="26">
        <v>0.97968806673920905</v>
      </c>
      <c r="AJ1264" s="26">
        <v>0.982193443949818</v>
      </c>
      <c r="AK1264" s="26">
        <v>0.98638132295719805</v>
      </c>
      <c r="AL1264" s="26">
        <v>0.98398616645365</v>
      </c>
      <c r="AM1264" s="25">
        <v>0.99</v>
      </c>
      <c r="AN1264" s="30">
        <v>1</v>
      </c>
      <c r="AO1264" s="30">
        <v>1</v>
      </c>
      <c r="AP1264" s="30">
        <v>1</v>
      </c>
      <c r="AQ1264" s="30">
        <v>1</v>
      </c>
      <c r="AR1264" s="50">
        <v>7.2186152540827803E-2</v>
      </c>
      <c r="AS1264" s="34">
        <v>0.11111111111111099</v>
      </c>
      <c r="AT1264" s="34">
        <v>0.33333333333333298</v>
      </c>
      <c r="AU1264" s="34">
        <v>0.25</v>
      </c>
      <c r="AV1264" s="34">
        <v>0.133333333333333</v>
      </c>
      <c r="AW1264" s="10"/>
      <c r="AX1264" s="8"/>
    </row>
    <row r="1265" spans="1:50">
      <c r="A1265" s="7"/>
      <c r="B1265" s="10"/>
      <c r="C1265" s="45" t="s">
        <v>1100</v>
      </c>
      <c r="D1265" s="23" t="s">
        <v>25</v>
      </c>
      <c r="E1265" s="83" t="s">
        <v>1309</v>
      </c>
      <c r="F1265" s="83" t="s">
        <v>1309</v>
      </c>
      <c r="G1265" s="83" t="s">
        <v>1309</v>
      </c>
      <c r="H1265" s="83" t="s">
        <v>1309</v>
      </c>
      <c r="I1265" s="25">
        <v>0.9</v>
      </c>
      <c r="J1265" s="26">
        <v>0.90243902439024404</v>
      </c>
      <c r="K1265" s="26">
        <v>0.81818181818181801</v>
      </c>
      <c r="L1265" s="27">
        <v>0.61764705882352899</v>
      </c>
      <c r="M1265" s="26">
        <v>0.83333333333333304</v>
      </c>
      <c r="N1265" s="28">
        <v>0.9</v>
      </c>
      <c r="O1265" s="26">
        <v>0.93623188405797098</v>
      </c>
      <c r="P1265" s="26">
        <v>0.982947624847747</v>
      </c>
      <c r="Q1265" s="26">
        <v>0.98768077129084098</v>
      </c>
      <c r="R1265" s="26">
        <v>0.96645787027682395</v>
      </c>
      <c r="S1265" s="28">
        <v>0.9</v>
      </c>
      <c r="T1265" s="26">
        <v>0.93526570048309199</v>
      </c>
      <c r="U1265" s="26">
        <v>0.93219650832318302</v>
      </c>
      <c r="V1265" s="26">
        <v>0.91751472951258695</v>
      </c>
      <c r="W1265" s="26">
        <v>0.932848386879504</v>
      </c>
      <c r="X1265" s="28">
        <v>0.92</v>
      </c>
      <c r="Y1265" s="28">
        <v>0.90728945506015601</v>
      </c>
      <c r="Z1265" s="28">
        <v>0.93640810621942705</v>
      </c>
      <c r="AA1265" s="28">
        <v>0.91595615103532302</v>
      </c>
      <c r="AB1265" s="28">
        <v>0.92750826901874295</v>
      </c>
      <c r="AC1265" s="28">
        <v>0.92</v>
      </c>
      <c r="AD1265" s="26">
        <v>1</v>
      </c>
      <c r="AE1265" s="26">
        <v>1</v>
      </c>
      <c r="AF1265" s="26">
        <v>1</v>
      </c>
      <c r="AG1265" s="26">
        <v>1</v>
      </c>
      <c r="AH1265" s="28">
        <v>0.92</v>
      </c>
      <c r="AI1265" s="26">
        <v>0.95418326693227096</v>
      </c>
      <c r="AJ1265" s="26">
        <v>0.96019517205957905</v>
      </c>
      <c r="AK1265" s="26">
        <v>0.95721726190476197</v>
      </c>
      <c r="AL1265" s="26">
        <v>0.962183923644095</v>
      </c>
      <c r="AM1265" s="25">
        <v>0.99</v>
      </c>
      <c r="AN1265" s="30">
        <v>1</v>
      </c>
      <c r="AO1265" s="30">
        <v>1</v>
      </c>
      <c r="AP1265" s="30">
        <v>1</v>
      </c>
      <c r="AQ1265" s="30">
        <v>1</v>
      </c>
      <c r="AR1265" s="50">
        <v>7.2186152540827803E-2</v>
      </c>
      <c r="AS1265" s="34">
        <v>0</v>
      </c>
      <c r="AT1265" s="34">
        <v>0</v>
      </c>
      <c r="AU1265" s="34">
        <v>0</v>
      </c>
      <c r="AV1265" s="34">
        <v>4.3478260869565202E-2</v>
      </c>
      <c r="AW1265" s="10"/>
      <c r="AX1265" s="8"/>
    </row>
    <row r="1266" spans="1:50">
      <c r="A1266" s="7"/>
      <c r="B1266" s="10"/>
      <c r="C1266" s="45" t="s">
        <v>1100</v>
      </c>
      <c r="D1266" s="23" t="s">
        <v>25</v>
      </c>
      <c r="E1266" s="83" t="s">
        <v>1310</v>
      </c>
      <c r="F1266" s="83" t="s">
        <v>1310</v>
      </c>
      <c r="G1266" s="83" t="s">
        <v>1310</v>
      </c>
      <c r="H1266" s="83" t="s">
        <v>1310</v>
      </c>
      <c r="I1266" s="25">
        <v>0.9</v>
      </c>
      <c r="J1266" s="26">
        <v>0.9</v>
      </c>
      <c r="K1266" s="26">
        <v>1</v>
      </c>
      <c r="L1266" s="27">
        <v>0.96153846153846201</v>
      </c>
      <c r="M1266" s="26">
        <v>0.96273291925465798</v>
      </c>
      <c r="N1266" s="28">
        <v>0.9</v>
      </c>
      <c r="O1266" s="26">
        <v>0.99321047526673101</v>
      </c>
      <c r="P1266" s="26">
        <v>0.99056079955580201</v>
      </c>
      <c r="Q1266" s="26">
        <v>0.99835796387520503</v>
      </c>
      <c r="R1266" s="26">
        <v>0.99376279115096</v>
      </c>
      <c r="S1266" s="28">
        <v>0.9</v>
      </c>
      <c r="T1266" s="26">
        <v>0.98302618816682796</v>
      </c>
      <c r="U1266" s="26">
        <v>0.98167684619655704</v>
      </c>
      <c r="V1266" s="26">
        <v>0.97619047619047605</v>
      </c>
      <c r="W1266" s="26">
        <v>0.98060617873501599</v>
      </c>
      <c r="X1266" s="28">
        <v>0.92</v>
      </c>
      <c r="Y1266" s="28">
        <v>0.98668146503884602</v>
      </c>
      <c r="Z1266" s="28">
        <v>0.98285714285714298</v>
      </c>
      <c r="AA1266" s="28">
        <v>0.99161073825503399</v>
      </c>
      <c r="AB1266" s="28">
        <v>0.98316164817749596</v>
      </c>
      <c r="AC1266" s="28">
        <v>0.92</v>
      </c>
      <c r="AD1266" s="26">
        <v>1</v>
      </c>
      <c r="AE1266" s="26">
        <v>0.99843382928739199</v>
      </c>
      <c r="AF1266" s="26">
        <v>0.99803921568627496</v>
      </c>
      <c r="AG1266" s="26">
        <v>0.99734374999999997</v>
      </c>
      <c r="AH1266" s="28">
        <v>0.92</v>
      </c>
      <c r="AI1266" s="26">
        <v>0.99392507593655099</v>
      </c>
      <c r="AJ1266" s="26">
        <v>0.98982813048053297</v>
      </c>
      <c r="AK1266" s="26">
        <v>0.99393605292172005</v>
      </c>
      <c r="AL1266" s="26">
        <v>0.991248122265038</v>
      </c>
      <c r="AM1266" s="25">
        <v>0.99</v>
      </c>
      <c r="AN1266" s="30">
        <v>1</v>
      </c>
      <c r="AO1266" s="30">
        <v>1</v>
      </c>
      <c r="AP1266" s="30">
        <v>1</v>
      </c>
      <c r="AQ1266" s="30">
        <v>1</v>
      </c>
      <c r="AR1266" s="50">
        <v>7.2186152540827803E-2</v>
      </c>
      <c r="AS1266" s="34">
        <v>0</v>
      </c>
      <c r="AT1266" s="34">
        <v>0.2</v>
      </c>
      <c r="AU1266" s="34">
        <v>0</v>
      </c>
      <c r="AV1266" s="34">
        <v>6.0606060606060601E-2</v>
      </c>
      <c r="AW1266" s="10"/>
      <c r="AX1266" s="8"/>
    </row>
    <row r="1267" spans="1:50">
      <c r="A1267" s="7"/>
      <c r="B1267" s="10"/>
      <c r="C1267" s="45" t="s">
        <v>1100</v>
      </c>
      <c r="D1267" s="23" t="s">
        <v>25</v>
      </c>
      <c r="E1267" s="83" t="s">
        <v>1311</v>
      </c>
      <c r="F1267" s="83" t="s">
        <v>1311</v>
      </c>
      <c r="G1267" s="83" t="s">
        <v>1311</v>
      </c>
      <c r="H1267" s="83" t="s">
        <v>1311</v>
      </c>
      <c r="I1267" s="25">
        <v>0.9</v>
      </c>
      <c r="J1267" s="26">
        <v>0.89583333333333304</v>
      </c>
      <c r="K1267" s="26">
        <v>0.95121951219512202</v>
      </c>
      <c r="L1267" s="27">
        <v>0.91891891891891897</v>
      </c>
      <c r="M1267" s="26">
        <v>0.93801652892562004</v>
      </c>
      <c r="N1267" s="28">
        <v>0.9</v>
      </c>
      <c r="O1267" s="26">
        <v>0.98722259583053096</v>
      </c>
      <c r="P1267" s="26">
        <v>0.99423076923076903</v>
      </c>
      <c r="Q1267" s="26">
        <v>0.98873239436619698</v>
      </c>
      <c r="R1267" s="26">
        <v>0.98774852982357897</v>
      </c>
      <c r="S1267" s="28">
        <v>0.9</v>
      </c>
      <c r="T1267" s="26">
        <v>0.90652320107599205</v>
      </c>
      <c r="U1267" s="26">
        <v>0.91038461538461501</v>
      </c>
      <c r="V1267" s="26">
        <v>0.91323943661971796</v>
      </c>
      <c r="W1267" s="26">
        <v>0.91318958274993001</v>
      </c>
      <c r="X1267" s="28">
        <v>0.92</v>
      </c>
      <c r="Y1267" s="28">
        <v>0.89236641221374002</v>
      </c>
      <c r="Z1267" s="28">
        <v>0.93718411552346603</v>
      </c>
      <c r="AA1267" s="28">
        <v>0.92911392405063298</v>
      </c>
      <c r="AB1267" s="28">
        <v>0.92290486131822203</v>
      </c>
      <c r="AC1267" s="28">
        <v>0.92</v>
      </c>
      <c r="AD1267" s="26">
        <v>0.99779249448123597</v>
      </c>
      <c r="AE1267" s="26">
        <v>1</v>
      </c>
      <c r="AF1267" s="26">
        <v>0.99361702127659601</v>
      </c>
      <c r="AG1267" s="26">
        <v>0.99412915851271999</v>
      </c>
      <c r="AH1267" s="28">
        <v>0.92</v>
      </c>
      <c r="AI1267" s="26">
        <v>0.94444444444444398</v>
      </c>
      <c r="AJ1267" s="26">
        <v>0.96060225846925995</v>
      </c>
      <c r="AK1267" s="26">
        <v>0.95282651072124802</v>
      </c>
      <c r="AL1267" s="26">
        <v>0.95559790376369702</v>
      </c>
      <c r="AM1267" s="25">
        <v>0.99</v>
      </c>
      <c r="AN1267" s="30">
        <v>1</v>
      </c>
      <c r="AO1267" s="30">
        <v>1</v>
      </c>
      <c r="AP1267" s="30">
        <v>1</v>
      </c>
      <c r="AQ1267" s="30">
        <v>1</v>
      </c>
      <c r="AR1267" s="50">
        <v>7.2186152540827803E-2</v>
      </c>
      <c r="AS1267" s="34">
        <v>0</v>
      </c>
      <c r="AT1267" s="34">
        <v>0.16666666666666699</v>
      </c>
      <c r="AU1267" s="34">
        <v>0</v>
      </c>
      <c r="AV1267" s="34">
        <v>8.5714285714285701E-2</v>
      </c>
      <c r="AW1267" s="10"/>
      <c r="AX1267" s="8"/>
    </row>
    <row r="1268" spans="1:50">
      <c r="A1268" s="7"/>
      <c r="B1268" s="10"/>
      <c r="C1268" s="45" t="s">
        <v>1100</v>
      </c>
      <c r="D1268" s="23" t="s">
        <v>25</v>
      </c>
      <c r="E1268" s="83" t="s">
        <v>1312</v>
      </c>
      <c r="F1268" s="83" t="s">
        <v>1312</v>
      </c>
      <c r="G1268" s="83" t="s">
        <v>1312</v>
      </c>
      <c r="H1268" s="83" t="s">
        <v>1312</v>
      </c>
      <c r="I1268" s="25">
        <v>0.9</v>
      </c>
      <c r="J1268" s="26">
        <v>0.93548387096774199</v>
      </c>
      <c r="K1268" s="26">
        <v>1</v>
      </c>
      <c r="L1268" s="27">
        <v>0.96</v>
      </c>
      <c r="M1268" s="26">
        <v>0.96491228070175405</v>
      </c>
      <c r="N1268" s="28">
        <v>0.9</v>
      </c>
      <c r="O1268" s="26">
        <v>0.98823961778757796</v>
      </c>
      <c r="P1268" s="26">
        <v>0.98597285067873297</v>
      </c>
      <c r="Q1268" s="26">
        <v>0.977421271538919</v>
      </c>
      <c r="R1268" s="26">
        <v>0.98537183120165395</v>
      </c>
      <c r="S1268" s="28">
        <v>0.9</v>
      </c>
      <c r="T1268" s="26">
        <v>0.95773612642410899</v>
      </c>
      <c r="U1268" s="26">
        <v>0.95837104072398205</v>
      </c>
      <c r="V1268" s="26">
        <v>0.96078431372549</v>
      </c>
      <c r="W1268" s="26">
        <v>0.96385080799571099</v>
      </c>
      <c r="X1268" s="28">
        <v>0.92</v>
      </c>
      <c r="Y1268" s="28">
        <v>0</v>
      </c>
      <c r="Z1268" s="28">
        <v>0</v>
      </c>
      <c r="AA1268" s="28">
        <v>0</v>
      </c>
      <c r="AB1268" s="28">
        <v>0</v>
      </c>
      <c r="AC1268" s="28">
        <v>0.92</v>
      </c>
      <c r="AD1268" s="26">
        <v>1</v>
      </c>
      <c r="AE1268" s="26">
        <v>0.96850393700787396</v>
      </c>
      <c r="AF1268" s="26">
        <v>1</v>
      </c>
      <c r="AG1268" s="26">
        <v>0.99456152277362297</v>
      </c>
      <c r="AH1268" s="28">
        <v>0.92</v>
      </c>
      <c r="AI1268" s="26">
        <v>0.97096655641308305</v>
      </c>
      <c r="AJ1268" s="26">
        <v>0.97239819004524897</v>
      </c>
      <c r="AK1268" s="26">
        <v>0.97563874034462295</v>
      </c>
      <c r="AL1268" s="26">
        <v>0.97794455506203104</v>
      </c>
      <c r="AM1268" s="25">
        <v>0.99</v>
      </c>
      <c r="AN1268" s="30">
        <v>1</v>
      </c>
      <c r="AO1268" s="30">
        <v>1</v>
      </c>
      <c r="AP1268" s="30">
        <v>1</v>
      </c>
      <c r="AQ1268" s="30">
        <v>1</v>
      </c>
      <c r="AR1268" s="50">
        <v>7.2186152540827803E-2</v>
      </c>
      <c r="AS1268" s="34">
        <v>0</v>
      </c>
      <c r="AT1268" s="34">
        <v>0</v>
      </c>
      <c r="AU1268" s="34">
        <v>0</v>
      </c>
      <c r="AV1268" s="34">
        <v>0</v>
      </c>
      <c r="AW1268" s="10"/>
      <c r="AX1268" s="8"/>
    </row>
    <row r="1269" spans="1:50">
      <c r="A1269" s="7"/>
      <c r="B1269" s="10"/>
      <c r="C1269" s="45" t="s">
        <v>1100</v>
      </c>
      <c r="D1269" s="23" t="s">
        <v>25</v>
      </c>
      <c r="E1269" s="83" t="s">
        <v>1313</v>
      </c>
      <c r="F1269" s="83" t="s">
        <v>1313</v>
      </c>
      <c r="G1269" s="83" t="s">
        <v>1313</v>
      </c>
      <c r="H1269" s="83" t="s">
        <v>1313</v>
      </c>
      <c r="I1269" s="25">
        <v>0.9</v>
      </c>
      <c r="J1269" s="26">
        <v>0.92307692307692302</v>
      </c>
      <c r="K1269" s="26">
        <v>1</v>
      </c>
      <c r="L1269" s="27">
        <v>0.92307692307692302</v>
      </c>
      <c r="M1269" s="26">
        <v>0.96103896103896103</v>
      </c>
      <c r="N1269" s="28">
        <v>0.9</v>
      </c>
      <c r="O1269" s="26">
        <v>0.98288075560802801</v>
      </c>
      <c r="P1269" s="26">
        <v>0.91011235955056202</v>
      </c>
      <c r="Q1269" s="26">
        <v>0.98578680203045699</v>
      </c>
      <c r="R1269" s="26">
        <v>0.97454187676792503</v>
      </c>
      <c r="S1269" s="28">
        <v>0.9</v>
      </c>
      <c r="T1269" s="26">
        <v>0.81168831168831201</v>
      </c>
      <c r="U1269" s="26">
        <v>0.86441947565543098</v>
      </c>
      <c r="V1269" s="26">
        <v>0.96954314720812196</v>
      </c>
      <c r="W1269" s="26">
        <v>0.90210306235395399</v>
      </c>
      <c r="X1269" s="28">
        <v>0.92</v>
      </c>
      <c r="Y1269" s="28">
        <v>0</v>
      </c>
      <c r="Z1269" s="28">
        <v>0</v>
      </c>
      <c r="AA1269" s="28">
        <v>0</v>
      </c>
      <c r="AB1269" s="28">
        <v>0</v>
      </c>
      <c r="AC1269" s="28">
        <v>0.92</v>
      </c>
      <c r="AD1269" s="26">
        <v>0.99193548387096797</v>
      </c>
      <c r="AE1269" s="26">
        <v>1</v>
      </c>
      <c r="AF1269" s="26">
        <v>0.99481865284974103</v>
      </c>
      <c r="AG1269" s="26">
        <v>0.99756097560975598</v>
      </c>
      <c r="AH1269" s="28">
        <v>0.92</v>
      </c>
      <c r="AI1269" s="26">
        <v>0.97759433962264197</v>
      </c>
      <c r="AJ1269" s="26">
        <v>0.89662921348314595</v>
      </c>
      <c r="AK1269" s="26">
        <v>0.97563451776649701</v>
      </c>
      <c r="AL1269" s="26">
        <v>0.96766260912332502</v>
      </c>
      <c r="AM1269" s="25">
        <v>0.99</v>
      </c>
      <c r="AN1269" s="30">
        <v>1</v>
      </c>
      <c r="AO1269" s="30">
        <v>1</v>
      </c>
      <c r="AP1269" s="30">
        <v>1</v>
      </c>
      <c r="AQ1269" s="30">
        <v>1</v>
      </c>
      <c r="AR1269" s="50">
        <v>7.2186152540827803E-2</v>
      </c>
      <c r="AS1269" s="34">
        <v>0</v>
      </c>
      <c r="AT1269" s="34">
        <v>0.33333333333333298</v>
      </c>
      <c r="AU1269" s="34">
        <v>0</v>
      </c>
      <c r="AV1269" s="34">
        <v>5.5555555555555601E-2</v>
      </c>
      <c r="AW1269" s="10"/>
      <c r="AX1269" s="8"/>
    </row>
    <row r="1270" spans="1:50">
      <c r="A1270" s="7"/>
      <c r="B1270" s="10"/>
      <c r="C1270" s="45" t="s">
        <v>1100</v>
      </c>
      <c r="D1270" s="23" t="s">
        <v>25</v>
      </c>
      <c r="E1270" s="83" t="s">
        <v>1314</v>
      </c>
      <c r="F1270" s="83" t="s">
        <v>1314</v>
      </c>
      <c r="G1270" s="83" t="s">
        <v>1314</v>
      </c>
      <c r="H1270" s="83" t="s">
        <v>1314</v>
      </c>
      <c r="I1270" s="25">
        <v>0.9</v>
      </c>
      <c r="J1270" s="26">
        <v>1</v>
      </c>
      <c r="K1270" s="26">
        <v>1</v>
      </c>
      <c r="L1270" s="27">
        <v>1</v>
      </c>
      <c r="M1270" s="26">
        <v>1</v>
      </c>
      <c r="N1270" s="28">
        <v>0.9</v>
      </c>
      <c r="O1270" s="26">
        <v>0.95338983050847503</v>
      </c>
      <c r="P1270" s="26">
        <v>0.94861660079051402</v>
      </c>
      <c r="Q1270" s="26">
        <v>0.94640522875817001</v>
      </c>
      <c r="R1270" s="26">
        <v>0.94623262618873405</v>
      </c>
      <c r="S1270" s="28">
        <v>0.9</v>
      </c>
      <c r="T1270" s="26">
        <v>0.807627118644068</v>
      </c>
      <c r="U1270" s="26">
        <v>0.91040843214756295</v>
      </c>
      <c r="V1270" s="26">
        <v>0.94509803921568603</v>
      </c>
      <c r="W1270" s="26">
        <v>0.87856620336503299</v>
      </c>
      <c r="X1270" s="28">
        <v>0.92</v>
      </c>
      <c r="Y1270" s="28">
        <v>0</v>
      </c>
      <c r="Z1270" s="28">
        <v>0</v>
      </c>
      <c r="AA1270" s="28">
        <v>0</v>
      </c>
      <c r="AB1270" s="28">
        <v>0</v>
      </c>
      <c r="AC1270" s="28">
        <v>0.92</v>
      </c>
      <c r="AD1270" s="26">
        <v>0.99780564263322902</v>
      </c>
      <c r="AE1270" s="26">
        <v>0.99964838255977495</v>
      </c>
      <c r="AF1270" s="26">
        <v>0.97496087636932705</v>
      </c>
      <c r="AG1270" s="26">
        <v>0.99212016744644205</v>
      </c>
      <c r="AH1270" s="28">
        <v>0.92</v>
      </c>
      <c r="AI1270" s="26">
        <v>0.93474576271186405</v>
      </c>
      <c r="AJ1270" s="26">
        <v>0.94334650856390001</v>
      </c>
      <c r="AK1270" s="26">
        <v>0.95947712418300701</v>
      </c>
      <c r="AL1270" s="26">
        <v>0.944779667215213</v>
      </c>
      <c r="AM1270" s="25">
        <v>0.99</v>
      </c>
      <c r="AN1270" s="30">
        <v>1</v>
      </c>
      <c r="AO1270" s="30">
        <v>1</v>
      </c>
      <c r="AP1270" s="30">
        <v>1</v>
      </c>
      <c r="AQ1270" s="30">
        <v>1</v>
      </c>
      <c r="AR1270" s="50">
        <v>7.2186152540827803E-2</v>
      </c>
      <c r="AS1270" s="34">
        <v>0</v>
      </c>
      <c r="AT1270" s="34">
        <v>0</v>
      </c>
      <c r="AU1270" s="34">
        <v>0</v>
      </c>
      <c r="AV1270" s="34">
        <v>0</v>
      </c>
      <c r="AW1270" s="10"/>
      <c r="AX1270" s="8"/>
    </row>
    <row r="1271" spans="1:50">
      <c r="A1271" s="7"/>
      <c r="B1271" s="10"/>
      <c r="C1271" s="45" t="s">
        <v>1100</v>
      </c>
      <c r="D1271" s="23" t="s">
        <v>25</v>
      </c>
      <c r="E1271" s="83" t="s">
        <v>1315</v>
      </c>
      <c r="F1271" s="83" t="s">
        <v>1315</v>
      </c>
      <c r="G1271" s="83" t="s">
        <v>1315</v>
      </c>
      <c r="H1271" s="83" t="s">
        <v>1315</v>
      </c>
      <c r="I1271" s="25">
        <v>0.9</v>
      </c>
      <c r="J1271" s="26">
        <v>0.85483870967741904</v>
      </c>
      <c r="K1271" s="26">
        <v>0.88888888888888895</v>
      </c>
      <c r="L1271" s="27">
        <v>0.80357142857142905</v>
      </c>
      <c r="M1271" s="26">
        <v>0.86538461538461497</v>
      </c>
      <c r="N1271" s="28">
        <v>0.9</v>
      </c>
      <c r="O1271" s="26">
        <v>0.98741794310722097</v>
      </c>
      <c r="P1271" s="26">
        <v>0.97122302158273399</v>
      </c>
      <c r="Q1271" s="26">
        <v>0.99432066404543495</v>
      </c>
      <c r="R1271" s="26">
        <v>0.98371626143207702</v>
      </c>
      <c r="S1271" s="28">
        <v>0.9</v>
      </c>
      <c r="T1271" s="26">
        <v>0.91329321663019702</v>
      </c>
      <c r="U1271" s="26">
        <v>0.91420197175592899</v>
      </c>
      <c r="V1271" s="26">
        <v>0.922673656618611</v>
      </c>
      <c r="W1271" s="26">
        <v>0.92136961855900101</v>
      </c>
      <c r="X1271" s="28">
        <v>0.92</v>
      </c>
      <c r="Y1271" s="28">
        <v>0.928131416837782</v>
      </c>
      <c r="Z1271" s="28">
        <v>0.93410275502606099</v>
      </c>
      <c r="AA1271" s="28">
        <v>0.934991974317817</v>
      </c>
      <c r="AB1271" s="28">
        <v>0.94113842173350604</v>
      </c>
      <c r="AC1271" s="28">
        <v>0.92</v>
      </c>
      <c r="AD1271" s="26">
        <v>0.99690785405071103</v>
      </c>
      <c r="AE1271" s="26">
        <v>0.99929527836504595</v>
      </c>
      <c r="AF1271" s="26">
        <v>0.99566536627655</v>
      </c>
      <c r="AG1271" s="26">
        <v>0.99725870930896598</v>
      </c>
      <c r="AH1271" s="28">
        <v>0.92</v>
      </c>
      <c r="AI1271" s="26">
        <v>0.95289919714540605</v>
      </c>
      <c r="AJ1271" s="26">
        <v>0.94860248447204998</v>
      </c>
      <c r="AK1271" s="26">
        <v>0.95869872701555903</v>
      </c>
      <c r="AL1271" s="26">
        <v>0.95901531151003205</v>
      </c>
      <c r="AM1271" s="25">
        <v>0.99</v>
      </c>
      <c r="AN1271" s="30">
        <v>1</v>
      </c>
      <c r="AO1271" s="30">
        <v>1</v>
      </c>
      <c r="AP1271" s="30">
        <v>1</v>
      </c>
      <c r="AQ1271" s="30">
        <v>1</v>
      </c>
      <c r="AR1271" s="50">
        <v>7.2186152540827803E-2</v>
      </c>
      <c r="AS1271" s="34">
        <v>0</v>
      </c>
      <c r="AT1271" s="34">
        <v>0</v>
      </c>
      <c r="AU1271" s="34">
        <v>0</v>
      </c>
      <c r="AV1271" s="34">
        <v>0</v>
      </c>
      <c r="AW1271" s="10"/>
      <c r="AX1271" s="8"/>
    </row>
    <row r="1272" spans="1:50">
      <c r="A1272" s="7"/>
      <c r="B1272" s="10"/>
      <c r="C1272" s="45" t="s">
        <v>1100</v>
      </c>
      <c r="D1272" s="23" t="s">
        <v>25</v>
      </c>
      <c r="E1272" s="83" t="s">
        <v>1316</v>
      </c>
      <c r="F1272" s="83" t="s">
        <v>1316</v>
      </c>
      <c r="G1272" s="83" t="s">
        <v>1316</v>
      </c>
      <c r="H1272" s="83" t="s">
        <v>1316</v>
      </c>
      <c r="I1272" s="25">
        <v>0.9</v>
      </c>
      <c r="J1272" s="26">
        <v>0.96078431372549</v>
      </c>
      <c r="K1272" s="26">
        <v>0.96</v>
      </c>
      <c r="L1272" s="27">
        <v>0.97674418604651203</v>
      </c>
      <c r="M1272" s="26">
        <v>0.94880546075085304</v>
      </c>
      <c r="N1272" s="28">
        <v>0.9</v>
      </c>
      <c r="O1272" s="26">
        <v>0.94827586206896597</v>
      </c>
      <c r="P1272" s="26">
        <v>0.98701642819289903</v>
      </c>
      <c r="Q1272" s="26">
        <v>0.98562975486052395</v>
      </c>
      <c r="R1272" s="26">
        <v>0.97951002227171502</v>
      </c>
      <c r="S1272" s="28">
        <v>0.9</v>
      </c>
      <c r="T1272" s="26">
        <v>0.94084880636604795</v>
      </c>
      <c r="U1272" s="26">
        <v>0.95601483836778001</v>
      </c>
      <c r="V1272" s="26">
        <v>0.96745562130177498</v>
      </c>
      <c r="W1272" s="26">
        <v>0.95428730512249405</v>
      </c>
      <c r="X1272" s="28">
        <v>0.92</v>
      </c>
      <c r="Y1272" s="28">
        <v>0.96797520661156999</v>
      </c>
      <c r="Z1272" s="28">
        <v>0.975973789588642</v>
      </c>
      <c r="AA1272" s="28">
        <v>0.97890624999999998</v>
      </c>
      <c r="AB1272" s="28">
        <v>0.971987442646704</v>
      </c>
      <c r="AC1272" s="28">
        <v>0.92</v>
      </c>
      <c r="AD1272" s="26">
        <v>1</v>
      </c>
      <c r="AE1272" s="26">
        <v>0.99700399467376799</v>
      </c>
      <c r="AF1272" s="26">
        <v>0.99943003704759203</v>
      </c>
      <c r="AG1272" s="26">
        <v>0.99941617203464095</v>
      </c>
      <c r="AH1272" s="28">
        <v>0.92</v>
      </c>
      <c r="AI1272" s="26">
        <v>0.97143357868909896</v>
      </c>
      <c r="AJ1272" s="26">
        <v>0.98282472013494904</v>
      </c>
      <c r="AK1272" s="26">
        <v>0.98683488754799797</v>
      </c>
      <c r="AL1272" s="26">
        <v>0.97913375460768803</v>
      </c>
      <c r="AM1272" s="25">
        <v>0.99</v>
      </c>
      <c r="AN1272" s="30">
        <v>1</v>
      </c>
      <c r="AO1272" s="30">
        <v>1</v>
      </c>
      <c r="AP1272" s="30">
        <v>1</v>
      </c>
      <c r="AQ1272" s="30">
        <v>1</v>
      </c>
      <c r="AR1272" s="50">
        <v>7.2186152540827803E-2</v>
      </c>
      <c r="AS1272" s="34">
        <v>0</v>
      </c>
      <c r="AT1272" s="34">
        <v>0</v>
      </c>
      <c r="AU1272" s="34">
        <v>0.18181818181818199</v>
      </c>
      <c r="AV1272" s="34">
        <v>4.3795620437956199E-2</v>
      </c>
      <c r="AW1272" s="10"/>
      <c r="AX1272" s="8"/>
    </row>
    <row r="1273" spans="1:50">
      <c r="A1273" s="7"/>
      <c r="B1273" s="10"/>
      <c r="C1273" s="45" t="s">
        <v>1100</v>
      </c>
      <c r="D1273" s="23" t="s">
        <v>25</v>
      </c>
      <c r="E1273" s="83" t="s">
        <v>1317</v>
      </c>
      <c r="F1273" s="83" t="s">
        <v>1317</v>
      </c>
      <c r="G1273" s="83" t="s">
        <v>1317</v>
      </c>
      <c r="H1273" s="83" t="s">
        <v>1317</v>
      </c>
      <c r="I1273" s="25">
        <v>0.9</v>
      </c>
      <c r="J1273" s="26">
        <v>0.96153846153846201</v>
      </c>
      <c r="K1273" s="26">
        <v>0.96428571428571397</v>
      </c>
      <c r="L1273" s="27">
        <v>0.92307692307692302</v>
      </c>
      <c r="M1273" s="26">
        <v>0.73456790123456805</v>
      </c>
      <c r="N1273" s="28">
        <v>0.9</v>
      </c>
      <c r="O1273" s="26">
        <v>0.99021464646464696</v>
      </c>
      <c r="P1273" s="26">
        <v>0.95826771653543297</v>
      </c>
      <c r="Q1273" s="26">
        <v>0.992260917634052</v>
      </c>
      <c r="R1273" s="26">
        <v>0.97724077916861896</v>
      </c>
      <c r="S1273" s="28">
        <v>0.9</v>
      </c>
      <c r="T1273" s="26">
        <v>0.893308080808081</v>
      </c>
      <c r="U1273" s="26">
        <v>0.88070866141732296</v>
      </c>
      <c r="V1273" s="26">
        <v>0.89662797125483695</v>
      </c>
      <c r="W1273" s="26">
        <v>0.89831983399156601</v>
      </c>
      <c r="X1273" s="28">
        <v>0.92</v>
      </c>
      <c r="Y1273" s="28">
        <v>0</v>
      </c>
      <c r="Z1273" s="28">
        <v>0</v>
      </c>
      <c r="AA1273" s="28">
        <v>0</v>
      </c>
      <c r="AB1273" s="28">
        <v>0</v>
      </c>
      <c r="AC1273" s="28">
        <v>0.92</v>
      </c>
      <c r="AD1273" s="26">
        <v>1</v>
      </c>
      <c r="AE1273" s="26">
        <v>1</v>
      </c>
      <c r="AF1273" s="26">
        <v>1</v>
      </c>
      <c r="AG1273" s="26">
        <v>1</v>
      </c>
      <c r="AH1273" s="28">
        <v>0.92</v>
      </c>
      <c r="AI1273" s="26">
        <v>0.96118649416219604</v>
      </c>
      <c r="AJ1273" s="26">
        <v>0.95669291338582696</v>
      </c>
      <c r="AK1273" s="26">
        <v>0.97567716970702001</v>
      </c>
      <c r="AL1273" s="26">
        <v>0.97275769745649299</v>
      </c>
      <c r="AM1273" s="25">
        <v>0.99</v>
      </c>
      <c r="AN1273" s="30">
        <v>1</v>
      </c>
      <c r="AO1273" s="30">
        <v>1</v>
      </c>
      <c r="AP1273" s="30">
        <v>1</v>
      </c>
      <c r="AQ1273" s="30">
        <v>1</v>
      </c>
      <c r="AR1273" s="50">
        <v>7.2186152540827803E-2</v>
      </c>
      <c r="AS1273" s="34">
        <v>0</v>
      </c>
      <c r="AT1273" s="34">
        <v>0</v>
      </c>
      <c r="AU1273" s="34">
        <v>0</v>
      </c>
      <c r="AV1273" s="34">
        <v>-2.32558139534884E-2</v>
      </c>
      <c r="AW1273" s="10"/>
      <c r="AX1273" s="8"/>
    </row>
    <row r="1274" spans="1:50">
      <c r="A1274" s="7"/>
      <c r="B1274" s="10"/>
      <c r="C1274" s="45" t="s">
        <v>1100</v>
      </c>
      <c r="D1274" s="23" t="s">
        <v>25</v>
      </c>
      <c r="E1274" s="83" t="s">
        <v>1318</v>
      </c>
      <c r="F1274" s="83" t="s">
        <v>1318</v>
      </c>
      <c r="G1274" s="83" t="s">
        <v>1318</v>
      </c>
      <c r="H1274" s="83" t="s">
        <v>1318</v>
      </c>
      <c r="I1274" s="25">
        <v>0.9</v>
      </c>
      <c r="J1274" s="26">
        <v>1</v>
      </c>
      <c r="K1274" s="26">
        <v>1</v>
      </c>
      <c r="L1274" s="27">
        <v>1</v>
      </c>
      <c r="M1274" s="26">
        <v>1</v>
      </c>
      <c r="N1274" s="28">
        <v>0.9</v>
      </c>
      <c r="O1274" s="26">
        <v>0.98565529232775495</v>
      </c>
      <c r="P1274" s="26">
        <v>0.99025341130604305</v>
      </c>
      <c r="Q1274" s="26">
        <v>0.99374782910732895</v>
      </c>
      <c r="R1274" s="26">
        <v>0.990295262073701</v>
      </c>
      <c r="S1274" s="28">
        <v>0.9</v>
      </c>
      <c r="T1274" s="26">
        <v>0.95174961964790294</v>
      </c>
      <c r="U1274" s="26">
        <v>0.96797549429128404</v>
      </c>
      <c r="V1274" s="26">
        <v>0.97846474470302203</v>
      </c>
      <c r="W1274" s="26">
        <v>0.96992446784161102</v>
      </c>
      <c r="X1274" s="28">
        <v>0.92</v>
      </c>
      <c r="Y1274" s="28">
        <v>0</v>
      </c>
      <c r="Z1274" s="28">
        <v>0</v>
      </c>
      <c r="AA1274" s="28">
        <v>0</v>
      </c>
      <c r="AB1274" s="28">
        <v>0</v>
      </c>
      <c r="AC1274" s="28">
        <v>0.92</v>
      </c>
      <c r="AD1274" s="26">
        <v>0.99735449735449699</v>
      </c>
      <c r="AE1274" s="26">
        <v>0.99713467048710602</v>
      </c>
      <c r="AF1274" s="26">
        <v>0.996675531914894</v>
      </c>
      <c r="AG1274" s="26">
        <v>0.99809802487198196</v>
      </c>
      <c r="AH1274" s="28">
        <v>0.92</v>
      </c>
      <c r="AI1274" s="26">
        <v>0.97630949793523103</v>
      </c>
      <c r="AJ1274" s="26">
        <v>0.98412698412698396</v>
      </c>
      <c r="AK1274" s="26">
        <v>0.98575894407780495</v>
      </c>
      <c r="AL1274" s="26">
        <v>0.98480201419088997</v>
      </c>
      <c r="AM1274" s="25">
        <v>0.99</v>
      </c>
      <c r="AN1274" s="30">
        <v>1</v>
      </c>
      <c r="AO1274" s="30">
        <v>1</v>
      </c>
      <c r="AP1274" s="30">
        <v>1</v>
      </c>
      <c r="AQ1274" s="30">
        <v>1</v>
      </c>
      <c r="AR1274" s="50">
        <v>7.2186152540827803E-2</v>
      </c>
      <c r="AS1274" s="34">
        <v>0.14285714285714299</v>
      </c>
      <c r="AT1274" s="34">
        <v>0</v>
      </c>
      <c r="AU1274" s="34">
        <v>0.2</v>
      </c>
      <c r="AV1274" s="34">
        <v>4.5454545454545497E-2</v>
      </c>
      <c r="AW1274" s="10"/>
      <c r="AX1274" s="8"/>
    </row>
    <row r="1275" spans="1:50">
      <c r="A1275" s="7"/>
      <c r="B1275" s="10"/>
      <c r="C1275" s="45" t="s">
        <v>1100</v>
      </c>
      <c r="D1275" s="23" t="s">
        <v>25</v>
      </c>
      <c r="E1275" s="83" t="s">
        <v>1319</v>
      </c>
      <c r="F1275" s="83" t="s">
        <v>1319</v>
      </c>
      <c r="G1275" s="83" t="s">
        <v>1319</v>
      </c>
      <c r="H1275" s="83" t="s">
        <v>1319</v>
      </c>
      <c r="I1275" s="25">
        <v>0.9</v>
      </c>
      <c r="J1275" s="26">
        <v>0.84</v>
      </c>
      <c r="K1275" s="26">
        <v>0.84</v>
      </c>
      <c r="L1275" s="27">
        <v>0.90909090909090895</v>
      </c>
      <c r="M1275" s="26">
        <v>0.86428571428571399</v>
      </c>
      <c r="N1275" s="28">
        <v>0.9</v>
      </c>
      <c r="O1275" s="26">
        <v>0.87401032702237502</v>
      </c>
      <c r="P1275" s="26">
        <v>0.98136915077989595</v>
      </c>
      <c r="Q1275" s="26">
        <v>0.97876973326075101</v>
      </c>
      <c r="R1275" s="26">
        <v>0.94682909351486899</v>
      </c>
      <c r="S1275" s="28">
        <v>0.9</v>
      </c>
      <c r="T1275" s="26">
        <v>0.76901893287435497</v>
      </c>
      <c r="U1275" s="26">
        <v>0.86481802426343202</v>
      </c>
      <c r="V1275" s="26">
        <v>0.91290146978769704</v>
      </c>
      <c r="W1275" s="26">
        <v>0.81526334647079901</v>
      </c>
      <c r="X1275" s="28">
        <v>0.92</v>
      </c>
      <c r="Y1275" s="28">
        <v>0</v>
      </c>
      <c r="Z1275" s="28">
        <v>0</v>
      </c>
      <c r="AA1275" s="28">
        <v>0</v>
      </c>
      <c r="AB1275" s="28">
        <v>0</v>
      </c>
      <c r="AC1275" s="28">
        <v>0.92</v>
      </c>
      <c r="AD1275" s="26">
        <v>0.98811544991511002</v>
      </c>
      <c r="AE1275" s="26">
        <v>0.99622844827586199</v>
      </c>
      <c r="AF1275" s="26">
        <v>0.98401420959147401</v>
      </c>
      <c r="AG1275" s="26">
        <v>0.987233482495394</v>
      </c>
      <c r="AH1275" s="28">
        <v>0.92</v>
      </c>
      <c r="AI1275" s="26">
        <v>0.94767641996557705</v>
      </c>
      <c r="AJ1275" s="26">
        <v>0.96273830155979201</v>
      </c>
      <c r="AK1275" s="26">
        <v>0.94610778443113797</v>
      </c>
      <c r="AL1275" s="26">
        <v>0.95091365102113901</v>
      </c>
      <c r="AM1275" s="25">
        <v>0.99</v>
      </c>
      <c r="AN1275" s="30">
        <v>1</v>
      </c>
      <c r="AO1275" s="30">
        <v>1</v>
      </c>
      <c r="AP1275" s="30">
        <v>1</v>
      </c>
      <c r="AQ1275" s="30">
        <v>1</v>
      </c>
      <c r="AR1275" s="50">
        <v>7.2186152540827803E-2</v>
      </c>
      <c r="AS1275" s="34">
        <v>0</v>
      </c>
      <c r="AT1275" s="34">
        <v>8.3333333333333301E-2</v>
      </c>
      <c r="AU1275" s="34">
        <v>3.8461538461538498E-2</v>
      </c>
      <c r="AV1275" s="34">
        <v>3.37837837837838E-2</v>
      </c>
      <c r="AW1275" s="10"/>
      <c r="AX1275" s="8"/>
    </row>
    <row r="1276" spans="1:50">
      <c r="A1276" s="7"/>
      <c r="B1276" s="10"/>
      <c r="C1276" s="45" t="s">
        <v>1100</v>
      </c>
      <c r="D1276" s="23" t="s">
        <v>25</v>
      </c>
      <c r="E1276" s="83" t="s">
        <v>1320</v>
      </c>
      <c r="F1276" s="83" t="s">
        <v>1320</v>
      </c>
      <c r="G1276" s="83" t="s">
        <v>1320</v>
      </c>
      <c r="H1276" s="83" t="s">
        <v>1320</v>
      </c>
      <c r="I1276" s="25">
        <v>0.9</v>
      </c>
      <c r="J1276" s="26">
        <v>0.9375</v>
      </c>
      <c r="K1276" s="26">
        <v>0.90625</v>
      </c>
      <c r="L1276" s="27">
        <v>0.88461538461538503</v>
      </c>
      <c r="M1276" s="26">
        <v>0.92349726775956298</v>
      </c>
      <c r="N1276" s="28">
        <v>0.9</v>
      </c>
      <c r="O1276" s="26">
        <v>0.87773329226978702</v>
      </c>
      <c r="P1276" s="26">
        <v>0.98485468686041799</v>
      </c>
      <c r="Q1276" s="26">
        <v>0.96998420221169002</v>
      </c>
      <c r="R1276" s="26">
        <v>0.95681863828077895</v>
      </c>
      <c r="S1276" s="28">
        <v>0.9</v>
      </c>
      <c r="T1276" s="26">
        <v>0.68186017862642401</v>
      </c>
      <c r="U1276" s="26">
        <v>0.79901760130986499</v>
      </c>
      <c r="V1276" s="26">
        <v>0.71458662453923105</v>
      </c>
      <c r="W1276" s="26">
        <v>0.76246903662047305</v>
      </c>
      <c r="X1276" s="28">
        <v>0.92</v>
      </c>
      <c r="Y1276" s="28">
        <v>0</v>
      </c>
      <c r="Z1276" s="28">
        <v>0</v>
      </c>
      <c r="AA1276" s="28">
        <v>0</v>
      </c>
      <c r="AB1276" s="28">
        <v>0</v>
      </c>
      <c r="AC1276" s="28">
        <v>0.92</v>
      </c>
      <c r="AD1276" s="26">
        <v>1</v>
      </c>
      <c r="AE1276" s="26">
        <v>1</v>
      </c>
      <c r="AF1276" s="26">
        <v>0.99934383202099697</v>
      </c>
      <c r="AG1276" s="26">
        <v>0.99857252662786899</v>
      </c>
      <c r="AH1276" s="28">
        <v>0.92</v>
      </c>
      <c r="AI1276" s="26">
        <v>0.91561441330458904</v>
      </c>
      <c r="AJ1276" s="26">
        <v>0.92468276708964403</v>
      </c>
      <c r="AK1276" s="26">
        <v>0.90152711953659803</v>
      </c>
      <c r="AL1276" s="26">
        <v>0.92542009774385803</v>
      </c>
      <c r="AM1276" s="25">
        <v>0.99</v>
      </c>
      <c r="AN1276" s="30">
        <v>1</v>
      </c>
      <c r="AO1276" s="30">
        <v>1</v>
      </c>
      <c r="AP1276" s="30">
        <v>1</v>
      </c>
      <c r="AQ1276" s="30">
        <v>1</v>
      </c>
      <c r="AR1276" s="50">
        <v>7.2186152540827803E-2</v>
      </c>
      <c r="AS1276" s="34">
        <v>0.16666666666666699</v>
      </c>
      <c r="AT1276" s="34">
        <v>9.0909090909090898E-2</v>
      </c>
      <c r="AU1276" s="34">
        <v>0.25</v>
      </c>
      <c r="AV1276" s="34">
        <v>0.11363636363636399</v>
      </c>
      <c r="AW1276" s="10"/>
      <c r="AX1276" s="8"/>
    </row>
    <row r="1277" spans="1:50">
      <c r="A1277" s="7"/>
      <c r="B1277" s="10"/>
      <c r="C1277" s="45" t="s">
        <v>1100</v>
      </c>
      <c r="D1277" s="23" t="s">
        <v>25</v>
      </c>
      <c r="E1277" s="83" t="s">
        <v>1321</v>
      </c>
      <c r="F1277" s="83" t="s">
        <v>1321</v>
      </c>
      <c r="G1277" s="83" t="s">
        <v>1321</v>
      </c>
      <c r="H1277" s="83" t="s">
        <v>1321</v>
      </c>
      <c r="I1277" s="25">
        <v>0.9</v>
      </c>
      <c r="J1277" s="26">
        <v>1</v>
      </c>
      <c r="K1277" s="26">
        <v>1</v>
      </c>
      <c r="L1277" s="27">
        <v>0.94444444444444398</v>
      </c>
      <c r="M1277" s="26">
        <v>0.96923076923076901</v>
      </c>
      <c r="N1277" s="28">
        <v>0.9</v>
      </c>
      <c r="O1277" s="26">
        <v>0.89396628216504004</v>
      </c>
      <c r="P1277" s="26">
        <v>0.91008645533141197</v>
      </c>
      <c r="Q1277" s="26">
        <v>0.981104651162791</v>
      </c>
      <c r="R1277" s="26">
        <v>0.95236734305039505</v>
      </c>
      <c r="S1277" s="28">
        <v>0.9</v>
      </c>
      <c r="T1277" s="26">
        <v>0.88021295474711603</v>
      </c>
      <c r="U1277" s="26">
        <v>0.87435158501440902</v>
      </c>
      <c r="V1277" s="26">
        <v>0.87863372093023295</v>
      </c>
      <c r="W1277" s="26">
        <v>0.90406782890349602</v>
      </c>
      <c r="X1277" s="28">
        <v>0.92</v>
      </c>
      <c r="Y1277" s="28">
        <v>0</v>
      </c>
      <c r="Z1277" s="28">
        <v>0</v>
      </c>
      <c r="AA1277" s="28">
        <v>0</v>
      </c>
      <c r="AB1277" s="28">
        <v>0</v>
      </c>
      <c r="AC1277" s="28">
        <v>0.92</v>
      </c>
      <c r="AD1277" s="26">
        <v>1</v>
      </c>
      <c r="AE1277" s="26">
        <v>1</v>
      </c>
      <c r="AF1277" s="26">
        <v>0.99772727272727302</v>
      </c>
      <c r="AG1277" s="26">
        <v>0.99929378531073398</v>
      </c>
      <c r="AH1277" s="28">
        <v>0.92</v>
      </c>
      <c r="AI1277" s="26">
        <v>0.92457852706299903</v>
      </c>
      <c r="AJ1277" s="26">
        <v>0.97233429394812698</v>
      </c>
      <c r="AK1277" s="26">
        <v>0.97238372093023295</v>
      </c>
      <c r="AL1277" s="26">
        <v>0.963227588834905</v>
      </c>
      <c r="AM1277" s="25">
        <v>0.99</v>
      </c>
      <c r="AN1277" s="30">
        <v>1</v>
      </c>
      <c r="AO1277" s="30">
        <v>1</v>
      </c>
      <c r="AP1277" s="30">
        <v>1</v>
      </c>
      <c r="AQ1277" s="30">
        <v>1</v>
      </c>
      <c r="AR1277" s="50">
        <v>7.2186152540827803E-2</v>
      </c>
      <c r="AS1277" s="34">
        <v>0</v>
      </c>
      <c r="AT1277" s="34">
        <v>0.16666666666666699</v>
      </c>
      <c r="AU1277" s="34">
        <v>0</v>
      </c>
      <c r="AV1277" s="34">
        <v>3.125E-2</v>
      </c>
      <c r="AW1277" s="10"/>
      <c r="AX1277" s="8"/>
    </row>
    <row r="1278" spans="1:50">
      <c r="A1278" s="7"/>
      <c r="B1278" s="10"/>
      <c r="C1278" s="45" t="s">
        <v>1100</v>
      </c>
      <c r="D1278" s="23" t="s">
        <v>25</v>
      </c>
      <c r="E1278" s="83" t="s">
        <v>1322</v>
      </c>
      <c r="F1278" s="83" t="s">
        <v>1322</v>
      </c>
      <c r="G1278" s="83" t="s">
        <v>1322</v>
      </c>
      <c r="H1278" s="83" t="s">
        <v>1322</v>
      </c>
      <c r="I1278" s="25">
        <v>0.9</v>
      </c>
      <c r="J1278" s="26">
        <v>0.92857142857142905</v>
      </c>
      <c r="K1278" s="26">
        <v>0.85185185185185197</v>
      </c>
      <c r="L1278" s="27">
        <v>1</v>
      </c>
      <c r="M1278" s="26">
        <v>0.944827586206897</v>
      </c>
      <c r="N1278" s="28">
        <v>0.9</v>
      </c>
      <c r="O1278" s="26">
        <v>0.49281867145421898</v>
      </c>
      <c r="P1278" s="26">
        <v>0.78772112382934401</v>
      </c>
      <c r="Q1278" s="26">
        <v>0.88271604938271597</v>
      </c>
      <c r="R1278" s="26">
        <v>0.75108045977011495</v>
      </c>
      <c r="S1278" s="28">
        <v>0.9</v>
      </c>
      <c r="T1278" s="26">
        <v>0.73249551166965898</v>
      </c>
      <c r="U1278" s="26">
        <v>0.80176899063475504</v>
      </c>
      <c r="V1278" s="26">
        <v>0.72908093278463604</v>
      </c>
      <c r="W1278" s="26">
        <v>0.76754022988505699</v>
      </c>
      <c r="X1278" s="28">
        <v>0.92</v>
      </c>
      <c r="Y1278" s="28">
        <v>0</v>
      </c>
      <c r="Z1278" s="28">
        <v>0</v>
      </c>
      <c r="AA1278" s="28">
        <v>0</v>
      </c>
      <c r="AB1278" s="28">
        <v>0</v>
      </c>
      <c r="AC1278" s="28">
        <v>0.92</v>
      </c>
      <c r="AD1278" s="26">
        <v>0.996428571428571</v>
      </c>
      <c r="AE1278" s="26">
        <v>0.99664429530201304</v>
      </c>
      <c r="AF1278" s="26">
        <v>0.99806576402321101</v>
      </c>
      <c r="AG1278" s="26">
        <v>0.85753105590062095</v>
      </c>
      <c r="AH1278" s="28">
        <v>0.92</v>
      </c>
      <c r="AI1278" s="26">
        <v>0.95466786355475797</v>
      </c>
      <c r="AJ1278" s="26">
        <v>0.95837669094693001</v>
      </c>
      <c r="AK1278" s="26">
        <v>0.93278463648833998</v>
      </c>
      <c r="AL1278" s="26">
        <v>0.94151724137931003</v>
      </c>
      <c r="AM1278" s="25">
        <v>0.99</v>
      </c>
      <c r="AN1278" s="30">
        <v>1</v>
      </c>
      <c r="AO1278" s="30">
        <v>1</v>
      </c>
      <c r="AP1278" s="30">
        <v>1</v>
      </c>
      <c r="AQ1278" s="30">
        <v>1</v>
      </c>
      <c r="AR1278" s="50">
        <v>7.2186152540827803E-2</v>
      </c>
      <c r="AS1278" s="34">
        <v>9.0909090909090898E-2</v>
      </c>
      <c r="AT1278" s="34">
        <v>0.11111111111111099</v>
      </c>
      <c r="AU1278" s="34">
        <v>0</v>
      </c>
      <c r="AV1278" s="34">
        <v>6.8181818181818205E-2</v>
      </c>
      <c r="AW1278" s="10"/>
      <c r="AX1278" s="8"/>
    </row>
    <row r="1279" spans="1:50">
      <c r="A1279" s="7"/>
      <c r="B1279" s="10"/>
      <c r="C1279" s="45" t="s">
        <v>1100</v>
      </c>
      <c r="D1279" s="23" t="s">
        <v>25</v>
      </c>
      <c r="E1279" s="83" t="s">
        <v>1323</v>
      </c>
      <c r="F1279" s="83" t="s">
        <v>1323</v>
      </c>
      <c r="G1279" s="83" t="s">
        <v>1323</v>
      </c>
      <c r="H1279" s="83" t="s">
        <v>1323</v>
      </c>
      <c r="I1279" s="25">
        <v>0.9</v>
      </c>
      <c r="J1279" s="26">
        <v>1</v>
      </c>
      <c r="K1279" s="26">
        <v>1</v>
      </c>
      <c r="L1279" s="27">
        <v>0.95</v>
      </c>
      <c r="M1279" s="26">
        <v>0.973856209150327</v>
      </c>
      <c r="N1279" s="28">
        <v>0.9</v>
      </c>
      <c r="O1279" s="26">
        <v>0.98236677115987503</v>
      </c>
      <c r="P1279" s="26">
        <v>0.99288979177247305</v>
      </c>
      <c r="Q1279" s="26">
        <v>0.98890339425587503</v>
      </c>
      <c r="R1279" s="26">
        <v>0.97518734388009998</v>
      </c>
      <c r="S1279" s="28">
        <v>0.9</v>
      </c>
      <c r="T1279" s="26">
        <v>0.93730407523510995</v>
      </c>
      <c r="U1279" s="26">
        <v>0.95733875063483997</v>
      </c>
      <c r="V1279" s="26">
        <v>0.92819843342036601</v>
      </c>
      <c r="W1279" s="26">
        <v>0.94820982514571195</v>
      </c>
      <c r="X1279" s="28">
        <v>0.92</v>
      </c>
      <c r="Y1279" s="28">
        <v>0</v>
      </c>
      <c r="Z1279" s="28">
        <v>0</v>
      </c>
      <c r="AA1279" s="28">
        <v>0</v>
      </c>
      <c r="AB1279" s="28">
        <v>0</v>
      </c>
      <c r="AC1279" s="28">
        <v>0.92</v>
      </c>
      <c r="AD1279" s="26">
        <v>1</v>
      </c>
      <c r="AE1279" s="26">
        <v>1</v>
      </c>
      <c r="AF1279" s="26">
        <v>1</v>
      </c>
      <c r="AG1279" s="26">
        <v>1</v>
      </c>
      <c r="AH1279" s="28">
        <v>0.92</v>
      </c>
      <c r="AI1279" s="26">
        <v>0.97061128526645801</v>
      </c>
      <c r="AJ1279" s="26">
        <v>0.97816150330116802</v>
      </c>
      <c r="AK1279" s="26">
        <v>0.96997389033942605</v>
      </c>
      <c r="AL1279" s="26">
        <v>0.97710241465445502</v>
      </c>
      <c r="AM1279" s="25">
        <v>0.99</v>
      </c>
      <c r="AN1279" s="30">
        <v>1</v>
      </c>
      <c r="AO1279" s="30">
        <v>1</v>
      </c>
      <c r="AP1279" s="30">
        <v>1</v>
      </c>
      <c r="AQ1279" s="30">
        <v>1</v>
      </c>
      <c r="AR1279" s="50">
        <v>7.2186152540827803E-2</v>
      </c>
      <c r="AS1279" s="34">
        <v>0</v>
      </c>
      <c r="AT1279" s="34">
        <v>0</v>
      </c>
      <c r="AU1279" s="34">
        <v>0.5</v>
      </c>
      <c r="AV1279" s="34">
        <v>8.1081081081081099E-2</v>
      </c>
      <c r="AW1279" s="10"/>
      <c r="AX1279" s="8"/>
    </row>
    <row r="1280" spans="1:50">
      <c r="A1280" s="7"/>
      <c r="B1280" s="10"/>
      <c r="C1280" s="45" t="s">
        <v>1100</v>
      </c>
      <c r="D1280" s="23" t="s">
        <v>25</v>
      </c>
      <c r="E1280" s="83" t="s">
        <v>1324</v>
      </c>
      <c r="F1280" s="83" t="s">
        <v>1324</v>
      </c>
      <c r="G1280" s="83" t="s">
        <v>1324</v>
      </c>
      <c r="H1280" s="83" t="s">
        <v>1324</v>
      </c>
      <c r="I1280" s="25">
        <v>0.9</v>
      </c>
      <c r="J1280" s="26">
        <v>0.92592592592592604</v>
      </c>
      <c r="K1280" s="26">
        <v>0.96078431372549</v>
      </c>
      <c r="L1280" s="27">
        <v>0.94230769230769196</v>
      </c>
      <c r="M1280" s="26">
        <v>0.92429022082018897</v>
      </c>
      <c r="N1280" s="28">
        <v>0.9</v>
      </c>
      <c r="O1280" s="26">
        <v>0.98621085894857796</v>
      </c>
      <c r="P1280" s="26">
        <v>0.94945567651633</v>
      </c>
      <c r="Q1280" s="26">
        <v>0.984736153510685</v>
      </c>
      <c r="R1280" s="26">
        <v>0.97506909894969596</v>
      </c>
      <c r="S1280" s="28">
        <v>0.9</v>
      </c>
      <c r="T1280" s="26">
        <v>0.92128698649813301</v>
      </c>
      <c r="U1280" s="26">
        <v>0.88413685847589396</v>
      </c>
      <c r="V1280" s="26">
        <v>0.92411687745311799</v>
      </c>
      <c r="W1280" s="26">
        <v>0.91431730237700404</v>
      </c>
      <c r="X1280" s="28">
        <v>0.92</v>
      </c>
      <c r="Y1280" s="28">
        <v>0.92732946946054395</v>
      </c>
      <c r="Z1280" s="28">
        <v>0.93241778099024197</v>
      </c>
      <c r="AA1280" s="28">
        <v>0.95132365499573002</v>
      </c>
      <c r="AB1280" s="28">
        <v>0.93941835172802701</v>
      </c>
      <c r="AC1280" s="28">
        <v>0.92</v>
      </c>
      <c r="AD1280" s="26">
        <v>0.99446494464944601</v>
      </c>
      <c r="AE1280" s="26">
        <v>0.99735449735449699</v>
      </c>
      <c r="AF1280" s="26">
        <v>0.99889685603971301</v>
      </c>
      <c r="AG1280" s="26">
        <v>0.997565516253759</v>
      </c>
      <c r="AH1280" s="28">
        <v>0.92</v>
      </c>
      <c r="AI1280" s="26">
        <v>0.95440251572326995</v>
      </c>
      <c r="AJ1280" s="26">
        <v>0.95774222758828897</v>
      </c>
      <c r="AK1280" s="26">
        <v>0.96766743648960696</v>
      </c>
      <c r="AL1280" s="26">
        <v>0.96043271594820501</v>
      </c>
      <c r="AM1280" s="25">
        <v>0.99</v>
      </c>
      <c r="AN1280" s="30">
        <v>1</v>
      </c>
      <c r="AO1280" s="30">
        <v>1</v>
      </c>
      <c r="AP1280" s="30">
        <v>1</v>
      </c>
      <c r="AQ1280" s="30">
        <v>1</v>
      </c>
      <c r="AR1280" s="50">
        <v>7.2186152540827803E-2</v>
      </c>
      <c r="AS1280" s="34">
        <v>0.115384615384615</v>
      </c>
      <c r="AT1280" s="34">
        <v>0.04</v>
      </c>
      <c r="AU1280" s="34">
        <v>0.11764705882352899</v>
      </c>
      <c r="AV1280" s="34">
        <v>8.1081081081081099E-2</v>
      </c>
      <c r="AW1280" s="10"/>
      <c r="AX1280" s="8"/>
    </row>
    <row r="1281" spans="1:50">
      <c r="A1281" s="7"/>
      <c r="B1281" s="10"/>
      <c r="C1281" s="45" t="s">
        <v>1100</v>
      </c>
      <c r="D1281" s="23" t="s">
        <v>25</v>
      </c>
      <c r="E1281" s="83" t="s">
        <v>1325</v>
      </c>
      <c r="F1281" s="83" t="s">
        <v>1325</v>
      </c>
      <c r="G1281" s="83" t="s">
        <v>1325</v>
      </c>
      <c r="H1281" s="83" t="s">
        <v>1325</v>
      </c>
      <c r="I1281" s="25">
        <v>0.9</v>
      </c>
      <c r="J1281" s="26">
        <v>0.96428571428571397</v>
      </c>
      <c r="K1281" s="26">
        <v>0.95180722891566305</v>
      </c>
      <c r="L1281" s="27">
        <v>0.94366197183098599</v>
      </c>
      <c r="M1281" s="26">
        <v>0.95338983050847503</v>
      </c>
      <c r="N1281" s="28">
        <v>0.9</v>
      </c>
      <c r="O1281" s="26">
        <v>0.98595805190188401</v>
      </c>
      <c r="P1281" s="26">
        <v>0.98907014681892302</v>
      </c>
      <c r="Q1281" s="26">
        <v>0.98117773595052404</v>
      </c>
      <c r="R1281" s="26">
        <v>0.98291685285120101</v>
      </c>
      <c r="S1281" s="28">
        <v>0.9</v>
      </c>
      <c r="T1281" s="26">
        <v>0.95040881621045104</v>
      </c>
      <c r="U1281" s="26">
        <v>0.94176182707993505</v>
      </c>
      <c r="V1281" s="26">
        <v>0.95375100833557402</v>
      </c>
      <c r="W1281" s="26">
        <v>0.943904031897707</v>
      </c>
      <c r="X1281" s="28">
        <v>0.92</v>
      </c>
      <c r="Y1281" s="28">
        <v>0.951713395638629</v>
      </c>
      <c r="Z1281" s="28">
        <v>0.96550936500685203</v>
      </c>
      <c r="AA1281" s="28">
        <v>0.95920502092050197</v>
      </c>
      <c r="AB1281" s="28">
        <v>0.96044818505705598</v>
      </c>
      <c r="AC1281" s="28">
        <v>0.92</v>
      </c>
      <c r="AD1281" s="26">
        <v>0.99652928416485898</v>
      </c>
      <c r="AE1281" s="26">
        <v>0.99429006471259995</v>
      </c>
      <c r="AF1281" s="26">
        <v>0.99554896142433202</v>
      </c>
      <c r="AG1281" s="26">
        <v>0.989887573612516</v>
      </c>
      <c r="AH1281" s="28">
        <v>0.92</v>
      </c>
      <c r="AI1281" s="26">
        <v>0.969669533725668</v>
      </c>
      <c r="AJ1281" s="26">
        <v>0.973829463266083</v>
      </c>
      <c r="AK1281" s="26">
        <v>0.97371692416977496</v>
      </c>
      <c r="AL1281" s="26">
        <v>0.97282294676021497</v>
      </c>
      <c r="AM1281" s="25">
        <v>0.99</v>
      </c>
      <c r="AN1281" s="30">
        <v>1</v>
      </c>
      <c r="AO1281" s="30">
        <v>1</v>
      </c>
      <c r="AP1281" s="30">
        <v>1</v>
      </c>
      <c r="AQ1281" s="30">
        <v>1</v>
      </c>
      <c r="AR1281" s="50">
        <v>7.2186152540827803E-2</v>
      </c>
      <c r="AS1281" s="34">
        <v>6.6666666666666693E-2</v>
      </c>
      <c r="AT1281" s="34">
        <v>0</v>
      </c>
      <c r="AU1281" s="34">
        <v>0.105263157894737</v>
      </c>
      <c r="AV1281" s="34">
        <v>1.8749999999999999E-2</v>
      </c>
      <c r="AW1281" s="10"/>
      <c r="AX1281" s="8"/>
    </row>
    <row r="1282" spans="1:50">
      <c r="A1282" s="7"/>
      <c r="B1282" s="10"/>
      <c r="C1282" s="45" t="s">
        <v>1100</v>
      </c>
      <c r="D1282" s="23" t="s">
        <v>25</v>
      </c>
      <c r="E1282" s="83" t="s">
        <v>1326</v>
      </c>
      <c r="F1282" s="83" t="s">
        <v>1326</v>
      </c>
      <c r="G1282" s="83" t="s">
        <v>1326</v>
      </c>
      <c r="H1282" s="83" t="s">
        <v>1326</v>
      </c>
      <c r="I1282" s="25">
        <v>0.9</v>
      </c>
      <c r="J1282" s="26">
        <v>0.86666666666666703</v>
      </c>
      <c r="K1282" s="26">
        <v>0.75862068965517204</v>
      </c>
      <c r="L1282" s="27">
        <v>0.78571428571428603</v>
      </c>
      <c r="M1282" s="26">
        <v>0.80346820809248598</v>
      </c>
      <c r="N1282" s="28">
        <v>0.9</v>
      </c>
      <c r="O1282" s="26">
        <v>0.96029005524861899</v>
      </c>
      <c r="P1282" s="26">
        <v>0.99015832263585801</v>
      </c>
      <c r="Q1282" s="26">
        <v>0.91477885652642899</v>
      </c>
      <c r="R1282" s="26">
        <v>0.961996400387651</v>
      </c>
      <c r="S1282" s="28">
        <v>0.9</v>
      </c>
      <c r="T1282" s="26">
        <v>0.68162983425414403</v>
      </c>
      <c r="U1282" s="26">
        <v>0.73170731707317105</v>
      </c>
      <c r="V1282" s="26">
        <v>0.74217907227615998</v>
      </c>
      <c r="W1282" s="26">
        <v>0.70538557386127598</v>
      </c>
      <c r="X1282" s="28">
        <v>0.92</v>
      </c>
      <c r="Y1282" s="28">
        <v>0</v>
      </c>
      <c r="Z1282" s="28">
        <v>0</v>
      </c>
      <c r="AA1282" s="28">
        <v>0</v>
      </c>
      <c r="AB1282" s="28">
        <v>0</v>
      </c>
      <c r="AC1282" s="28">
        <v>0.92</v>
      </c>
      <c r="AD1282" s="26">
        <v>1</v>
      </c>
      <c r="AE1282" s="26">
        <v>0.99242424242424199</v>
      </c>
      <c r="AF1282" s="26">
        <v>1</v>
      </c>
      <c r="AG1282" s="26">
        <v>0.99906191369606001</v>
      </c>
      <c r="AH1282" s="28">
        <v>0.92</v>
      </c>
      <c r="AI1282" s="26">
        <v>0.92299723756906105</v>
      </c>
      <c r="AJ1282" s="26">
        <v>0.93541488451668098</v>
      </c>
      <c r="AK1282" s="26">
        <v>0.87216828478964403</v>
      </c>
      <c r="AL1282" s="26">
        <v>0.91015435730601502</v>
      </c>
      <c r="AM1282" s="25">
        <v>0.99</v>
      </c>
      <c r="AN1282" s="30">
        <v>1</v>
      </c>
      <c r="AO1282" s="30">
        <v>1</v>
      </c>
      <c r="AP1282" s="30">
        <v>1</v>
      </c>
      <c r="AQ1282" s="30">
        <v>1</v>
      </c>
      <c r="AR1282" s="50">
        <v>7.2186152540827803E-2</v>
      </c>
      <c r="AS1282" s="34">
        <v>0.14285714285714299</v>
      </c>
      <c r="AT1282" s="34">
        <v>0.16666666666666699</v>
      </c>
      <c r="AU1282" s="34">
        <v>0</v>
      </c>
      <c r="AV1282" s="34">
        <v>0.135135135135135</v>
      </c>
      <c r="AW1282" s="10"/>
      <c r="AX1282" s="8"/>
    </row>
    <row r="1283" spans="1:50">
      <c r="A1283" s="7"/>
      <c r="B1283" s="10"/>
      <c r="C1283" s="45" t="s">
        <v>1100</v>
      </c>
      <c r="D1283" s="23" t="s">
        <v>25</v>
      </c>
      <c r="E1283" s="83" t="s">
        <v>1327</v>
      </c>
      <c r="F1283" s="83" t="s">
        <v>1327</v>
      </c>
      <c r="G1283" s="83" t="s">
        <v>1327</v>
      </c>
      <c r="H1283" s="83" t="s">
        <v>1327</v>
      </c>
      <c r="I1283" s="25">
        <v>0.9</v>
      </c>
      <c r="J1283" s="26">
        <v>0.90909090909090895</v>
      </c>
      <c r="K1283" s="26">
        <v>0.87719298245613997</v>
      </c>
      <c r="L1283" s="27">
        <v>0.88</v>
      </c>
      <c r="M1283" s="26">
        <v>0.88888888888888895</v>
      </c>
      <c r="N1283" s="28">
        <v>0.9</v>
      </c>
      <c r="O1283" s="26">
        <v>0.96321778248213796</v>
      </c>
      <c r="P1283" s="26">
        <v>0.968608739326971</v>
      </c>
      <c r="Q1283" s="26">
        <v>0.92828525641025605</v>
      </c>
      <c r="R1283" s="26">
        <v>0.95910290237467</v>
      </c>
      <c r="S1283" s="28">
        <v>0.9</v>
      </c>
      <c r="T1283" s="26">
        <v>0.78962688541942305</v>
      </c>
      <c r="U1283" s="26">
        <v>0.81918633852335498</v>
      </c>
      <c r="V1283" s="26">
        <v>0.84455128205128205</v>
      </c>
      <c r="W1283" s="26">
        <v>0.823878627968338</v>
      </c>
      <c r="X1283" s="28">
        <v>0.92</v>
      </c>
      <c r="Y1283" s="28">
        <v>0.917377638078132</v>
      </c>
      <c r="Z1283" s="28">
        <v>0.91335616438356204</v>
      </c>
      <c r="AA1283" s="28">
        <v>0.93271295633500395</v>
      </c>
      <c r="AB1283" s="28">
        <v>0.93052973977695197</v>
      </c>
      <c r="AC1283" s="28">
        <v>0.92</v>
      </c>
      <c r="AD1283" s="26">
        <v>0.992764857881137</v>
      </c>
      <c r="AE1283" s="26">
        <v>0.99319110304130698</v>
      </c>
      <c r="AF1283" s="26">
        <v>0.99781659388646304</v>
      </c>
      <c r="AG1283" s="26">
        <v>0.99660996428355197</v>
      </c>
      <c r="AH1283" s="28">
        <v>0.92</v>
      </c>
      <c r="AI1283" s="26">
        <v>0.93772893772893795</v>
      </c>
      <c r="AJ1283" s="26">
        <v>0.94016227180527401</v>
      </c>
      <c r="AK1283" s="26">
        <v>0.95016696634985898</v>
      </c>
      <c r="AL1283" s="26">
        <v>0.94960456133897397</v>
      </c>
      <c r="AM1283" s="25">
        <v>0.99</v>
      </c>
      <c r="AN1283" s="30">
        <v>1</v>
      </c>
      <c r="AO1283" s="30">
        <v>1</v>
      </c>
      <c r="AP1283" s="30">
        <v>1</v>
      </c>
      <c r="AQ1283" s="30">
        <v>1</v>
      </c>
      <c r="AR1283" s="50">
        <v>7.2186152540827803E-2</v>
      </c>
      <c r="AS1283" s="34">
        <v>2.1276595744680899E-2</v>
      </c>
      <c r="AT1283" s="34">
        <v>0</v>
      </c>
      <c r="AU1283" s="34">
        <v>4.3478260869565202E-2</v>
      </c>
      <c r="AV1283" s="34">
        <v>3.1746031746031703E-2</v>
      </c>
      <c r="AW1283" s="10"/>
      <c r="AX1283" s="8"/>
    </row>
    <row r="1284" spans="1:50">
      <c r="A1284" s="7"/>
      <c r="B1284" s="10"/>
      <c r="C1284" s="45" t="s">
        <v>1100</v>
      </c>
      <c r="D1284" s="23" t="s">
        <v>25</v>
      </c>
      <c r="E1284" s="83" t="s">
        <v>1328</v>
      </c>
      <c r="F1284" s="83" t="s">
        <v>1328</v>
      </c>
      <c r="G1284" s="83" t="s">
        <v>1328</v>
      </c>
      <c r="H1284" s="83" t="s">
        <v>1328</v>
      </c>
      <c r="I1284" s="25">
        <v>0.9</v>
      </c>
      <c r="J1284" s="26">
        <v>0.97058823529411797</v>
      </c>
      <c r="K1284" s="26">
        <v>1</v>
      </c>
      <c r="L1284" s="27">
        <v>1</v>
      </c>
      <c r="M1284" s="26">
        <v>0.99004975124378103</v>
      </c>
      <c r="N1284" s="28">
        <v>0.9</v>
      </c>
      <c r="O1284" s="26">
        <v>0.99655172413793103</v>
      </c>
      <c r="P1284" s="26">
        <v>0.99953789279112804</v>
      </c>
      <c r="Q1284" s="26">
        <v>0.99536321483771295</v>
      </c>
      <c r="R1284" s="26">
        <v>0.99689892431437199</v>
      </c>
      <c r="S1284" s="28">
        <v>0.9</v>
      </c>
      <c r="T1284" s="26">
        <v>0.96945812807881804</v>
      </c>
      <c r="U1284" s="26">
        <v>0.96534195933456601</v>
      </c>
      <c r="V1284" s="26">
        <v>0.97372488408037094</v>
      </c>
      <c r="W1284" s="26">
        <v>0.97170268436864005</v>
      </c>
      <c r="X1284" s="28">
        <v>0.92</v>
      </c>
      <c r="Y1284" s="28">
        <v>0.977060322854715</v>
      </c>
      <c r="Z1284" s="28">
        <v>0.98353096179183097</v>
      </c>
      <c r="AA1284" s="28">
        <v>0.989884393063584</v>
      </c>
      <c r="AB1284" s="28">
        <v>0.98496768755268305</v>
      </c>
      <c r="AC1284" s="28">
        <v>0.92</v>
      </c>
      <c r="AD1284" s="26">
        <v>1</v>
      </c>
      <c r="AE1284" s="26">
        <v>1</v>
      </c>
      <c r="AF1284" s="26">
        <v>0.99821109123434704</v>
      </c>
      <c r="AG1284" s="26">
        <v>0.99788060755916597</v>
      </c>
      <c r="AH1284" s="28">
        <v>0.92</v>
      </c>
      <c r="AI1284" s="26">
        <v>0.98160274399750502</v>
      </c>
      <c r="AJ1284" s="26">
        <v>0.98588107521042601</v>
      </c>
      <c r="AK1284" s="26">
        <v>0.98992950654582101</v>
      </c>
      <c r="AL1284" s="26">
        <v>0.98818671866039698</v>
      </c>
      <c r="AM1284" s="25">
        <v>0.99</v>
      </c>
      <c r="AN1284" s="30">
        <v>1</v>
      </c>
      <c r="AO1284" s="30">
        <v>1</v>
      </c>
      <c r="AP1284" s="30">
        <v>1</v>
      </c>
      <c r="AQ1284" s="30">
        <v>1</v>
      </c>
      <c r="AR1284" s="50">
        <v>7.2186152540827803E-2</v>
      </c>
      <c r="AS1284" s="34">
        <v>0</v>
      </c>
      <c r="AT1284" s="34">
        <v>0</v>
      </c>
      <c r="AU1284" s="34">
        <v>0</v>
      </c>
      <c r="AV1284" s="34">
        <v>0</v>
      </c>
      <c r="AW1284" s="10"/>
      <c r="AX1284" s="8"/>
    </row>
    <row r="1285" spans="1:50">
      <c r="A1285" s="7"/>
      <c r="B1285" s="10"/>
      <c r="C1285" s="45" t="s">
        <v>1100</v>
      </c>
      <c r="D1285" s="23" t="s">
        <v>25</v>
      </c>
      <c r="E1285" s="83" t="s">
        <v>1329</v>
      </c>
      <c r="F1285" s="83" t="s">
        <v>1329</v>
      </c>
      <c r="G1285" s="83" t="s">
        <v>1329</v>
      </c>
      <c r="H1285" s="83" t="s">
        <v>1329</v>
      </c>
      <c r="I1285" s="25">
        <v>0.9</v>
      </c>
      <c r="J1285" s="26">
        <v>0.96969696969696995</v>
      </c>
      <c r="K1285" s="26">
        <v>0.95454545454545503</v>
      </c>
      <c r="L1285" s="27">
        <v>0.88135593220339004</v>
      </c>
      <c r="M1285" s="26">
        <v>0.90540540540540504</v>
      </c>
      <c r="N1285" s="28">
        <v>0.9</v>
      </c>
      <c r="O1285" s="26">
        <v>0.95420689655172397</v>
      </c>
      <c r="P1285" s="26">
        <v>0.96498054474708195</v>
      </c>
      <c r="Q1285" s="26">
        <v>0.98922056384742996</v>
      </c>
      <c r="R1285" s="26">
        <v>0.97233475479744103</v>
      </c>
      <c r="S1285" s="28">
        <v>0.9</v>
      </c>
      <c r="T1285" s="26">
        <v>0.95227586206896597</v>
      </c>
      <c r="U1285" s="26">
        <v>0.93385214007782102</v>
      </c>
      <c r="V1285" s="26">
        <v>0.95024875621890503</v>
      </c>
      <c r="W1285" s="26">
        <v>0.940191897654584</v>
      </c>
      <c r="X1285" s="28">
        <v>0.92</v>
      </c>
      <c r="Y1285" s="28">
        <v>0.95929694727104498</v>
      </c>
      <c r="Z1285" s="28">
        <v>0.96534826741337099</v>
      </c>
      <c r="AA1285" s="28">
        <v>0.963450292397661</v>
      </c>
      <c r="AB1285" s="28">
        <v>0.96392272480409602</v>
      </c>
      <c r="AC1285" s="28">
        <v>0.92</v>
      </c>
      <c r="AD1285" s="26">
        <v>0.99722838137472303</v>
      </c>
      <c r="AE1285" s="26">
        <v>0.998991935483871</v>
      </c>
      <c r="AF1285" s="26">
        <v>0.99603803486529296</v>
      </c>
      <c r="AG1285" s="26">
        <v>0.99592226271039397</v>
      </c>
      <c r="AH1285" s="28">
        <v>0.92</v>
      </c>
      <c r="AI1285" s="26">
        <v>0.97598064627613601</v>
      </c>
      <c r="AJ1285" s="26">
        <v>0.97646357813198303</v>
      </c>
      <c r="AK1285" s="26">
        <v>0.97804232804232805</v>
      </c>
      <c r="AL1285" s="26">
        <v>0.97712552525986496</v>
      </c>
      <c r="AM1285" s="25">
        <v>0.99</v>
      </c>
      <c r="AN1285" s="30">
        <v>1</v>
      </c>
      <c r="AO1285" s="30">
        <v>1</v>
      </c>
      <c r="AP1285" s="30">
        <v>1</v>
      </c>
      <c r="AQ1285" s="30">
        <v>1</v>
      </c>
      <c r="AR1285" s="50">
        <v>7.2186152540827803E-2</v>
      </c>
      <c r="AS1285" s="34">
        <v>-0.11764705882352899</v>
      </c>
      <c r="AT1285" s="34">
        <v>0</v>
      </c>
      <c r="AU1285" s="34">
        <v>7.69230769230769E-2</v>
      </c>
      <c r="AV1285" s="34">
        <v>2.2988505747126398E-2</v>
      </c>
      <c r="AW1285" s="10"/>
      <c r="AX1285" s="8"/>
    </row>
    <row r="1286" spans="1:50">
      <c r="A1286" s="7"/>
      <c r="B1286" s="10"/>
      <c r="C1286" s="45" t="s">
        <v>1100</v>
      </c>
      <c r="D1286" s="23" t="s">
        <v>25</v>
      </c>
      <c r="E1286" s="83" t="s">
        <v>1330</v>
      </c>
      <c r="F1286" s="83" t="s">
        <v>1330</v>
      </c>
      <c r="G1286" s="83" t="s">
        <v>1330</v>
      </c>
      <c r="H1286" s="83" t="s">
        <v>1330</v>
      </c>
      <c r="I1286" s="25">
        <v>0.9</v>
      </c>
      <c r="J1286" s="26">
        <v>0.94117647058823495</v>
      </c>
      <c r="K1286" s="26">
        <v>1</v>
      </c>
      <c r="L1286" s="27">
        <v>0.93333333333333302</v>
      </c>
      <c r="M1286" s="26">
        <v>0.94871794871794901</v>
      </c>
      <c r="N1286" s="28">
        <v>0.9</v>
      </c>
      <c r="O1286" s="26">
        <v>0.99174356483729997</v>
      </c>
      <c r="P1286" s="26">
        <v>0.90430379746835399</v>
      </c>
      <c r="Q1286" s="26">
        <v>0.987714987714988</v>
      </c>
      <c r="R1286" s="26">
        <v>0.974243663123467</v>
      </c>
      <c r="S1286" s="28">
        <v>0.9</v>
      </c>
      <c r="T1286" s="26">
        <v>0.94803302574065096</v>
      </c>
      <c r="U1286" s="26">
        <v>0.86278481012658204</v>
      </c>
      <c r="V1286" s="26">
        <v>0.94922194922194902</v>
      </c>
      <c r="W1286" s="26">
        <v>0.93714227309893705</v>
      </c>
      <c r="X1286" s="28">
        <v>0.92</v>
      </c>
      <c r="Y1286" s="28">
        <v>0.96765498652291104</v>
      </c>
      <c r="Z1286" s="28">
        <v>0.97039230199852</v>
      </c>
      <c r="AA1286" s="28">
        <v>0.97663551401869197</v>
      </c>
      <c r="AB1286" s="28">
        <v>0.97092387056432705</v>
      </c>
      <c r="AC1286" s="28">
        <v>0.92</v>
      </c>
      <c r="AD1286" s="26">
        <v>0.99868766404199505</v>
      </c>
      <c r="AE1286" s="26">
        <v>0.99470899470899499</v>
      </c>
      <c r="AF1286" s="26">
        <v>0.99809160305343503</v>
      </c>
      <c r="AG1286" s="26">
        <v>0.99839015151515198</v>
      </c>
      <c r="AH1286" s="28">
        <v>0.92</v>
      </c>
      <c r="AI1286" s="26">
        <v>0.97572509457755396</v>
      </c>
      <c r="AJ1286" s="26">
        <v>0.976849067949489</v>
      </c>
      <c r="AK1286" s="26">
        <v>0.98228663446054798</v>
      </c>
      <c r="AL1286" s="26">
        <v>0.97923875432525997</v>
      </c>
      <c r="AM1286" s="25">
        <v>0.99</v>
      </c>
      <c r="AN1286" s="30">
        <v>1</v>
      </c>
      <c r="AO1286" s="30">
        <v>1</v>
      </c>
      <c r="AP1286" s="30">
        <v>1</v>
      </c>
      <c r="AQ1286" s="30">
        <v>1</v>
      </c>
      <c r="AR1286" s="50">
        <v>7.2186152540827803E-2</v>
      </c>
      <c r="AS1286" s="34">
        <v>0</v>
      </c>
      <c r="AT1286" s="34">
        <v>0</v>
      </c>
      <c r="AU1286" s="34">
        <v>0</v>
      </c>
      <c r="AV1286" s="34">
        <v>0</v>
      </c>
      <c r="AW1286" s="10"/>
      <c r="AX1286" s="8"/>
    </row>
    <row r="1287" spans="1:50">
      <c r="A1287" s="7"/>
      <c r="B1287" s="10"/>
      <c r="C1287" s="45" t="s">
        <v>1100</v>
      </c>
      <c r="D1287" s="23" t="s">
        <v>25</v>
      </c>
      <c r="E1287" s="83" t="s">
        <v>1331</v>
      </c>
      <c r="F1287" s="83" t="s">
        <v>1331</v>
      </c>
      <c r="G1287" s="83" t="s">
        <v>1331</v>
      </c>
      <c r="H1287" s="83" t="s">
        <v>1331</v>
      </c>
      <c r="I1287" s="25">
        <v>0.9</v>
      </c>
      <c r="J1287" s="26">
        <v>0.96969696969696995</v>
      </c>
      <c r="K1287" s="26">
        <v>0.9375</v>
      </c>
      <c r="L1287" s="27">
        <v>0.85714285714285698</v>
      </c>
      <c r="M1287" s="26">
        <v>0.92021276595744705</v>
      </c>
      <c r="N1287" s="28">
        <v>0.9</v>
      </c>
      <c r="O1287" s="26">
        <v>0.994316567206593</v>
      </c>
      <c r="P1287" s="26">
        <v>0.99581151832460701</v>
      </c>
      <c r="Q1287" s="26">
        <v>0.99160406539991197</v>
      </c>
      <c r="R1287" s="26">
        <v>0.99275573990769395</v>
      </c>
      <c r="S1287" s="28">
        <v>0.9</v>
      </c>
      <c r="T1287" s="26">
        <v>0.91872691105427695</v>
      </c>
      <c r="U1287" s="26">
        <v>0.951832460732984</v>
      </c>
      <c r="V1287" s="26">
        <v>0.95713654441007501</v>
      </c>
      <c r="W1287" s="26">
        <v>0.95595022492259196</v>
      </c>
      <c r="X1287" s="28">
        <v>0.92</v>
      </c>
      <c r="Y1287" s="28">
        <v>0</v>
      </c>
      <c r="Z1287" s="28">
        <v>0</v>
      </c>
      <c r="AA1287" s="28">
        <v>0</v>
      </c>
      <c r="AB1287" s="28">
        <v>0</v>
      </c>
      <c r="AC1287" s="28">
        <v>0.92</v>
      </c>
      <c r="AD1287" s="26">
        <v>0.99944506104328501</v>
      </c>
      <c r="AE1287" s="26">
        <v>0.99869337979094097</v>
      </c>
      <c r="AF1287" s="26">
        <v>0.99018691588785002</v>
      </c>
      <c r="AG1287" s="26">
        <v>0.99735987002436999</v>
      </c>
      <c r="AH1287" s="28">
        <v>0.92</v>
      </c>
      <c r="AI1287" s="26">
        <v>0.97470872406933795</v>
      </c>
      <c r="AJ1287" s="26">
        <v>0.97766143106457204</v>
      </c>
      <c r="AK1287" s="26">
        <v>0.98099867432611598</v>
      </c>
      <c r="AL1287" s="26">
        <v>0.97931880586551401</v>
      </c>
      <c r="AM1287" s="25">
        <v>0.99</v>
      </c>
      <c r="AN1287" s="30">
        <v>1</v>
      </c>
      <c r="AO1287" s="30">
        <v>1</v>
      </c>
      <c r="AP1287" s="30">
        <v>1</v>
      </c>
      <c r="AQ1287" s="30">
        <v>1</v>
      </c>
      <c r="AR1287" s="50">
        <v>7.2186152540827803E-2</v>
      </c>
      <c r="AS1287" s="34">
        <v>0</v>
      </c>
      <c r="AT1287" s="34">
        <v>0</v>
      </c>
      <c r="AU1287" s="34">
        <v>0.2</v>
      </c>
      <c r="AV1287" s="34">
        <v>4.6511627906976702E-2</v>
      </c>
      <c r="AW1287" s="10"/>
      <c r="AX1287" s="8"/>
    </row>
    <row r="1288" spans="1:50">
      <c r="A1288" s="7"/>
      <c r="B1288" s="10"/>
      <c r="C1288" s="45" t="s">
        <v>1100</v>
      </c>
      <c r="D1288" s="23" t="s">
        <v>25</v>
      </c>
      <c r="E1288" s="83" t="s">
        <v>1332</v>
      </c>
      <c r="F1288" s="83" t="s">
        <v>1332</v>
      </c>
      <c r="G1288" s="83" t="s">
        <v>1332</v>
      </c>
      <c r="H1288" s="83" t="s">
        <v>1332</v>
      </c>
      <c r="I1288" s="25">
        <v>0.9</v>
      </c>
      <c r="J1288" s="26">
        <v>0.97619047619047605</v>
      </c>
      <c r="K1288" s="26">
        <v>0.90697674418604601</v>
      </c>
      <c r="L1288" s="27">
        <v>0.97297297297297303</v>
      </c>
      <c r="M1288" s="26">
        <v>0.96234309623431002</v>
      </c>
      <c r="N1288" s="28">
        <v>0.9</v>
      </c>
      <c r="O1288" s="26">
        <v>0.865026099925429</v>
      </c>
      <c r="P1288" s="26">
        <v>0.92637644046094703</v>
      </c>
      <c r="Q1288" s="26">
        <v>0.982437466737626</v>
      </c>
      <c r="R1288" s="26">
        <v>0.94568892645815705</v>
      </c>
      <c r="S1288" s="28">
        <v>0.9</v>
      </c>
      <c r="T1288" s="26">
        <v>0.84824757643549598</v>
      </c>
      <c r="U1288" s="26">
        <v>0.93725992317541595</v>
      </c>
      <c r="V1288" s="26">
        <v>0.95902075572112799</v>
      </c>
      <c r="W1288" s="26">
        <v>0.93448858833474202</v>
      </c>
      <c r="X1288" s="28">
        <v>0.92</v>
      </c>
      <c r="Y1288" s="28">
        <v>0.94270205066345003</v>
      </c>
      <c r="Z1288" s="28">
        <v>0.94860914662894902</v>
      </c>
      <c r="AA1288" s="28">
        <v>0.96133751306165105</v>
      </c>
      <c r="AB1288" s="28">
        <v>0.95635948999689002</v>
      </c>
      <c r="AC1288" s="28">
        <v>0.92</v>
      </c>
      <c r="AD1288" s="26">
        <v>0.99825098382160005</v>
      </c>
      <c r="AE1288" s="26">
        <v>0.99507829977628603</v>
      </c>
      <c r="AF1288" s="26">
        <v>0.99918666124440803</v>
      </c>
      <c r="AG1288" s="26">
        <v>0.99856897538637701</v>
      </c>
      <c r="AH1288" s="28">
        <v>0.92</v>
      </c>
      <c r="AI1288" s="26">
        <v>0.96497695852534604</v>
      </c>
      <c r="AJ1288" s="26">
        <v>0.96377502383222102</v>
      </c>
      <c r="AK1288" s="26">
        <v>0.97180119844906598</v>
      </c>
      <c r="AL1288" s="26">
        <v>0.97161068478215296</v>
      </c>
      <c r="AM1288" s="25">
        <v>0.99</v>
      </c>
      <c r="AN1288" s="30">
        <v>1</v>
      </c>
      <c r="AO1288" s="30">
        <v>1</v>
      </c>
      <c r="AP1288" s="30">
        <v>1</v>
      </c>
      <c r="AQ1288" s="30">
        <v>1</v>
      </c>
      <c r="AR1288" s="50">
        <v>7.2186152540827803E-2</v>
      </c>
      <c r="AS1288" s="34">
        <v>0</v>
      </c>
      <c r="AT1288" s="34">
        <v>0</v>
      </c>
      <c r="AU1288" s="34">
        <v>0</v>
      </c>
      <c r="AV1288" s="34">
        <v>3.125E-2</v>
      </c>
      <c r="AW1288" s="10"/>
      <c r="AX1288" s="8"/>
    </row>
    <row r="1289" spans="1:50">
      <c r="A1289" s="7"/>
      <c r="B1289" s="10"/>
      <c r="C1289" s="45" t="s">
        <v>1100</v>
      </c>
      <c r="D1289" s="23" t="s">
        <v>25</v>
      </c>
      <c r="E1289" s="83" t="s">
        <v>1333</v>
      </c>
      <c r="F1289" s="83" t="s">
        <v>1333</v>
      </c>
      <c r="G1289" s="83" t="s">
        <v>1333</v>
      </c>
      <c r="H1289" s="83" t="s">
        <v>1333</v>
      </c>
      <c r="I1289" s="25">
        <v>0.9</v>
      </c>
      <c r="J1289" s="26">
        <v>0.83333333333333304</v>
      </c>
      <c r="K1289" s="26">
        <v>0.96</v>
      </c>
      <c r="L1289" s="27">
        <v>0.95454545454545503</v>
      </c>
      <c r="M1289" s="26">
        <v>0.92142857142857104</v>
      </c>
      <c r="N1289" s="28">
        <v>0.9</v>
      </c>
      <c r="O1289" s="26">
        <v>0.98045023696682498</v>
      </c>
      <c r="P1289" s="26">
        <v>0.82024169184289997</v>
      </c>
      <c r="Q1289" s="26">
        <v>0.97868712702472305</v>
      </c>
      <c r="R1289" s="26">
        <v>0.94442613948380005</v>
      </c>
      <c r="S1289" s="28">
        <v>0.9</v>
      </c>
      <c r="T1289" s="26">
        <v>0.90580568720379195</v>
      </c>
      <c r="U1289" s="26">
        <v>0.83484390735145997</v>
      </c>
      <c r="V1289" s="26">
        <v>0.91986359761295799</v>
      </c>
      <c r="W1289" s="26">
        <v>0.89181768259198202</v>
      </c>
      <c r="X1289" s="28">
        <v>0.92</v>
      </c>
      <c r="Y1289" s="28">
        <v>0.95588235294117696</v>
      </c>
      <c r="Z1289" s="28">
        <v>0.94302848575712095</v>
      </c>
      <c r="AA1289" s="28">
        <v>0.95733788395904396</v>
      </c>
      <c r="AB1289" s="28">
        <v>0.95356906807666897</v>
      </c>
      <c r="AC1289" s="28">
        <v>0.92</v>
      </c>
      <c r="AD1289" s="26">
        <v>0.99785177228786204</v>
      </c>
      <c r="AE1289" s="26">
        <v>0.99551569506726501</v>
      </c>
      <c r="AF1289" s="26">
        <v>0.99666666666666703</v>
      </c>
      <c r="AG1289" s="26">
        <v>0.997329210008434</v>
      </c>
      <c r="AH1289" s="28">
        <v>0.92</v>
      </c>
      <c r="AI1289" s="26">
        <v>0.97082717872969004</v>
      </c>
      <c r="AJ1289" s="26">
        <v>0.96265060240963896</v>
      </c>
      <c r="AK1289" s="26">
        <v>0.96475270039795302</v>
      </c>
      <c r="AL1289" s="26">
        <v>0.96800158342679998</v>
      </c>
      <c r="AM1289" s="25">
        <v>0.99</v>
      </c>
      <c r="AN1289" s="30">
        <v>1</v>
      </c>
      <c r="AO1289" s="30">
        <v>1</v>
      </c>
      <c r="AP1289" s="30">
        <v>1</v>
      </c>
      <c r="AQ1289" s="30">
        <v>1</v>
      </c>
      <c r="AR1289" s="50">
        <v>7.2186152540827803E-2</v>
      </c>
      <c r="AS1289" s="34">
        <v>0</v>
      </c>
      <c r="AT1289" s="34">
        <v>0.33333333333333298</v>
      </c>
      <c r="AU1289" s="34">
        <v>0</v>
      </c>
      <c r="AV1289" s="34">
        <v>0.105263157894737</v>
      </c>
      <c r="AW1289" s="10"/>
      <c r="AX1289" s="8"/>
    </row>
    <row r="1290" spans="1:50">
      <c r="A1290" s="7"/>
      <c r="B1290" s="10"/>
      <c r="C1290" s="45" t="s">
        <v>1100</v>
      </c>
      <c r="D1290" s="23" t="s">
        <v>25</v>
      </c>
      <c r="E1290" s="83" t="s">
        <v>1334</v>
      </c>
      <c r="F1290" s="83" t="s">
        <v>1334</v>
      </c>
      <c r="G1290" s="83" t="s">
        <v>1334</v>
      </c>
      <c r="H1290" s="83" t="s">
        <v>1334</v>
      </c>
      <c r="I1290" s="25">
        <v>0.9</v>
      </c>
      <c r="J1290" s="26">
        <v>0.8125</v>
      </c>
      <c r="K1290" s="26">
        <v>0.84782608695652195</v>
      </c>
      <c r="L1290" s="27">
        <v>0.71428571428571397</v>
      </c>
      <c r="M1290" s="26">
        <v>0.8</v>
      </c>
      <c r="N1290" s="28">
        <v>0.9</v>
      </c>
      <c r="O1290" s="26">
        <v>0.97375661375661404</v>
      </c>
      <c r="P1290" s="26">
        <v>0.99413646055437099</v>
      </c>
      <c r="Q1290" s="26">
        <v>0.97086092715231798</v>
      </c>
      <c r="R1290" s="26">
        <v>0.97837909537073897</v>
      </c>
      <c r="S1290" s="28">
        <v>0.9</v>
      </c>
      <c r="T1290" s="26">
        <v>0.838518518518519</v>
      </c>
      <c r="U1290" s="26">
        <v>0.88939232409381697</v>
      </c>
      <c r="V1290" s="26">
        <v>0.89668874172185398</v>
      </c>
      <c r="W1290" s="26">
        <v>0.87447495246938101</v>
      </c>
      <c r="X1290" s="28">
        <v>0.92</v>
      </c>
      <c r="Y1290" s="28">
        <v>0</v>
      </c>
      <c r="Z1290" s="28">
        <v>0</v>
      </c>
      <c r="AA1290" s="28">
        <v>0</v>
      </c>
      <c r="AB1290" s="28">
        <v>0</v>
      </c>
      <c r="AC1290" s="28">
        <v>0.92</v>
      </c>
      <c r="AD1290" s="26">
        <v>0.99460188933873095</v>
      </c>
      <c r="AE1290" s="26">
        <v>1</v>
      </c>
      <c r="AF1290" s="26">
        <v>1</v>
      </c>
      <c r="AG1290" s="26">
        <v>0.99690053536207401</v>
      </c>
      <c r="AH1290" s="28">
        <v>0.92</v>
      </c>
      <c r="AI1290" s="26">
        <v>0.96275132275132302</v>
      </c>
      <c r="AJ1290" s="26">
        <v>0.96828358208955201</v>
      </c>
      <c r="AK1290" s="26">
        <v>0.95430463576158897</v>
      </c>
      <c r="AL1290" s="26">
        <v>0.96736967767608395</v>
      </c>
      <c r="AM1290" s="25">
        <v>0.99</v>
      </c>
      <c r="AN1290" s="30">
        <v>1</v>
      </c>
      <c r="AO1290" s="30">
        <v>1</v>
      </c>
      <c r="AP1290" s="30">
        <v>1</v>
      </c>
      <c r="AQ1290" s="30">
        <v>1</v>
      </c>
      <c r="AR1290" s="50">
        <v>7.2186152540827803E-2</v>
      </c>
      <c r="AS1290" s="34">
        <v>0.16666666666666699</v>
      </c>
      <c r="AT1290" s="34">
        <v>0</v>
      </c>
      <c r="AU1290" s="34">
        <v>0.16666666666666699</v>
      </c>
      <c r="AV1290" s="34">
        <v>1.7857142857142901E-2</v>
      </c>
      <c r="AW1290" s="10"/>
      <c r="AX1290" s="8"/>
    </row>
    <row r="1291" spans="1:50">
      <c r="A1291" s="7"/>
      <c r="B1291" s="10"/>
      <c r="C1291" s="45" t="s">
        <v>1100</v>
      </c>
      <c r="D1291" s="23" t="s">
        <v>25</v>
      </c>
      <c r="E1291" s="83" t="s">
        <v>1335</v>
      </c>
      <c r="F1291" s="83" t="s">
        <v>1335</v>
      </c>
      <c r="G1291" s="83" t="s">
        <v>1335</v>
      </c>
      <c r="H1291" s="83" t="s">
        <v>1335</v>
      </c>
      <c r="I1291" s="25">
        <v>0.9</v>
      </c>
      <c r="J1291" s="26">
        <v>0.88888888888888895</v>
      </c>
      <c r="K1291" s="26">
        <v>0.9</v>
      </c>
      <c r="L1291" s="27">
        <v>0.8125</v>
      </c>
      <c r="M1291" s="26">
        <v>0.84761904761904805</v>
      </c>
      <c r="N1291" s="28">
        <v>0.9</v>
      </c>
      <c r="O1291" s="26">
        <v>0.81696779261586805</v>
      </c>
      <c r="P1291" s="26">
        <v>0.97591297591297599</v>
      </c>
      <c r="Q1291" s="26">
        <v>0.98710601719197699</v>
      </c>
      <c r="R1291" s="26">
        <v>0.94887001121974701</v>
      </c>
      <c r="S1291" s="28">
        <v>0.9</v>
      </c>
      <c r="T1291" s="26">
        <v>0.92694422623723505</v>
      </c>
      <c r="U1291" s="26">
        <v>0.94172494172494203</v>
      </c>
      <c r="V1291" s="26">
        <v>0.94985673352435496</v>
      </c>
      <c r="W1291" s="26">
        <v>0.923705722070845</v>
      </c>
      <c r="X1291" s="28">
        <v>0.92</v>
      </c>
      <c r="Y1291" s="28">
        <v>0.96165191740413003</v>
      </c>
      <c r="Z1291" s="28">
        <v>0.96512935883014594</v>
      </c>
      <c r="AA1291" s="28">
        <v>0.95833333333333304</v>
      </c>
      <c r="AB1291" s="28">
        <v>0.96235122662132599</v>
      </c>
      <c r="AC1291" s="28">
        <v>0.92</v>
      </c>
      <c r="AD1291" s="26">
        <v>1</v>
      </c>
      <c r="AE1291" s="26">
        <v>0.99168975069252097</v>
      </c>
      <c r="AF1291" s="26">
        <v>1</v>
      </c>
      <c r="AG1291" s="26">
        <v>0.98743267504488297</v>
      </c>
      <c r="AH1291" s="28">
        <v>0.92</v>
      </c>
      <c r="AI1291" s="26">
        <v>0.968733982573039</v>
      </c>
      <c r="AJ1291" s="26">
        <v>0.97610294117647101</v>
      </c>
      <c r="AK1291" s="26">
        <v>0.969670710571924</v>
      </c>
      <c r="AL1291" s="26">
        <v>0.97190034762456501</v>
      </c>
      <c r="AM1291" s="25">
        <v>0.99</v>
      </c>
      <c r="AN1291" s="30">
        <v>1</v>
      </c>
      <c r="AO1291" s="30">
        <v>1</v>
      </c>
      <c r="AP1291" s="30">
        <v>1</v>
      </c>
      <c r="AQ1291" s="30">
        <v>1</v>
      </c>
      <c r="AR1291" s="50">
        <v>7.2186152540827803E-2</v>
      </c>
      <c r="AS1291" s="34">
        <v>0</v>
      </c>
      <c r="AT1291" s="34">
        <v>0</v>
      </c>
      <c r="AU1291" s="34">
        <v>0</v>
      </c>
      <c r="AV1291" s="34">
        <v>3.125E-2</v>
      </c>
      <c r="AW1291" s="10"/>
      <c r="AX1291" s="8"/>
    </row>
    <row r="1292" spans="1:50">
      <c r="A1292" s="7"/>
      <c r="B1292" s="10"/>
      <c r="C1292" s="45" t="s">
        <v>1100</v>
      </c>
      <c r="D1292" s="23" t="s">
        <v>25</v>
      </c>
      <c r="E1292" s="83" t="s">
        <v>1336</v>
      </c>
      <c r="F1292" s="83" t="s">
        <v>1336</v>
      </c>
      <c r="G1292" s="83" t="s">
        <v>1336</v>
      </c>
      <c r="H1292" s="83" t="s">
        <v>1336</v>
      </c>
      <c r="I1292" s="25">
        <v>0.9</v>
      </c>
      <c r="J1292" s="26">
        <v>0</v>
      </c>
      <c r="K1292" s="26">
        <v>0</v>
      </c>
      <c r="L1292" s="27">
        <v>0</v>
      </c>
      <c r="M1292" s="26">
        <v>0</v>
      </c>
      <c r="N1292" s="28">
        <v>0.9</v>
      </c>
      <c r="O1292" s="26">
        <v>0</v>
      </c>
      <c r="P1292" s="26">
        <v>0</v>
      </c>
      <c r="Q1292" s="26">
        <v>0</v>
      </c>
      <c r="R1292" s="26">
        <v>0</v>
      </c>
      <c r="S1292" s="28">
        <v>0.9</v>
      </c>
      <c r="T1292" s="26">
        <v>0</v>
      </c>
      <c r="U1292" s="26">
        <v>0</v>
      </c>
      <c r="V1292" s="26">
        <v>0</v>
      </c>
      <c r="W1292" s="26">
        <v>0</v>
      </c>
      <c r="X1292" s="28">
        <v>0.92</v>
      </c>
      <c r="Y1292" s="28">
        <v>0</v>
      </c>
      <c r="Z1292" s="28">
        <v>0</v>
      </c>
      <c r="AA1292" s="28">
        <v>0</v>
      </c>
      <c r="AB1292" s="28">
        <v>0</v>
      </c>
      <c r="AC1292" s="28">
        <v>0.92</v>
      </c>
      <c r="AD1292" s="26">
        <v>1</v>
      </c>
      <c r="AE1292" s="26">
        <v>0.99693721286370596</v>
      </c>
      <c r="AF1292" s="26">
        <v>0.99854014598540097</v>
      </c>
      <c r="AG1292" s="26">
        <v>0.99803536345776001</v>
      </c>
      <c r="AH1292" s="28">
        <v>0.92</v>
      </c>
      <c r="AI1292" s="26">
        <v>0</v>
      </c>
      <c r="AJ1292" s="26">
        <v>0</v>
      </c>
      <c r="AK1292" s="26">
        <v>0</v>
      </c>
      <c r="AL1292" s="26">
        <v>0</v>
      </c>
      <c r="AM1292" s="25">
        <v>0.99</v>
      </c>
      <c r="AN1292" s="30">
        <v>1</v>
      </c>
      <c r="AO1292" s="30">
        <v>1</v>
      </c>
      <c r="AP1292" s="30">
        <v>1</v>
      </c>
      <c r="AQ1292" s="30">
        <v>1</v>
      </c>
      <c r="AR1292" s="50">
        <v>7.2186152540827803E-2</v>
      </c>
      <c r="AS1292" s="34">
        <v>0</v>
      </c>
      <c r="AT1292" s="34">
        <v>0</v>
      </c>
      <c r="AU1292" s="34">
        <v>0</v>
      </c>
      <c r="AV1292" s="34">
        <v>0</v>
      </c>
      <c r="AW1292" s="10"/>
      <c r="AX1292" s="8"/>
    </row>
    <row r="1293" spans="1:50">
      <c r="A1293" s="7"/>
      <c r="B1293" s="10"/>
      <c r="C1293" s="45" t="s">
        <v>1100</v>
      </c>
      <c r="D1293" s="23" t="s">
        <v>25</v>
      </c>
      <c r="E1293" s="83" t="s">
        <v>1337</v>
      </c>
      <c r="F1293" s="83" t="s">
        <v>1337</v>
      </c>
      <c r="G1293" s="83" t="s">
        <v>1337</v>
      </c>
      <c r="H1293" s="83" t="s">
        <v>1337</v>
      </c>
      <c r="I1293" s="25">
        <v>0.9</v>
      </c>
      <c r="J1293" s="26">
        <v>0.96610169491525399</v>
      </c>
      <c r="K1293" s="26">
        <v>0.89473684210526305</v>
      </c>
      <c r="L1293" s="27">
        <v>0.86363636363636398</v>
      </c>
      <c r="M1293" s="26">
        <v>0.91249999999999998</v>
      </c>
      <c r="N1293" s="28">
        <v>0.9</v>
      </c>
      <c r="O1293" s="26">
        <v>0.99183451279259705</v>
      </c>
      <c r="P1293" s="26">
        <v>0.88050314465408797</v>
      </c>
      <c r="Q1293" s="26">
        <v>0.98997772828507802</v>
      </c>
      <c r="R1293" s="26">
        <v>0.96922117673733099</v>
      </c>
      <c r="S1293" s="28">
        <v>0.9</v>
      </c>
      <c r="T1293" s="26">
        <v>0.96298312465977098</v>
      </c>
      <c r="U1293" s="26">
        <v>0.86037735849056596</v>
      </c>
      <c r="V1293" s="26">
        <v>0.95879732739420898</v>
      </c>
      <c r="W1293" s="26">
        <v>0.94535766919850395</v>
      </c>
      <c r="X1293" s="28">
        <v>0.92</v>
      </c>
      <c r="Y1293" s="28">
        <v>0.96241017136539497</v>
      </c>
      <c r="Z1293" s="28">
        <v>0.96343402225755204</v>
      </c>
      <c r="AA1293" s="28">
        <v>0.95274831243973002</v>
      </c>
      <c r="AB1293" s="28">
        <v>0.96199213630406299</v>
      </c>
      <c r="AC1293" s="28">
        <v>0.92</v>
      </c>
      <c r="AD1293" s="26">
        <v>0.99838709677419402</v>
      </c>
      <c r="AE1293" s="26">
        <v>0.99647887323943696</v>
      </c>
      <c r="AF1293" s="26">
        <v>0.98482758620689703</v>
      </c>
      <c r="AG1293" s="26">
        <v>0.99592716818399596</v>
      </c>
      <c r="AH1293" s="28">
        <v>0.92</v>
      </c>
      <c r="AI1293" s="26">
        <v>0.97866520787746203</v>
      </c>
      <c r="AJ1293" s="26">
        <v>0.97454114860864405</v>
      </c>
      <c r="AK1293" s="26">
        <v>0.97211436639604698</v>
      </c>
      <c r="AL1293" s="26">
        <v>0.97747306562193903</v>
      </c>
      <c r="AM1293" s="25">
        <v>0.99</v>
      </c>
      <c r="AN1293" s="30">
        <v>1</v>
      </c>
      <c r="AO1293" s="30">
        <v>1</v>
      </c>
      <c r="AP1293" s="30">
        <v>1</v>
      </c>
      <c r="AQ1293" s="30">
        <v>1</v>
      </c>
      <c r="AR1293" s="50">
        <v>7.2186152540827803E-2</v>
      </c>
      <c r="AS1293" s="34">
        <v>8.3333333333333301E-2</v>
      </c>
      <c r="AT1293" s="34">
        <v>0</v>
      </c>
      <c r="AU1293" s="34">
        <v>0</v>
      </c>
      <c r="AV1293" s="34">
        <v>4.1666666666666699E-2</v>
      </c>
      <c r="AW1293" s="10"/>
      <c r="AX1293" s="8"/>
    </row>
    <row r="1294" spans="1:50">
      <c r="A1294" s="7"/>
      <c r="B1294" s="10"/>
      <c r="C1294" s="45" t="s">
        <v>1100</v>
      </c>
      <c r="D1294" s="23" t="s">
        <v>25</v>
      </c>
      <c r="E1294" s="83" t="s">
        <v>1338</v>
      </c>
      <c r="F1294" s="83" t="s">
        <v>1338</v>
      </c>
      <c r="G1294" s="83" t="s">
        <v>1338</v>
      </c>
      <c r="H1294" s="83" t="s">
        <v>1338</v>
      </c>
      <c r="I1294" s="25">
        <v>0.9</v>
      </c>
      <c r="J1294" s="26">
        <v>0.92753623188405798</v>
      </c>
      <c r="K1294" s="26">
        <v>0.94202898550724601</v>
      </c>
      <c r="L1294" s="27">
        <v>0.81481481481481499</v>
      </c>
      <c r="M1294" s="26">
        <v>0.88888888888888895</v>
      </c>
      <c r="N1294" s="28">
        <v>0.9</v>
      </c>
      <c r="O1294" s="26">
        <v>0.98799630655586301</v>
      </c>
      <c r="P1294" s="26">
        <v>0.98927824267782405</v>
      </c>
      <c r="Q1294" s="26">
        <v>0.98730734360834105</v>
      </c>
      <c r="R1294" s="26">
        <v>0.98828199732159905</v>
      </c>
      <c r="S1294" s="28">
        <v>0.9</v>
      </c>
      <c r="T1294" s="26">
        <v>0.94806094182825495</v>
      </c>
      <c r="U1294" s="26">
        <v>0.94403765690376595</v>
      </c>
      <c r="V1294" s="26">
        <v>0.93880326382592905</v>
      </c>
      <c r="W1294" s="26">
        <v>0.94691027357949098</v>
      </c>
      <c r="X1294" s="28">
        <v>0.92</v>
      </c>
      <c r="Y1294" s="28">
        <v>0.95718363463368195</v>
      </c>
      <c r="Z1294" s="28">
        <v>0.96806649168853898</v>
      </c>
      <c r="AA1294" s="28">
        <v>0.954391891891892</v>
      </c>
      <c r="AB1294" s="28">
        <v>0.96147375504710597</v>
      </c>
      <c r="AC1294" s="28">
        <v>0.92</v>
      </c>
      <c r="AD1294" s="26">
        <v>0.90048250904704497</v>
      </c>
      <c r="AE1294" s="26">
        <v>0.968074735987002</v>
      </c>
      <c r="AF1294" s="26">
        <v>0.95303550973654105</v>
      </c>
      <c r="AG1294" s="26">
        <v>0.95005760282478302</v>
      </c>
      <c r="AH1294" s="28">
        <v>0.92</v>
      </c>
      <c r="AI1294" s="26">
        <v>0.97544295927883096</v>
      </c>
      <c r="AJ1294" s="26">
        <v>0.97970872197676295</v>
      </c>
      <c r="AK1294" s="26">
        <v>0.97257446181067497</v>
      </c>
      <c r="AL1294" s="26">
        <v>0.977014297472792</v>
      </c>
      <c r="AM1294" s="25">
        <v>0.99</v>
      </c>
      <c r="AN1294" s="30">
        <v>1</v>
      </c>
      <c r="AO1294" s="30">
        <v>1</v>
      </c>
      <c r="AP1294" s="30">
        <v>1</v>
      </c>
      <c r="AQ1294" s="30">
        <v>1</v>
      </c>
      <c r="AR1294" s="50">
        <v>7.2186152540827803E-2</v>
      </c>
      <c r="AS1294" s="34">
        <v>4.5454545454545497E-2</v>
      </c>
      <c r="AT1294" s="34">
        <v>-5.2631578947368397E-2</v>
      </c>
      <c r="AU1294" s="34">
        <v>9.0909090909090898E-2</v>
      </c>
      <c r="AV1294" s="34">
        <v>8.0000000000000002E-3</v>
      </c>
      <c r="AW1294" s="10"/>
      <c r="AX1294" s="8"/>
    </row>
    <row r="1295" spans="1:50">
      <c r="A1295" s="7"/>
      <c r="B1295" s="10"/>
      <c r="C1295" s="45" t="s">
        <v>1100</v>
      </c>
      <c r="D1295" s="23" t="s">
        <v>25</v>
      </c>
      <c r="E1295" s="83" t="s">
        <v>1339</v>
      </c>
      <c r="F1295" s="83" t="s">
        <v>1339</v>
      </c>
      <c r="G1295" s="83" t="s">
        <v>1339</v>
      </c>
      <c r="H1295" s="83" t="s">
        <v>1339</v>
      </c>
      <c r="I1295" s="25">
        <v>0.9</v>
      </c>
      <c r="J1295" s="26">
        <v>0.931034482758621</v>
      </c>
      <c r="K1295" s="26">
        <v>0.92035398230088505</v>
      </c>
      <c r="L1295" s="27">
        <v>0.82795698924731198</v>
      </c>
      <c r="M1295" s="26">
        <v>0.89045383411580603</v>
      </c>
      <c r="N1295" s="28">
        <v>0.9</v>
      </c>
      <c r="O1295" s="26">
        <v>0.99107007719085805</v>
      </c>
      <c r="P1295" s="26">
        <v>0.98820672910162999</v>
      </c>
      <c r="Q1295" s="26">
        <v>0.99071300179748401</v>
      </c>
      <c r="R1295" s="26">
        <v>0.99037761529452695</v>
      </c>
      <c r="S1295" s="28">
        <v>0.9</v>
      </c>
      <c r="T1295" s="26">
        <v>0.96110186166187395</v>
      </c>
      <c r="U1295" s="26">
        <v>0.95386749913284796</v>
      </c>
      <c r="V1295" s="26">
        <v>0.96315158777711196</v>
      </c>
      <c r="W1295" s="26">
        <v>0.95755388851960899</v>
      </c>
      <c r="X1295" s="28">
        <v>0.92</v>
      </c>
      <c r="Y1295" s="28">
        <v>0.97050452781371299</v>
      </c>
      <c r="Z1295" s="28">
        <v>0.97313582726587999</v>
      </c>
      <c r="AA1295" s="28">
        <v>0.97679415556510496</v>
      </c>
      <c r="AB1295" s="28">
        <v>0.97135866436384599</v>
      </c>
      <c r="AC1295" s="28">
        <v>0.92</v>
      </c>
      <c r="AD1295" s="26">
        <v>0.94934282584884999</v>
      </c>
      <c r="AE1295" s="26">
        <v>0.98326248671625904</v>
      </c>
      <c r="AF1295" s="26">
        <v>0.98635710866443305</v>
      </c>
      <c r="AG1295" s="26">
        <v>0.98059708274639901</v>
      </c>
      <c r="AH1295" s="28">
        <v>0.92</v>
      </c>
      <c r="AI1295" s="26">
        <v>0.98071414932213097</v>
      </c>
      <c r="AJ1295" s="26">
        <v>0.98153846153846203</v>
      </c>
      <c r="AK1295" s="26">
        <v>0.98552515445719302</v>
      </c>
      <c r="AL1295" s="26">
        <v>0.981315894835179</v>
      </c>
      <c r="AM1295" s="25">
        <v>0.99</v>
      </c>
      <c r="AN1295" s="30">
        <v>1</v>
      </c>
      <c r="AO1295" s="30">
        <v>1</v>
      </c>
      <c r="AP1295" s="30">
        <v>1</v>
      </c>
      <c r="AQ1295" s="30">
        <v>1</v>
      </c>
      <c r="AR1295" s="50">
        <v>7.2186152540827803E-2</v>
      </c>
      <c r="AS1295" s="34">
        <v>2.4390243902439001E-2</v>
      </c>
      <c r="AT1295" s="34">
        <v>0</v>
      </c>
      <c r="AU1295" s="34">
        <v>-1.72413793103448E-2</v>
      </c>
      <c r="AV1295" s="34">
        <v>-1.22699386503067E-2</v>
      </c>
      <c r="AW1295" s="10"/>
      <c r="AX1295" s="8"/>
    </row>
    <row r="1296" spans="1:50">
      <c r="A1296" s="7"/>
      <c r="B1296" s="10"/>
      <c r="C1296" s="45" t="s">
        <v>1100</v>
      </c>
      <c r="D1296" s="23" t="s">
        <v>25</v>
      </c>
      <c r="E1296" s="83" t="s">
        <v>1340</v>
      </c>
      <c r="F1296" s="83" t="s">
        <v>1340</v>
      </c>
      <c r="G1296" s="83" t="s">
        <v>1340</v>
      </c>
      <c r="H1296" s="83" t="s">
        <v>1340</v>
      </c>
      <c r="I1296" s="25">
        <v>0.9</v>
      </c>
      <c r="J1296" s="26">
        <v>0.97297297297297303</v>
      </c>
      <c r="K1296" s="26">
        <v>0.95945945945945899</v>
      </c>
      <c r="L1296" s="27">
        <v>0.952380952380952</v>
      </c>
      <c r="M1296" s="26">
        <v>0.96153846153846201</v>
      </c>
      <c r="N1296" s="28">
        <v>0.9</v>
      </c>
      <c r="O1296" s="26">
        <v>0.96844036697247704</v>
      </c>
      <c r="P1296" s="26">
        <v>0.972648853355775</v>
      </c>
      <c r="Q1296" s="26">
        <v>0.95906432748537995</v>
      </c>
      <c r="R1296" s="26">
        <v>0.96687217106290002</v>
      </c>
      <c r="S1296" s="28">
        <v>0.9</v>
      </c>
      <c r="T1296" s="26">
        <v>0.94183486238532099</v>
      </c>
      <c r="U1296" s="26">
        <v>0.95013675573322098</v>
      </c>
      <c r="V1296" s="26">
        <v>0.94668042655658802</v>
      </c>
      <c r="W1296" s="26">
        <v>0.94076791009833005</v>
      </c>
      <c r="X1296" s="28">
        <v>0.92</v>
      </c>
      <c r="Y1296" s="28">
        <v>0.95210199862164002</v>
      </c>
      <c r="Z1296" s="28">
        <v>0.94788593903638196</v>
      </c>
      <c r="AA1296" s="28">
        <v>0.96417347580138302</v>
      </c>
      <c r="AB1296" s="28">
        <v>0.94563437479530998</v>
      </c>
      <c r="AC1296" s="28">
        <v>0.92</v>
      </c>
      <c r="AD1296" s="26">
        <v>0.99905956112852701</v>
      </c>
      <c r="AE1296" s="26">
        <v>0.996611053180396</v>
      </c>
      <c r="AF1296" s="26">
        <v>0.99568241784600597</v>
      </c>
      <c r="AG1296" s="26">
        <v>0.99736993114001504</v>
      </c>
      <c r="AH1296" s="28">
        <v>0.92</v>
      </c>
      <c r="AI1296" s="26">
        <v>0.96970785440613005</v>
      </c>
      <c r="AJ1296" s="26">
        <v>0.96886212198872401</v>
      </c>
      <c r="AK1296" s="26">
        <v>0.97554468652734505</v>
      </c>
      <c r="AL1296" s="26">
        <v>0.96799276230530396</v>
      </c>
      <c r="AM1296" s="25">
        <v>0.99</v>
      </c>
      <c r="AN1296" s="30">
        <v>1</v>
      </c>
      <c r="AO1296" s="30">
        <v>1</v>
      </c>
      <c r="AP1296" s="30">
        <v>1</v>
      </c>
      <c r="AQ1296" s="30">
        <v>1</v>
      </c>
      <c r="AR1296" s="50">
        <v>7.2186152540827803E-2</v>
      </c>
      <c r="AS1296" s="34">
        <v>0.05</v>
      </c>
      <c r="AT1296" s="34">
        <v>0.11764705882352899</v>
      </c>
      <c r="AU1296" s="34">
        <v>0</v>
      </c>
      <c r="AV1296" s="34">
        <v>7.1428571428571397E-2</v>
      </c>
      <c r="AW1296" s="10"/>
      <c r="AX1296" s="8"/>
    </row>
    <row r="1297" spans="1:50">
      <c r="A1297" s="7"/>
      <c r="B1297" s="10"/>
      <c r="C1297" s="45" t="s">
        <v>1100</v>
      </c>
      <c r="D1297" s="23" t="s">
        <v>25</v>
      </c>
      <c r="E1297" s="83" t="s">
        <v>1341</v>
      </c>
      <c r="F1297" s="83" t="s">
        <v>1341</v>
      </c>
      <c r="G1297" s="83" t="s">
        <v>1341</v>
      </c>
      <c r="H1297" s="83" t="s">
        <v>1341</v>
      </c>
      <c r="I1297" s="25">
        <v>0.9</v>
      </c>
      <c r="J1297" s="26">
        <v>0.93548387096774199</v>
      </c>
      <c r="K1297" s="26">
        <v>1</v>
      </c>
      <c r="L1297" s="27">
        <v>0.92857142857142905</v>
      </c>
      <c r="M1297" s="26">
        <v>0.95135135135135096</v>
      </c>
      <c r="N1297" s="28">
        <v>0.9</v>
      </c>
      <c r="O1297" s="26">
        <v>0.992459943449576</v>
      </c>
      <c r="P1297" s="26">
        <v>0.98546895640686905</v>
      </c>
      <c r="Q1297" s="26">
        <v>0.98122392211404696</v>
      </c>
      <c r="R1297" s="26">
        <v>0.98698063168046302</v>
      </c>
      <c r="S1297" s="28">
        <v>0.9</v>
      </c>
      <c r="T1297" s="26">
        <v>0.94941878730757101</v>
      </c>
      <c r="U1297" s="26">
        <v>0.96169088507265499</v>
      </c>
      <c r="V1297" s="26">
        <v>0.96036161335187797</v>
      </c>
      <c r="W1297" s="26">
        <v>0.95531624206381105</v>
      </c>
      <c r="X1297" s="28">
        <v>0.92</v>
      </c>
      <c r="Y1297" s="28">
        <v>0</v>
      </c>
      <c r="Z1297" s="28">
        <v>0</v>
      </c>
      <c r="AA1297" s="28">
        <v>0</v>
      </c>
      <c r="AB1297" s="28">
        <v>0</v>
      </c>
      <c r="AC1297" s="28">
        <v>0.92</v>
      </c>
      <c r="AD1297" s="26">
        <v>1</v>
      </c>
      <c r="AE1297" s="26">
        <v>1</v>
      </c>
      <c r="AF1297" s="26">
        <v>0.98387096774193505</v>
      </c>
      <c r="AG1297" s="26">
        <v>0.99664429530201304</v>
      </c>
      <c r="AH1297" s="28">
        <v>0.92</v>
      </c>
      <c r="AI1297" s="26">
        <v>0.98272613065326597</v>
      </c>
      <c r="AJ1297" s="26">
        <v>0.98811096433289303</v>
      </c>
      <c r="AK1297" s="26">
        <v>0.98539638386648098</v>
      </c>
      <c r="AL1297" s="26">
        <v>0.98698167791706803</v>
      </c>
      <c r="AM1297" s="25">
        <v>0.99</v>
      </c>
      <c r="AN1297" s="30">
        <v>1</v>
      </c>
      <c r="AO1297" s="30">
        <v>1</v>
      </c>
      <c r="AP1297" s="30">
        <v>1</v>
      </c>
      <c r="AQ1297" s="30">
        <v>1</v>
      </c>
      <c r="AR1297" s="50">
        <v>7.2186152540827803E-2</v>
      </c>
      <c r="AS1297" s="34">
        <v>0</v>
      </c>
      <c r="AT1297" s="34">
        <v>0.14285714285714299</v>
      </c>
      <c r="AU1297" s="34">
        <v>0</v>
      </c>
      <c r="AV1297" s="34">
        <v>3.5714285714285698E-2</v>
      </c>
      <c r="AW1297" s="10"/>
      <c r="AX1297" s="8"/>
    </row>
    <row r="1298" spans="1:50">
      <c r="A1298" s="7"/>
      <c r="B1298" s="10"/>
      <c r="C1298" s="45" t="s">
        <v>1100</v>
      </c>
      <c r="D1298" s="23" t="s">
        <v>25</v>
      </c>
      <c r="E1298" s="83" t="s">
        <v>1342</v>
      </c>
      <c r="F1298" s="83" t="s">
        <v>1342</v>
      </c>
      <c r="G1298" s="83" t="s">
        <v>1342</v>
      </c>
      <c r="H1298" s="83" t="s">
        <v>1342</v>
      </c>
      <c r="I1298" s="25">
        <v>0.9</v>
      </c>
      <c r="J1298" s="26">
        <v>1</v>
      </c>
      <c r="K1298" s="26">
        <v>0.931034482758621</v>
      </c>
      <c r="L1298" s="27">
        <v>0.952380952380952</v>
      </c>
      <c r="M1298" s="26">
        <v>0.98089171974522305</v>
      </c>
      <c r="N1298" s="28">
        <v>0.9</v>
      </c>
      <c r="O1298" s="26">
        <v>0.98936924167257301</v>
      </c>
      <c r="P1298" s="26">
        <v>0.99391304347826104</v>
      </c>
      <c r="Q1298" s="26">
        <v>0.99121706398996201</v>
      </c>
      <c r="R1298" s="26">
        <v>0.99097232499629995</v>
      </c>
      <c r="S1298" s="28">
        <v>0.9</v>
      </c>
      <c r="T1298" s="26">
        <v>0.934798015591779</v>
      </c>
      <c r="U1298" s="26">
        <v>0.953913043478261</v>
      </c>
      <c r="V1298" s="26">
        <v>0.95232120451693802</v>
      </c>
      <c r="W1298" s="26">
        <v>0.94302205120615701</v>
      </c>
      <c r="X1298" s="28">
        <v>0.92</v>
      </c>
      <c r="Y1298" s="28">
        <v>0.96160267111853104</v>
      </c>
      <c r="Z1298" s="28">
        <v>0.96072013093289699</v>
      </c>
      <c r="AA1298" s="28">
        <v>0.95342465753424699</v>
      </c>
      <c r="AB1298" s="28">
        <v>0.95682763031659701</v>
      </c>
      <c r="AC1298" s="28">
        <v>0.92</v>
      </c>
      <c r="AD1298" s="26">
        <v>1</v>
      </c>
      <c r="AE1298" s="26">
        <v>0.99056603773584895</v>
      </c>
      <c r="AF1298" s="26">
        <v>0.987341772151899</v>
      </c>
      <c r="AG1298" s="26">
        <v>0.99848254931714697</v>
      </c>
      <c r="AH1298" s="28">
        <v>0.92</v>
      </c>
      <c r="AI1298" s="26">
        <v>0.97064676616915402</v>
      </c>
      <c r="AJ1298" s="26">
        <v>0.98069278818852901</v>
      </c>
      <c r="AK1298" s="26">
        <v>0.973321858864028</v>
      </c>
      <c r="AL1298" s="26">
        <v>0.97470659651962799</v>
      </c>
      <c r="AM1298" s="25">
        <v>0.99</v>
      </c>
      <c r="AN1298" s="30">
        <v>1</v>
      </c>
      <c r="AO1298" s="30">
        <v>1</v>
      </c>
      <c r="AP1298" s="30">
        <v>1</v>
      </c>
      <c r="AQ1298" s="30">
        <v>1</v>
      </c>
      <c r="AR1298" s="50">
        <v>7.2186152540827803E-2</v>
      </c>
      <c r="AS1298" s="34">
        <v>0</v>
      </c>
      <c r="AT1298" s="34">
        <v>0</v>
      </c>
      <c r="AU1298" s="34">
        <v>0</v>
      </c>
      <c r="AV1298" s="34">
        <v>0</v>
      </c>
      <c r="AW1298" s="10"/>
      <c r="AX1298" s="8"/>
    </row>
    <row r="1299" spans="1:50">
      <c r="A1299" s="7"/>
      <c r="B1299" s="10"/>
      <c r="C1299" s="45" t="s">
        <v>1100</v>
      </c>
      <c r="D1299" s="23" t="s">
        <v>25</v>
      </c>
      <c r="E1299" s="83" t="s">
        <v>1343</v>
      </c>
      <c r="F1299" s="83" t="s">
        <v>1343</v>
      </c>
      <c r="G1299" s="83" t="s">
        <v>1343</v>
      </c>
      <c r="H1299" s="83" t="s">
        <v>1343</v>
      </c>
      <c r="I1299" s="25">
        <v>0.9</v>
      </c>
      <c r="J1299" s="26">
        <v>1</v>
      </c>
      <c r="K1299" s="26">
        <v>1</v>
      </c>
      <c r="L1299" s="27">
        <v>0.94117647058823495</v>
      </c>
      <c r="M1299" s="26">
        <v>0.96428571428571397</v>
      </c>
      <c r="N1299" s="28">
        <v>0.9</v>
      </c>
      <c r="O1299" s="26">
        <v>0.98286203941730899</v>
      </c>
      <c r="P1299" s="26">
        <v>0.98496993987976</v>
      </c>
      <c r="Q1299" s="26">
        <v>0.98807749627421804</v>
      </c>
      <c r="R1299" s="26">
        <v>0.984364141765115</v>
      </c>
      <c r="S1299" s="28">
        <v>0.9</v>
      </c>
      <c r="T1299" s="26">
        <v>0.93658954584404497</v>
      </c>
      <c r="U1299" s="26">
        <v>0.93386773547094204</v>
      </c>
      <c r="V1299" s="26">
        <v>0.90163934426229497</v>
      </c>
      <c r="W1299" s="26">
        <v>0.93241834607366203</v>
      </c>
      <c r="X1299" s="28">
        <v>0.92</v>
      </c>
      <c r="Y1299" s="28">
        <v>0.92546583850931696</v>
      </c>
      <c r="Z1299" s="28">
        <v>0.94155844155844204</v>
      </c>
      <c r="AA1299" s="28">
        <v>0.91703056768558999</v>
      </c>
      <c r="AB1299" s="28">
        <v>0.92986054142739905</v>
      </c>
      <c r="AC1299" s="28">
        <v>0.92</v>
      </c>
      <c r="AD1299" s="26">
        <v>1</v>
      </c>
      <c r="AE1299" s="26">
        <v>1</v>
      </c>
      <c r="AF1299" s="26">
        <v>0.98787878787878802</v>
      </c>
      <c r="AG1299" s="26">
        <v>0.984513274336283</v>
      </c>
      <c r="AH1299" s="28">
        <v>0.92</v>
      </c>
      <c r="AI1299" s="26">
        <v>0.96666666666666701</v>
      </c>
      <c r="AJ1299" s="26">
        <v>0.965753424657534</v>
      </c>
      <c r="AK1299" s="26">
        <v>0.96222222222222198</v>
      </c>
      <c r="AL1299" s="26">
        <v>0.96534472239170199</v>
      </c>
      <c r="AM1299" s="25">
        <v>0.99</v>
      </c>
      <c r="AN1299" s="30">
        <v>1</v>
      </c>
      <c r="AO1299" s="30">
        <v>1</v>
      </c>
      <c r="AP1299" s="30">
        <v>1</v>
      </c>
      <c r="AQ1299" s="30">
        <v>1</v>
      </c>
      <c r="AR1299" s="50">
        <v>7.2186152540827803E-2</v>
      </c>
      <c r="AS1299" s="34">
        <v>0</v>
      </c>
      <c r="AT1299" s="34">
        <v>0</v>
      </c>
      <c r="AU1299" s="34">
        <v>0</v>
      </c>
      <c r="AV1299" s="34">
        <v>3.7037037037037E-2</v>
      </c>
      <c r="AW1299" s="10"/>
      <c r="AX1299" s="8"/>
    </row>
    <row r="1300" spans="1:50">
      <c r="A1300" s="7"/>
      <c r="B1300" s="10"/>
      <c r="C1300" s="45" t="s">
        <v>1100</v>
      </c>
      <c r="D1300" s="23" t="s">
        <v>25</v>
      </c>
      <c r="E1300" s="83" t="s">
        <v>1344</v>
      </c>
      <c r="F1300" s="83" t="s">
        <v>1344</v>
      </c>
      <c r="G1300" s="83" t="s">
        <v>1344</v>
      </c>
      <c r="H1300" s="83" t="s">
        <v>1344</v>
      </c>
      <c r="I1300" s="25">
        <v>0.9</v>
      </c>
      <c r="J1300" s="26">
        <v>0.91228070175438603</v>
      </c>
      <c r="K1300" s="26">
        <v>0.92727272727272703</v>
      </c>
      <c r="L1300" s="27">
        <v>0.95744680851063801</v>
      </c>
      <c r="M1300" s="26">
        <v>0.91900311526479705</v>
      </c>
      <c r="N1300" s="28">
        <v>0.9</v>
      </c>
      <c r="O1300" s="26">
        <v>0.92400000000000004</v>
      </c>
      <c r="P1300" s="26">
        <v>0.97544260422615603</v>
      </c>
      <c r="Q1300" s="26">
        <v>0.97871235721702998</v>
      </c>
      <c r="R1300" s="26">
        <v>0.971813790540899</v>
      </c>
      <c r="S1300" s="28">
        <v>0.9</v>
      </c>
      <c r="T1300" s="26">
        <v>0.93325000000000002</v>
      </c>
      <c r="U1300" s="26">
        <v>0.946030839520274</v>
      </c>
      <c r="V1300" s="26">
        <v>0.95015576323987505</v>
      </c>
      <c r="W1300" s="26">
        <v>0.94813949785020402</v>
      </c>
      <c r="X1300" s="28">
        <v>0.92</v>
      </c>
      <c r="Y1300" s="28">
        <v>0.94048780487804895</v>
      </c>
      <c r="Z1300" s="28">
        <v>0.96277097078228102</v>
      </c>
      <c r="AA1300" s="28">
        <v>0.94484629294755895</v>
      </c>
      <c r="AB1300" s="28">
        <v>0.957015035513329</v>
      </c>
      <c r="AC1300" s="28">
        <v>0.92</v>
      </c>
      <c r="AD1300" s="26">
        <v>0.99361702127659601</v>
      </c>
      <c r="AE1300" s="26">
        <v>0.98328416912487704</v>
      </c>
      <c r="AF1300" s="26">
        <v>0.996458087367178</v>
      </c>
      <c r="AG1300" s="26">
        <v>0.99213709677419404</v>
      </c>
      <c r="AH1300" s="28">
        <v>0.92</v>
      </c>
      <c r="AI1300" s="26">
        <v>0.96644628099173602</v>
      </c>
      <c r="AJ1300" s="26">
        <v>0.97564011379800897</v>
      </c>
      <c r="AK1300" s="26">
        <v>0.96669963732278297</v>
      </c>
      <c r="AL1300" s="26">
        <v>0.97436329335669003</v>
      </c>
      <c r="AM1300" s="25">
        <v>0.99</v>
      </c>
      <c r="AN1300" s="30">
        <v>1</v>
      </c>
      <c r="AO1300" s="30">
        <v>1</v>
      </c>
      <c r="AP1300" s="30">
        <v>1</v>
      </c>
      <c r="AQ1300" s="30">
        <v>1</v>
      </c>
      <c r="AR1300" s="50">
        <v>7.2186152540827803E-2</v>
      </c>
      <c r="AS1300" s="34">
        <v>0</v>
      </c>
      <c r="AT1300" s="34">
        <v>0</v>
      </c>
      <c r="AU1300" s="34">
        <v>0</v>
      </c>
      <c r="AV1300" s="34">
        <v>9.8039215686274495E-2</v>
      </c>
      <c r="AW1300" s="10"/>
      <c r="AX1300" s="8"/>
    </row>
    <row r="1301" spans="1:50">
      <c r="A1301" s="7"/>
      <c r="B1301" s="10"/>
      <c r="C1301" s="45" t="s">
        <v>1100</v>
      </c>
      <c r="D1301" s="23" t="s">
        <v>25</v>
      </c>
      <c r="E1301" s="83" t="s">
        <v>1345</v>
      </c>
      <c r="F1301" s="83" t="s">
        <v>1345</v>
      </c>
      <c r="G1301" s="83" t="s">
        <v>1345</v>
      </c>
      <c r="H1301" s="83" t="s">
        <v>1345</v>
      </c>
      <c r="I1301" s="25">
        <v>0.9</v>
      </c>
      <c r="J1301" s="26">
        <v>1</v>
      </c>
      <c r="K1301" s="26">
        <v>0.94736842105263197</v>
      </c>
      <c r="L1301" s="27">
        <v>0.82352941176470595</v>
      </c>
      <c r="M1301" s="26">
        <v>0.91284403669724801</v>
      </c>
      <c r="N1301" s="28">
        <v>0.9</v>
      </c>
      <c r="O1301" s="26">
        <v>0.98982387475538203</v>
      </c>
      <c r="P1301" s="26">
        <v>0.96677880571909203</v>
      </c>
      <c r="Q1301" s="26">
        <v>0.99027673896783797</v>
      </c>
      <c r="R1301" s="26">
        <v>0.98671849692257896</v>
      </c>
      <c r="S1301" s="28">
        <v>0.9</v>
      </c>
      <c r="T1301" s="26">
        <v>0.96516634050880601</v>
      </c>
      <c r="U1301" s="26">
        <v>0.94827586206896597</v>
      </c>
      <c r="V1301" s="26">
        <v>0.96185489902767396</v>
      </c>
      <c r="W1301" s="26">
        <v>0.96703919663103299</v>
      </c>
      <c r="X1301" s="28">
        <v>0.92</v>
      </c>
      <c r="Y1301" s="28">
        <v>0.96375617792421697</v>
      </c>
      <c r="Z1301" s="28">
        <v>0.97308319738988602</v>
      </c>
      <c r="AA1301" s="28">
        <v>0.96054628224582705</v>
      </c>
      <c r="AB1301" s="28">
        <v>0.95602752019144499</v>
      </c>
      <c r="AC1301" s="28">
        <v>0.92</v>
      </c>
      <c r="AD1301" s="26">
        <v>1</v>
      </c>
      <c r="AE1301" s="26">
        <v>0.99862637362637396</v>
      </c>
      <c r="AF1301" s="26">
        <v>0.92035398230088505</v>
      </c>
      <c r="AG1301" s="26">
        <v>0.99668952471033301</v>
      </c>
      <c r="AH1301" s="28">
        <v>0.92</v>
      </c>
      <c r="AI1301" s="26">
        <v>0.98169275669939005</v>
      </c>
      <c r="AJ1301" s="26">
        <v>0.98279689234184198</v>
      </c>
      <c r="AK1301" s="26">
        <v>0.98046092184368705</v>
      </c>
      <c r="AL1301" s="26">
        <v>0.97909004938531097</v>
      </c>
      <c r="AM1301" s="25">
        <v>0.99</v>
      </c>
      <c r="AN1301" s="30">
        <v>1</v>
      </c>
      <c r="AO1301" s="30">
        <v>1</v>
      </c>
      <c r="AP1301" s="30">
        <v>1</v>
      </c>
      <c r="AQ1301" s="30">
        <v>1</v>
      </c>
      <c r="AR1301" s="50">
        <v>7.2186152540827803E-2</v>
      </c>
      <c r="AS1301" s="34">
        <v>0</v>
      </c>
      <c r="AT1301" s="34">
        <v>0</v>
      </c>
      <c r="AU1301" s="34">
        <v>0.66666666666666696</v>
      </c>
      <c r="AV1301" s="34">
        <v>4.3478260869565202E-2</v>
      </c>
      <c r="AW1301" s="10"/>
      <c r="AX1301" s="8"/>
    </row>
    <row r="1302" spans="1:50">
      <c r="A1302" s="7"/>
      <c r="B1302" s="10"/>
      <c r="C1302" s="45" t="s">
        <v>1100</v>
      </c>
      <c r="D1302" s="23" t="s">
        <v>25</v>
      </c>
      <c r="E1302" s="83" t="s">
        <v>1346</v>
      </c>
      <c r="F1302" s="83" t="s">
        <v>1346</v>
      </c>
      <c r="G1302" s="83" t="s">
        <v>1346</v>
      </c>
      <c r="H1302" s="83" t="s">
        <v>1346</v>
      </c>
      <c r="I1302" s="25">
        <v>0.9</v>
      </c>
      <c r="J1302" s="26">
        <v>0.98148148148148195</v>
      </c>
      <c r="K1302" s="26">
        <v>0.98181818181818203</v>
      </c>
      <c r="L1302" s="27">
        <v>0.97959183673469397</v>
      </c>
      <c r="M1302" s="26">
        <v>0.96875</v>
      </c>
      <c r="N1302" s="28">
        <v>0.9</v>
      </c>
      <c r="O1302" s="26">
        <v>0.98462166575939003</v>
      </c>
      <c r="P1302" s="26">
        <v>0.99019316493313503</v>
      </c>
      <c r="Q1302" s="26">
        <v>0.99377049180327903</v>
      </c>
      <c r="R1302" s="26">
        <v>0.99022264537864402</v>
      </c>
      <c r="S1302" s="28">
        <v>0.9</v>
      </c>
      <c r="T1302" s="26">
        <v>0.85941752857920495</v>
      </c>
      <c r="U1302" s="26">
        <v>0.89450222882615205</v>
      </c>
      <c r="V1302" s="26">
        <v>0.89737704918032801</v>
      </c>
      <c r="W1302" s="26">
        <v>0.87860700161124905</v>
      </c>
      <c r="X1302" s="28">
        <v>0.92</v>
      </c>
      <c r="Y1302" s="28">
        <v>0</v>
      </c>
      <c r="Z1302" s="28">
        <v>0</v>
      </c>
      <c r="AA1302" s="28">
        <v>0</v>
      </c>
      <c r="AB1302" s="28">
        <v>0</v>
      </c>
      <c r="AC1302" s="28">
        <v>0.92</v>
      </c>
      <c r="AD1302" s="26">
        <v>0.99726775956284197</v>
      </c>
      <c r="AE1302" s="26">
        <v>0.99504950495049505</v>
      </c>
      <c r="AF1302" s="26">
        <v>0.98846153846153895</v>
      </c>
      <c r="AG1302" s="26">
        <v>0.99614749587231699</v>
      </c>
      <c r="AH1302" s="28">
        <v>0.92</v>
      </c>
      <c r="AI1302" s="26">
        <v>0.94597169297768102</v>
      </c>
      <c r="AJ1302" s="26">
        <v>0.95631500742942099</v>
      </c>
      <c r="AK1302" s="26">
        <v>0.96524590163934398</v>
      </c>
      <c r="AL1302" s="26">
        <v>0.96089058151457496</v>
      </c>
      <c r="AM1302" s="25">
        <v>0.99</v>
      </c>
      <c r="AN1302" s="30">
        <v>1</v>
      </c>
      <c r="AO1302" s="30">
        <v>1</v>
      </c>
      <c r="AP1302" s="30">
        <v>1</v>
      </c>
      <c r="AQ1302" s="30">
        <v>1</v>
      </c>
      <c r="AR1302" s="50">
        <v>7.2186152540827803E-2</v>
      </c>
      <c r="AS1302" s="34">
        <v>0.11111111111111099</v>
      </c>
      <c r="AT1302" s="34">
        <v>0</v>
      </c>
      <c r="AU1302" s="34">
        <v>0</v>
      </c>
      <c r="AV1302" s="34">
        <v>3.3333333333333298E-2</v>
      </c>
      <c r="AW1302" s="10"/>
      <c r="AX1302" s="8"/>
    </row>
    <row r="1303" spans="1:50">
      <c r="A1303" s="7"/>
      <c r="B1303" s="10"/>
      <c r="C1303" s="45" t="s">
        <v>1100</v>
      </c>
      <c r="D1303" s="23" t="s">
        <v>25</v>
      </c>
      <c r="E1303" s="83" t="s">
        <v>1347</v>
      </c>
      <c r="F1303" s="83" t="s">
        <v>1347</v>
      </c>
      <c r="G1303" s="83" t="s">
        <v>1347</v>
      </c>
      <c r="H1303" s="83" t="s">
        <v>1347</v>
      </c>
      <c r="I1303" s="25">
        <v>0.9</v>
      </c>
      <c r="J1303" s="26">
        <v>0</v>
      </c>
      <c r="K1303" s="26">
        <v>0</v>
      </c>
      <c r="L1303" s="27">
        <v>0</v>
      </c>
      <c r="M1303" s="26">
        <v>0</v>
      </c>
      <c r="N1303" s="28">
        <v>0.9</v>
      </c>
      <c r="O1303" s="26">
        <v>0</v>
      </c>
      <c r="P1303" s="26">
        <v>0</v>
      </c>
      <c r="Q1303" s="26">
        <v>0</v>
      </c>
      <c r="R1303" s="26">
        <v>0</v>
      </c>
      <c r="S1303" s="28">
        <v>0.9</v>
      </c>
      <c r="T1303" s="26">
        <v>0</v>
      </c>
      <c r="U1303" s="26">
        <v>0</v>
      </c>
      <c r="V1303" s="26">
        <v>0</v>
      </c>
      <c r="W1303" s="26">
        <v>0</v>
      </c>
      <c r="X1303" s="28">
        <v>0.92</v>
      </c>
      <c r="Y1303" s="28">
        <v>0</v>
      </c>
      <c r="Z1303" s="28">
        <v>0</v>
      </c>
      <c r="AA1303" s="28">
        <v>0</v>
      </c>
      <c r="AB1303" s="28">
        <v>0</v>
      </c>
      <c r="AC1303" s="28">
        <v>0.92</v>
      </c>
      <c r="AD1303" s="26">
        <v>0.99734042553191504</v>
      </c>
      <c r="AE1303" s="26">
        <v>0.99425287356321801</v>
      </c>
      <c r="AF1303" s="26">
        <v>0.99874213836477999</v>
      </c>
      <c r="AG1303" s="26">
        <v>0.99524294937139002</v>
      </c>
      <c r="AH1303" s="28">
        <v>0.92</v>
      </c>
      <c r="AI1303" s="26">
        <v>0</v>
      </c>
      <c r="AJ1303" s="26">
        <v>0</v>
      </c>
      <c r="AK1303" s="26">
        <v>0</v>
      </c>
      <c r="AL1303" s="26">
        <v>0</v>
      </c>
      <c r="AM1303" s="25">
        <v>0.99</v>
      </c>
      <c r="AN1303" s="30">
        <v>1</v>
      </c>
      <c r="AO1303" s="30">
        <v>1</v>
      </c>
      <c r="AP1303" s="30">
        <v>1</v>
      </c>
      <c r="AQ1303" s="30">
        <v>1</v>
      </c>
      <c r="AR1303" s="50">
        <v>7.2186152540827803E-2</v>
      </c>
      <c r="AS1303" s="34">
        <v>0</v>
      </c>
      <c r="AT1303" s="34">
        <v>0</v>
      </c>
      <c r="AU1303" s="34">
        <v>0</v>
      </c>
      <c r="AV1303" s="34">
        <v>0</v>
      </c>
      <c r="AW1303" s="10"/>
      <c r="AX1303" s="8"/>
    </row>
    <row r="1304" spans="1:50">
      <c r="A1304" s="7"/>
      <c r="B1304" s="10"/>
      <c r="C1304" s="45" t="s">
        <v>1100</v>
      </c>
      <c r="D1304" s="23" t="s">
        <v>25</v>
      </c>
      <c r="E1304" s="83" t="s">
        <v>1348</v>
      </c>
      <c r="F1304" s="83" t="s">
        <v>1348</v>
      </c>
      <c r="G1304" s="83" t="s">
        <v>1348</v>
      </c>
      <c r="H1304" s="83" t="s">
        <v>1348</v>
      </c>
      <c r="I1304" s="25">
        <v>0.9</v>
      </c>
      <c r="J1304" s="26">
        <v>0.931034482758621</v>
      </c>
      <c r="K1304" s="26">
        <v>0.92307692307692302</v>
      </c>
      <c r="L1304" s="27">
        <v>0.90476190476190499</v>
      </c>
      <c r="M1304" s="26">
        <v>0.94666666666666699</v>
      </c>
      <c r="N1304" s="28">
        <v>0.9</v>
      </c>
      <c r="O1304" s="26">
        <v>0.99296600234466603</v>
      </c>
      <c r="P1304" s="26">
        <v>0.99074074074074103</v>
      </c>
      <c r="Q1304" s="26">
        <v>0.99116022099447498</v>
      </c>
      <c r="R1304" s="26">
        <v>0.99147351987510501</v>
      </c>
      <c r="S1304" s="28">
        <v>0.9</v>
      </c>
      <c r="T1304" s="26">
        <v>0.97069167643610799</v>
      </c>
      <c r="U1304" s="26">
        <v>0.96097883597883604</v>
      </c>
      <c r="V1304" s="26">
        <v>0.95580110497237603</v>
      </c>
      <c r="W1304" s="26">
        <v>0.96517353188423205</v>
      </c>
      <c r="X1304" s="28">
        <v>0.92</v>
      </c>
      <c r="Y1304" s="28">
        <v>0.96274038461538503</v>
      </c>
      <c r="Z1304" s="28">
        <v>0.97306034482758597</v>
      </c>
      <c r="AA1304" s="28">
        <v>0.95387840670859503</v>
      </c>
      <c r="AB1304" s="28">
        <v>0.96443468715697001</v>
      </c>
      <c r="AC1304" s="28">
        <v>0.92</v>
      </c>
      <c r="AD1304" s="26">
        <v>0.99530516431924898</v>
      </c>
      <c r="AE1304" s="26">
        <v>0.99035369774919602</v>
      </c>
      <c r="AF1304" s="26">
        <v>0.984615384615385</v>
      </c>
      <c r="AG1304" s="26">
        <v>0.98299078667611595</v>
      </c>
      <c r="AH1304" s="28">
        <v>0.92</v>
      </c>
      <c r="AI1304" s="26">
        <v>0.98345805435210698</v>
      </c>
      <c r="AJ1304" s="26">
        <v>0.98196721311475399</v>
      </c>
      <c r="AK1304" s="26">
        <v>0.97467438494934899</v>
      </c>
      <c r="AL1304" s="26">
        <v>0.98036324122943197</v>
      </c>
      <c r="AM1304" s="25">
        <v>0.99</v>
      </c>
      <c r="AN1304" s="30">
        <v>1</v>
      </c>
      <c r="AO1304" s="30">
        <v>1</v>
      </c>
      <c r="AP1304" s="30">
        <v>1</v>
      </c>
      <c r="AQ1304" s="30">
        <v>1</v>
      </c>
      <c r="AR1304" s="50">
        <v>7.2186152540827803E-2</v>
      </c>
      <c r="AS1304" s="34">
        <v>0</v>
      </c>
      <c r="AT1304" s="34">
        <v>0.25</v>
      </c>
      <c r="AU1304" s="34">
        <v>0</v>
      </c>
      <c r="AV1304" s="34">
        <v>5.5555555555555601E-2</v>
      </c>
      <c r="AW1304" s="10"/>
      <c r="AX1304" s="8"/>
    </row>
    <row r="1305" spans="1:50">
      <c r="A1305" s="7"/>
      <c r="B1305" s="10"/>
      <c r="C1305" s="45" t="s">
        <v>1100</v>
      </c>
      <c r="D1305" s="23" t="s">
        <v>25</v>
      </c>
      <c r="E1305" s="83" t="s">
        <v>1349</v>
      </c>
      <c r="F1305" s="83" t="s">
        <v>1349</v>
      </c>
      <c r="G1305" s="83" t="s">
        <v>1349</v>
      </c>
      <c r="H1305" s="83" t="s">
        <v>1349</v>
      </c>
      <c r="I1305" s="25">
        <v>0.9</v>
      </c>
      <c r="J1305" s="26">
        <v>0.91379310344827602</v>
      </c>
      <c r="K1305" s="26">
        <v>0.98076923076923095</v>
      </c>
      <c r="L1305" s="27">
        <v>0.94230769230769196</v>
      </c>
      <c r="M1305" s="26">
        <v>0.934782608695652</v>
      </c>
      <c r="N1305" s="28">
        <v>0.9</v>
      </c>
      <c r="O1305" s="26">
        <v>0.98471318298774002</v>
      </c>
      <c r="P1305" s="26">
        <v>0.96692759295498998</v>
      </c>
      <c r="Q1305" s="26">
        <v>0.98773841961852904</v>
      </c>
      <c r="R1305" s="26">
        <v>0.97534891014583702</v>
      </c>
      <c r="S1305" s="28">
        <v>0.9</v>
      </c>
      <c r="T1305" s="26">
        <v>0.871953988194339</v>
      </c>
      <c r="U1305" s="26">
        <v>0.87123287671232896</v>
      </c>
      <c r="V1305" s="26">
        <v>0.90781108083560402</v>
      </c>
      <c r="W1305" s="26">
        <v>0.88916418378547901</v>
      </c>
      <c r="X1305" s="28">
        <v>0.92</v>
      </c>
      <c r="Y1305" s="28">
        <v>0</v>
      </c>
      <c r="Z1305" s="28">
        <v>0</v>
      </c>
      <c r="AA1305" s="28">
        <v>0</v>
      </c>
      <c r="AB1305" s="28">
        <v>0</v>
      </c>
      <c r="AC1305" s="28">
        <v>0.92</v>
      </c>
      <c r="AD1305" s="26">
        <v>1</v>
      </c>
      <c r="AE1305" s="26">
        <v>0.98746081504702199</v>
      </c>
      <c r="AF1305" s="26">
        <v>0.99407699901283297</v>
      </c>
      <c r="AG1305" s="26">
        <v>0.99519487453283495</v>
      </c>
      <c r="AH1305" s="28">
        <v>0.92</v>
      </c>
      <c r="AI1305" s="26">
        <v>0.97699409716966901</v>
      </c>
      <c r="AJ1305" s="26">
        <v>0.98082191780821903</v>
      </c>
      <c r="AK1305" s="26">
        <v>0.98387829246139902</v>
      </c>
      <c r="AL1305" s="26">
        <v>0.98096283518895999</v>
      </c>
      <c r="AM1305" s="25">
        <v>0.99</v>
      </c>
      <c r="AN1305" s="30">
        <v>1</v>
      </c>
      <c r="AO1305" s="30">
        <v>1</v>
      </c>
      <c r="AP1305" s="30">
        <v>1</v>
      </c>
      <c r="AQ1305" s="30">
        <v>1</v>
      </c>
      <c r="AR1305" s="50">
        <v>7.2186152540827803E-2</v>
      </c>
      <c r="AS1305" s="34">
        <v>-6.25E-2</v>
      </c>
      <c r="AT1305" s="34">
        <v>0</v>
      </c>
      <c r="AU1305" s="34">
        <v>5.2631578947368397E-2</v>
      </c>
      <c r="AV1305" s="34">
        <v>2.5641025641025599E-2</v>
      </c>
      <c r="AW1305" s="10"/>
      <c r="AX1305" s="8"/>
    </row>
    <row r="1306" spans="1:50">
      <c r="A1306" s="7"/>
      <c r="B1306" s="10"/>
      <c r="C1306" s="45" t="s">
        <v>1100</v>
      </c>
      <c r="D1306" s="23" t="s">
        <v>25</v>
      </c>
      <c r="E1306" s="83" t="s">
        <v>1350</v>
      </c>
      <c r="F1306" s="83" t="s">
        <v>1350</v>
      </c>
      <c r="G1306" s="83" t="s">
        <v>1350</v>
      </c>
      <c r="H1306" s="83" t="s">
        <v>1350</v>
      </c>
      <c r="I1306" s="25">
        <v>0.9</v>
      </c>
      <c r="J1306" s="26">
        <v>0.93333333333333302</v>
      </c>
      <c r="K1306" s="26">
        <v>0.89361702127659604</v>
      </c>
      <c r="L1306" s="27">
        <v>0.91111111111111098</v>
      </c>
      <c r="M1306" s="26">
        <v>0.9</v>
      </c>
      <c r="N1306" s="28">
        <v>0.9</v>
      </c>
      <c r="O1306" s="26">
        <v>0.98852947923835699</v>
      </c>
      <c r="P1306" s="26">
        <v>0.98654708520179402</v>
      </c>
      <c r="Q1306" s="26">
        <v>0.98474576271186398</v>
      </c>
      <c r="R1306" s="26">
        <v>0.988236948167588</v>
      </c>
      <c r="S1306" s="28">
        <v>0.9</v>
      </c>
      <c r="T1306" s="26">
        <v>0.91075934847442097</v>
      </c>
      <c r="U1306" s="26">
        <v>0.94409566517189802</v>
      </c>
      <c r="V1306" s="26">
        <v>0.93932203389830504</v>
      </c>
      <c r="W1306" s="26">
        <v>0.93153060268066401</v>
      </c>
      <c r="X1306" s="28">
        <v>0.92</v>
      </c>
      <c r="Y1306" s="28">
        <v>0</v>
      </c>
      <c r="Z1306" s="28">
        <v>0</v>
      </c>
      <c r="AA1306" s="28">
        <v>0</v>
      </c>
      <c r="AB1306" s="28">
        <v>0</v>
      </c>
      <c r="AC1306" s="28">
        <v>0.92</v>
      </c>
      <c r="AD1306" s="26">
        <v>1</v>
      </c>
      <c r="AE1306" s="26">
        <v>0.99686520376175503</v>
      </c>
      <c r="AF1306" s="26">
        <v>0.99127906976744196</v>
      </c>
      <c r="AG1306" s="26">
        <v>0.98940914158305504</v>
      </c>
      <c r="AH1306" s="28">
        <v>0.92</v>
      </c>
      <c r="AI1306" s="26">
        <v>0.95778848359715496</v>
      </c>
      <c r="AJ1306" s="26">
        <v>0.96890881913303395</v>
      </c>
      <c r="AK1306" s="26">
        <v>0.96711864406779702</v>
      </c>
      <c r="AL1306" s="26">
        <v>0.96939731933639495</v>
      </c>
      <c r="AM1306" s="25">
        <v>0.99</v>
      </c>
      <c r="AN1306" s="30">
        <v>1</v>
      </c>
      <c r="AO1306" s="30">
        <v>1</v>
      </c>
      <c r="AP1306" s="30">
        <v>1</v>
      </c>
      <c r="AQ1306" s="30">
        <v>1</v>
      </c>
      <c r="AR1306" s="50">
        <v>7.2186152540827803E-2</v>
      </c>
      <c r="AS1306" s="34">
        <v>0</v>
      </c>
      <c r="AT1306" s="34">
        <v>0.14285714285714299</v>
      </c>
      <c r="AU1306" s="34">
        <v>0</v>
      </c>
      <c r="AV1306" s="34">
        <v>2.1739130434782601E-2</v>
      </c>
      <c r="AW1306" s="10"/>
      <c r="AX1306" s="8"/>
    </row>
    <row r="1307" spans="1:50">
      <c r="A1307" s="7"/>
      <c r="B1307" s="10"/>
      <c r="C1307" s="45" t="s">
        <v>1100</v>
      </c>
      <c r="D1307" s="23" t="s">
        <v>25</v>
      </c>
      <c r="E1307" s="83" t="s">
        <v>1351</v>
      </c>
      <c r="F1307" s="83" t="s">
        <v>1351</v>
      </c>
      <c r="G1307" s="83" t="s">
        <v>1351</v>
      </c>
      <c r="H1307" s="83" t="s">
        <v>1351</v>
      </c>
      <c r="I1307" s="25">
        <v>0.9</v>
      </c>
      <c r="J1307" s="26">
        <v>0.97222222222222199</v>
      </c>
      <c r="K1307" s="26">
        <v>1</v>
      </c>
      <c r="L1307" s="27">
        <v>0.939393939393939</v>
      </c>
      <c r="M1307" s="26">
        <v>0.95098039215686303</v>
      </c>
      <c r="N1307" s="28">
        <v>0.9</v>
      </c>
      <c r="O1307" s="26">
        <v>0.98087818696883899</v>
      </c>
      <c r="P1307" s="26">
        <v>0.98525168323180501</v>
      </c>
      <c r="Q1307" s="26">
        <v>0.97175545227029003</v>
      </c>
      <c r="R1307" s="26">
        <v>0.97872128865466801</v>
      </c>
      <c r="S1307" s="28">
        <v>0.9</v>
      </c>
      <c r="T1307" s="26">
        <v>0.94995278564683705</v>
      </c>
      <c r="U1307" s="26">
        <v>0.96793844180827204</v>
      </c>
      <c r="V1307" s="26">
        <v>0.97211297819091902</v>
      </c>
      <c r="W1307" s="26">
        <v>0.96007755791985705</v>
      </c>
      <c r="X1307" s="28">
        <v>0.92</v>
      </c>
      <c r="Y1307" s="28">
        <v>0</v>
      </c>
      <c r="Z1307" s="28">
        <v>0</v>
      </c>
      <c r="AA1307" s="28">
        <v>0</v>
      </c>
      <c r="AB1307" s="28">
        <v>0</v>
      </c>
      <c r="AC1307" s="28">
        <v>0.92</v>
      </c>
      <c r="AD1307" s="26">
        <v>0.99624765478424004</v>
      </c>
      <c r="AE1307" s="26">
        <v>0.99748743718593003</v>
      </c>
      <c r="AF1307" s="26">
        <v>0.98396793587174303</v>
      </c>
      <c r="AG1307" s="26">
        <v>0.98126064735945495</v>
      </c>
      <c r="AH1307" s="28">
        <v>0.92</v>
      </c>
      <c r="AI1307" s="26">
        <v>0.98489140698772404</v>
      </c>
      <c r="AJ1307" s="26">
        <v>0.98172491183071497</v>
      </c>
      <c r="AK1307" s="26">
        <v>0.98641401501608905</v>
      </c>
      <c r="AL1307" s="26">
        <v>0.98404096649100103</v>
      </c>
      <c r="AM1307" s="25">
        <v>0.99</v>
      </c>
      <c r="AN1307" s="30">
        <v>1</v>
      </c>
      <c r="AO1307" s="30">
        <v>1</v>
      </c>
      <c r="AP1307" s="30">
        <v>1</v>
      </c>
      <c r="AQ1307" s="30">
        <v>1</v>
      </c>
      <c r="AR1307" s="50">
        <v>7.2186152540827803E-2</v>
      </c>
      <c r="AS1307" s="34">
        <v>0</v>
      </c>
      <c r="AT1307" s="34">
        <v>0</v>
      </c>
      <c r="AU1307" s="34">
        <v>0.375</v>
      </c>
      <c r="AV1307" s="34">
        <v>8.8888888888888906E-2</v>
      </c>
      <c r="AW1307" s="10"/>
      <c r="AX1307" s="8"/>
    </row>
    <row r="1308" spans="1:50">
      <c r="A1308" s="7"/>
      <c r="B1308" s="10"/>
      <c r="C1308" s="45" t="s">
        <v>1100</v>
      </c>
      <c r="D1308" s="23" t="s">
        <v>25</v>
      </c>
      <c r="E1308" s="83" t="s">
        <v>1352</v>
      </c>
      <c r="F1308" s="83" t="s">
        <v>1352</v>
      </c>
      <c r="G1308" s="83" t="s">
        <v>1352</v>
      </c>
      <c r="H1308" s="83" t="s">
        <v>1352</v>
      </c>
      <c r="I1308" s="25">
        <v>0.9</v>
      </c>
      <c r="J1308" s="26">
        <v>0.92592592592592604</v>
      </c>
      <c r="K1308" s="26">
        <v>1</v>
      </c>
      <c r="L1308" s="27">
        <v>1</v>
      </c>
      <c r="M1308" s="26">
        <v>0.96103896103896103</v>
      </c>
      <c r="N1308" s="28">
        <v>0.9</v>
      </c>
      <c r="O1308" s="26">
        <v>0.98677248677248697</v>
      </c>
      <c r="P1308" s="26">
        <v>0.98941126641253696</v>
      </c>
      <c r="Q1308" s="26">
        <v>0.98794018330921396</v>
      </c>
      <c r="R1308" s="26">
        <v>0.98778182800054004</v>
      </c>
      <c r="S1308" s="28">
        <v>0.9</v>
      </c>
      <c r="T1308" s="26">
        <v>0.90443121693121697</v>
      </c>
      <c r="U1308" s="26">
        <v>0.93689114781872096</v>
      </c>
      <c r="V1308" s="26">
        <v>0.92474674384949396</v>
      </c>
      <c r="W1308" s="26">
        <v>0.90873498042392298</v>
      </c>
      <c r="X1308" s="28">
        <v>0.92</v>
      </c>
      <c r="Y1308" s="28">
        <v>0</v>
      </c>
      <c r="Z1308" s="28">
        <v>0</v>
      </c>
      <c r="AA1308" s="28">
        <v>0</v>
      </c>
      <c r="AB1308" s="28">
        <v>0</v>
      </c>
      <c r="AC1308" s="28">
        <v>0.92</v>
      </c>
      <c r="AD1308" s="26">
        <v>1</v>
      </c>
      <c r="AE1308" s="26">
        <v>0.99358974358974395</v>
      </c>
      <c r="AF1308" s="26">
        <v>0.99061032863849796</v>
      </c>
      <c r="AG1308" s="26">
        <v>0.987688098495212</v>
      </c>
      <c r="AH1308" s="28">
        <v>0.92</v>
      </c>
      <c r="AI1308" s="26">
        <v>0.96362433862433905</v>
      </c>
      <c r="AJ1308" s="26">
        <v>0.96526895383312195</v>
      </c>
      <c r="AK1308" s="26">
        <v>0.96382054992764099</v>
      </c>
      <c r="AL1308" s="26">
        <v>0.97009585527204001</v>
      </c>
      <c r="AM1308" s="25">
        <v>0.99</v>
      </c>
      <c r="AN1308" s="30">
        <v>1</v>
      </c>
      <c r="AO1308" s="30">
        <v>1</v>
      </c>
      <c r="AP1308" s="30">
        <v>1</v>
      </c>
      <c r="AQ1308" s="30">
        <v>1</v>
      </c>
      <c r="AR1308" s="50">
        <v>7.2186152540827803E-2</v>
      </c>
      <c r="AS1308" s="34">
        <v>0</v>
      </c>
      <c r="AT1308" s="34">
        <v>0.5</v>
      </c>
      <c r="AU1308" s="34">
        <v>0.16666666666666699</v>
      </c>
      <c r="AV1308" s="34">
        <v>6.6666666666666693E-2</v>
      </c>
      <c r="AW1308" s="10"/>
      <c r="AX1308" s="8"/>
    </row>
    <row r="1309" spans="1:50">
      <c r="A1309" s="7"/>
      <c r="B1309" s="10"/>
      <c r="C1309" s="45" t="s">
        <v>1100</v>
      </c>
      <c r="D1309" s="23" t="s">
        <v>25</v>
      </c>
      <c r="E1309" s="83" t="s">
        <v>1353</v>
      </c>
      <c r="F1309" s="83" t="s">
        <v>1353</v>
      </c>
      <c r="G1309" s="83" t="s">
        <v>1353</v>
      </c>
      <c r="H1309" s="83" t="s">
        <v>1353</v>
      </c>
      <c r="I1309" s="25">
        <v>0.9</v>
      </c>
      <c r="J1309" s="26">
        <v>0.97674418604651203</v>
      </c>
      <c r="K1309" s="26">
        <v>0.90476190476190499</v>
      </c>
      <c r="L1309" s="27">
        <v>0.87804878048780499</v>
      </c>
      <c r="M1309" s="26">
        <v>0.94466403162055301</v>
      </c>
      <c r="N1309" s="28">
        <v>0.9</v>
      </c>
      <c r="O1309" s="26">
        <v>0.92444006891459496</v>
      </c>
      <c r="P1309" s="26">
        <v>0.973086900129702</v>
      </c>
      <c r="Q1309" s="26">
        <v>0.98262128892107203</v>
      </c>
      <c r="R1309" s="26">
        <v>0.96116114101725603</v>
      </c>
      <c r="S1309" s="28">
        <v>0.9</v>
      </c>
      <c r="T1309" s="26">
        <v>0.89539748953974896</v>
      </c>
      <c r="U1309" s="26">
        <v>0.953307392996109</v>
      </c>
      <c r="V1309" s="26">
        <v>0.95619116582186803</v>
      </c>
      <c r="W1309" s="26">
        <v>0.93575489258942501</v>
      </c>
      <c r="X1309" s="28">
        <v>0.92</v>
      </c>
      <c r="Y1309" s="28">
        <v>0</v>
      </c>
      <c r="Z1309" s="28">
        <v>0</v>
      </c>
      <c r="AA1309" s="28">
        <v>0</v>
      </c>
      <c r="AB1309" s="28">
        <v>0</v>
      </c>
      <c r="AC1309" s="28">
        <v>0.92</v>
      </c>
      <c r="AD1309" s="26">
        <v>1</v>
      </c>
      <c r="AE1309" s="26">
        <v>0.99333333333333296</v>
      </c>
      <c r="AF1309" s="26">
        <v>0.98902821316614398</v>
      </c>
      <c r="AG1309" s="26">
        <v>0.99172346640701103</v>
      </c>
      <c r="AH1309" s="28">
        <v>0.92</v>
      </c>
      <c r="AI1309" s="26">
        <v>0.96800393797686402</v>
      </c>
      <c r="AJ1309" s="26">
        <v>0.97081712062256798</v>
      </c>
      <c r="AK1309" s="26">
        <v>0.97212165097755299</v>
      </c>
      <c r="AL1309" s="26">
        <v>0.97167580620817995</v>
      </c>
      <c r="AM1309" s="25">
        <v>0.99</v>
      </c>
      <c r="AN1309" s="30">
        <v>1</v>
      </c>
      <c r="AO1309" s="30">
        <v>1</v>
      </c>
      <c r="AP1309" s="30">
        <v>1</v>
      </c>
      <c r="AQ1309" s="30">
        <v>1</v>
      </c>
      <c r="AR1309" s="50">
        <v>7.2186152540827803E-2</v>
      </c>
      <c r="AS1309" s="34">
        <v>0.33333333333333298</v>
      </c>
      <c r="AT1309" s="34">
        <v>8.3333333333333301E-2</v>
      </c>
      <c r="AU1309" s="34">
        <v>0</v>
      </c>
      <c r="AV1309" s="34">
        <v>9.7560975609756101E-2</v>
      </c>
      <c r="AW1309" s="10"/>
      <c r="AX1309" s="8"/>
    </row>
    <row r="1310" spans="1:50">
      <c r="A1310" s="7"/>
      <c r="B1310" s="10"/>
      <c r="C1310" s="45" t="s">
        <v>1100</v>
      </c>
      <c r="D1310" s="23" t="s">
        <v>25</v>
      </c>
      <c r="E1310" s="83" t="s">
        <v>1354</v>
      </c>
      <c r="F1310" s="83" t="s">
        <v>1354</v>
      </c>
      <c r="G1310" s="83" t="s">
        <v>1354</v>
      </c>
      <c r="H1310" s="83" t="s">
        <v>1354</v>
      </c>
      <c r="I1310" s="25">
        <v>0.9</v>
      </c>
      <c r="J1310" s="26">
        <v>0.91304347826086996</v>
      </c>
      <c r="K1310" s="26">
        <v>0.86956521739130399</v>
      </c>
      <c r="L1310" s="27">
        <v>1</v>
      </c>
      <c r="M1310" s="26">
        <v>0.94202898550724601</v>
      </c>
      <c r="N1310" s="28">
        <v>0.9</v>
      </c>
      <c r="O1310" s="26">
        <v>0.97634984381972301</v>
      </c>
      <c r="P1310" s="26">
        <v>0.98929845422116502</v>
      </c>
      <c r="Q1310" s="26">
        <v>0.98785425101214597</v>
      </c>
      <c r="R1310" s="26">
        <v>0.97663508416889</v>
      </c>
      <c r="S1310" s="28">
        <v>0.9</v>
      </c>
      <c r="T1310" s="26">
        <v>0.916555109326194</v>
      </c>
      <c r="U1310" s="26">
        <v>0.96492271105826399</v>
      </c>
      <c r="V1310" s="26">
        <v>0.94534412955465597</v>
      </c>
      <c r="W1310" s="26">
        <v>0.94802686045441997</v>
      </c>
      <c r="X1310" s="28">
        <v>0.92</v>
      </c>
      <c r="Y1310" s="28">
        <v>0</v>
      </c>
      <c r="Z1310" s="28">
        <v>0</v>
      </c>
      <c r="AA1310" s="28">
        <v>0</v>
      </c>
      <c r="AB1310" s="28">
        <v>0</v>
      </c>
      <c r="AC1310" s="28">
        <v>0.92</v>
      </c>
      <c r="AD1310" s="26">
        <v>1</v>
      </c>
      <c r="AE1310" s="26">
        <v>0.99773242630385495</v>
      </c>
      <c r="AF1310" s="26">
        <v>0.988958990536278</v>
      </c>
      <c r="AG1310" s="26">
        <v>0.99097291875626903</v>
      </c>
      <c r="AH1310" s="28">
        <v>0.92</v>
      </c>
      <c r="AI1310" s="26">
        <v>0.96519410977242304</v>
      </c>
      <c r="AJ1310" s="26">
        <v>0.98275862068965503</v>
      </c>
      <c r="AK1310" s="26">
        <v>0.98313090418353599</v>
      </c>
      <c r="AL1310" s="26">
        <v>0.98114248919142699</v>
      </c>
      <c r="AM1310" s="25">
        <v>0.99</v>
      </c>
      <c r="AN1310" s="30">
        <v>1</v>
      </c>
      <c r="AO1310" s="30">
        <v>1</v>
      </c>
      <c r="AP1310" s="30">
        <v>1</v>
      </c>
      <c r="AQ1310" s="30">
        <v>1</v>
      </c>
      <c r="AR1310" s="50">
        <v>7.2186152540827803E-2</v>
      </c>
      <c r="AS1310" s="34">
        <v>0</v>
      </c>
      <c r="AT1310" s="34">
        <v>0.33333333333333298</v>
      </c>
      <c r="AU1310" s="34">
        <v>0</v>
      </c>
      <c r="AV1310" s="34">
        <v>5.2631578947368397E-2</v>
      </c>
      <c r="AW1310" s="10"/>
      <c r="AX1310" s="8"/>
    </row>
    <row r="1311" spans="1:50">
      <c r="A1311" s="7"/>
      <c r="B1311" s="10"/>
      <c r="C1311" s="45" t="s">
        <v>1100</v>
      </c>
      <c r="D1311" s="23" t="s">
        <v>25</v>
      </c>
      <c r="E1311" s="83" t="s">
        <v>1355</v>
      </c>
      <c r="F1311" s="83" t="s">
        <v>1355</v>
      </c>
      <c r="G1311" s="83" t="s">
        <v>1355</v>
      </c>
      <c r="H1311" s="83" t="s">
        <v>1355</v>
      </c>
      <c r="I1311" s="25">
        <v>0.9</v>
      </c>
      <c r="J1311" s="26">
        <v>1</v>
      </c>
      <c r="K1311" s="26">
        <v>0.95652173913043503</v>
      </c>
      <c r="L1311" s="27">
        <v>1</v>
      </c>
      <c r="M1311" s="26">
        <v>0.97692307692307701</v>
      </c>
      <c r="N1311" s="28">
        <v>0.9</v>
      </c>
      <c r="O1311" s="26">
        <v>0.98962117280747297</v>
      </c>
      <c r="P1311" s="26">
        <v>0.99137358991373603</v>
      </c>
      <c r="Q1311" s="26">
        <v>0.98533950617283905</v>
      </c>
      <c r="R1311" s="26">
        <v>0.98975962056699396</v>
      </c>
      <c r="S1311" s="28">
        <v>0.9</v>
      </c>
      <c r="T1311" s="26">
        <v>0.91281785158277096</v>
      </c>
      <c r="U1311" s="26">
        <v>0.97213005972130095</v>
      </c>
      <c r="V1311" s="26">
        <v>0.96296296296296302</v>
      </c>
      <c r="W1311" s="26">
        <v>0.959361862671122</v>
      </c>
      <c r="X1311" s="28">
        <v>0.92</v>
      </c>
      <c r="Y1311" s="28">
        <v>0</v>
      </c>
      <c r="Z1311" s="28">
        <v>0</v>
      </c>
      <c r="AA1311" s="28">
        <v>0</v>
      </c>
      <c r="AB1311" s="28">
        <v>0</v>
      </c>
      <c r="AC1311" s="28">
        <v>0.92</v>
      </c>
      <c r="AD1311" s="26">
        <v>1</v>
      </c>
      <c r="AE1311" s="26">
        <v>1</v>
      </c>
      <c r="AF1311" s="26">
        <v>1</v>
      </c>
      <c r="AG1311" s="26">
        <v>0.99751037344398297</v>
      </c>
      <c r="AH1311" s="28">
        <v>0.92</v>
      </c>
      <c r="AI1311" s="26">
        <v>0.97301504929942895</v>
      </c>
      <c r="AJ1311" s="26">
        <v>0.98208360982083598</v>
      </c>
      <c r="AK1311" s="26">
        <v>0.98688271604938305</v>
      </c>
      <c r="AL1311" s="26">
        <v>0.98296863210089502</v>
      </c>
      <c r="AM1311" s="25">
        <v>0.99</v>
      </c>
      <c r="AN1311" s="30">
        <v>1</v>
      </c>
      <c r="AO1311" s="30">
        <v>1</v>
      </c>
      <c r="AP1311" s="30">
        <v>1</v>
      </c>
      <c r="AQ1311" s="30">
        <v>1</v>
      </c>
      <c r="AR1311" s="50">
        <v>7.2186152540827803E-2</v>
      </c>
      <c r="AS1311" s="34">
        <v>0</v>
      </c>
      <c r="AT1311" s="34">
        <v>0</v>
      </c>
      <c r="AU1311" s="34">
        <v>0.14285714285714299</v>
      </c>
      <c r="AV1311" s="34">
        <v>3.5714285714285698E-2</v>
      </c>
      <c r="AW1311" s="10"/>
      <c r="AX1311" s="8"/>
    </row>
    <row r="1312" spans="1:50">
      <c r="A1312" s="7"/>
      <c r="B1312" s="10"/>
      <c r="C1312" s="45" t="s">
        <v>1100</v>
      </c>
      <c r="D1312" s="23" t="s">
        <v>25</v>
      </c>
      <c r="E1312" s="83" t="s">
        <v>1356</v>
      </c>
      <c r="F1312" s="83" t="s">
        <v>1356</v>
      </c>
      <c r="G1312" s="83" t="s">
        <v>1356</v>
      </c>
      <c r="H1312" s="83" t="s">
        <v>1356</v>
      </c>
      <c r="I1312" s="25">
        <v>0.9</v>
      </c>
      <c r="J1312" s="26">
        <v>0.95833333333333304</v>
      </c>
      <c r="K1312" s="26">
        <v>0.91666666666666696</v>
      </c>
      <c r="L1312" s="27">
        <v>0.875</v>
      </c>
      <c r="M1312" s="26">
        <v>0.90972222222222199</v>
      </c>
      <c r="N1312" s="28">
        <v>0.9</v>
      </c>
      <c r="O1312" s="26">
        <v>0.98544631306597696</v>
      </c>
      <c r="P1312" s="26">
        <v>0.98829648894668398</v>
      </c>
      <c r="Q1312" s="26">
        <v>0.98459958932238201</v>
      </c>
      <c r="R1312" s="26">
        <v>0.973577235772358</v>
      </c>
      <c r="S1312" s="28">
        <v>0.9</v>
      </c>
      <c r="T1312" s="26">
        <v>0.74741267787839605</v>
      </c>
      <c r="U1312" s="26">
        <v>0.75032509752925902</v>
      </c>
      <c r="V1312" s="26">
        <v>0.79363449691991805</v>
      </c>
      <c r="W1312" s="26">
        <v>0.76436314363143598</v>
      </c>
      <c r="X1312" s="28">
        <v>0.92</v>
      </c>
      <c r="Y1312" s="28">
        <v>0</v>
      </c>
      <c r="Z1312" s="28">
        <v>0</v>
      </c>
      <c r="AA1312" s="28">
        <v>0</v>
      </c>
      <c r="AB1312" s="28">
        <v>0</v>
      </c>
      <c r="AC1312" s="28">
        <v>0.92</v>
      </c>
      <c r="AD1312" s="26">
        <v>1</v>
      </c>
      <c r="AE1312" s="26">
        <v>0.97777777777777797</v>
      </c>
      <c r="AF1312" s="26">
        <v>1</v>
      </c>
      <c r="AG1312" s="26">
        <v>0.99337748344370902</v>
      </c>
      <c r="AH1312" s="28">
        <v>0.92</v>
      </c>
      <c r="AI1312" s="26">
        <v>0.96410090556274297</v>
      </c>
      <c r="AJ1312" s="26">
        <v>0.95405288253142595</v>
      </c>
      <c r="AK1312" s="26">
        <v>0.96406570841889105</v>
      </c>
      <c r="AL1312" s="26">
        <v>0.96849593495935005</v>
      </c>
      <c r="AM1312" s="25">
        <v>0.99</v>
      </c>
      <c r="AN1312" s="30">
        <v>1</v>
      </c>
      <c r="AO1312" s="30">
        <v>1</v>
      </c>
      <c r="AP1312" s="30">
        <v>1</v>
      </c>
      <c r="AQ1312" s="30">
        <v>1</v>
      </c>
      <c r="AR1312" s="50">
        <v>7.2186152540827803E-2</v>
      </c>
      <c r="AS1312" s="34">
        <v>0.125</v>
      </c>
      <c r="AT1312" s="34">
        <v>0.2</v>
      </c>
      <c r="AU1312" s="34">
        <v>0.11111111111111099</v>
      </c>
      <c r="AV1312" s="34">
        <v>0.13636363636363599</v>
      </c>
      <c r="AW1312" s="10"/>
      <c r="AX1312" s="8"/>
    </row>
    <row r="1313" spans="1:50">
      <c r="A1313" s="7"/>
      <c r="B1313" s="10"/>
      <c r="C1313" s="45" t="s">
        <v>1100</v>
      </c>
      <c r="D1313" s="23" t="s">
        <v>25</v>
      </c>
      <c r="E1313" s="83" t="s">
        <v>1357</v>
      </c>
      <c r="F1313" s="83" t="s">
        <v>1357</v>
      </c>
      <c r="G1313" s="83" t="s">
        <v>1357</v>
      </c>
      <c r="H1313" s="83" t="s">
        <v>1357</v>
      </c>
      <c r="I1313" s="25">
        <v>0.9</v>
      </c>
      <c r="J1313" s="26">
        <v>0.931034482758621</v>
      </c>
      <c r="K1313" s="26">
        <v>0.96551724137931005</v>
      </c>
      <c r="L1313" s="27">
        <v>1</v>
      </c>
      <c r="M1313" s="26">
        <v>0.91358024691357997</v>
      </c>
      <c r="N1313" s="28">
        <v>0.9</v>
      </c>
      <c r="O1313" s="26">
        <v>0.970417633410673</v>
      </c>
      <c r="P1313" s="26">
        <v>0.98361823361823397</v>
      </c>
      <c r="Q1313" s="26">
        <v>0.94430992736077501</v>
      </c>
      <c r="R1313" s="26">
        <v>0.94845938375350103</v>
      </c>
      <c r="S1313" s="28">
        <v>0.9</v>
      </c>
      <c r="T1313" s="26">
        <v>0.93851508120649696</v>
      </c>
      <c r="U1313" s="26">
        <v>0.92378917378917402</v>
      </c>
      <c r="V1313" s="26">
        <v>0.92009685230024196</v>
      </c>
      <c r="W1313" s="26">
        <v>0.93515406162464998</v>
      </c>
      <c r="X1313" s="28">
        <v>0.92</v>
      </c>
      <c r="Y1313" s="28">
        <v>0.96718621821164896</v>
      </c>
      <c r="Z1313" s="28">
        <v>0.96701484332050602</v>
      </c>
      <c r="AA1313" s="28">
        <v>0.96754563894523304</v>
      </c>
      <c r="AB1313" s="28">
        <v>0.96451690242148203</v>
      </c>
      <c r="AC1313" s="28">
        <v>0.92</v>
      </c>
      <c r="AD1313" s="26">
        <v>0.93622084721561205</v>
      </c>
      <c r="AE1313" s="26">
        <v>0.99816091954023001</v>
      </c>
      <c r="AF1313" s="26">
        <v>0.99773584905660395</v>
      </c>
      <c r="AG1313" s="26">
        <v>0.98702694403930302</v>
      </c>
      <c r="AH1313" s="28">
        <v>0.92</v>
      </c>
      <c r="AI1313" s="26">
        <v>0.97655453618756405</v>
      </c>
      <c r="AJ1313" s="26">
        <v>0.97548867514737803</v>
      </c>
      <c r="AK1313" s="26">
        <v>0.97019867549668903</v>
      </c>
      <c r="AL1313" s="26">
        <v>0.97364851772912198</v>
      </c>
      <c r="AM1313" s="25">
        <v>0.99</v>
      </c>
      <c r="AN1313" s="30">
        <v>1</v>
      </c>
      <c r="AO1313" s="30">
        <v>1</v>
      </c>
      <c r="AP1313" s="30">
        <v>1</v>
      </c>
      <c r="AQ1313" s="30">
        <v>1</v>
      </c>
      <c r="AR1313" s="50">
        <v>7.2186152540827803E-2</v>
      </c>
      <c r="AS1313" s="34">
        <v>0.25</v>
      </c>
      <c r="AT1313" s="34">
        <v>0.14285714285714299</v>
      </c>
      <c r="AU1313" s="34">
        <v>0</v>
      </c>
      <c r="AV1313" s="34">
        <v>5.6603773584905703E-2</v>
      </c>
      <c r="AW1313" s="10"/>
      <c r="AX1313" s="8"/>
    </row>
    <row r="1314" spans="1:50">
      <c r="A1314" s="7"/>
      <c r="B1314" s="10"/>
      <c r="C1314" s="45" t="s">
        <v>1100</v>
      </c>
      <c r="D1314" s="23" t="s">
        <v>25</v>
      </c>
      <c r="E1314" s="83" t="s">
        <v>1358</v>
      </c>
      <c r="F1314" s="83" t="s">
        <v>1358</v>
      </c>
      <c r="G1314" s="83" t="s">
        <v>1358</v>
      </c>
      <c r="H1314" s="83" t="s">
        <v>1358</v>
      </c>
      <c r="I1314" s="25">
        <v>0.9</v>
      </c>
      <c r="J1314" s="26">
        <v>0.92500000000000004</v>
      </c>
      <c r="K1314" s="26">
        <v>0.89743589743589702</v>
      </c>
      <c r="L1314" s="27">
        <v>0.82352941176470595</v>
      </c>
      <c r="M1314" s="26">
        <v>0.84545454545454501</v>
      </c>
      <c r="N1314" s="28">
        <v>0.9</v>
      </c>
      <c r="O1314" s="26">
        <v>0.80447970135324298</v>
      </c>
      <c r="P1314" s="26">
        <v>0.88072887907233599</v>
      </c>
      <c r="Q1314" s="26">
        <v>0.96279491833030895</v>
      </c>
      <c r="R1314" s="26">
        <v>0.82182902993519202</v>
      </c>
      <c r="S1314" s="28">
        <v>0.9</v>
      </c>
      <c r="T1314" s="26">
        <v>0.88007466168922099</v>
      </c>
      <c r="U1314" s="26">
        <v>0.97128658199889595</v>
      </c>
      <c r="V1314" s="26">
        <v>0.96914700544464605</v>
      </c>
      <c r="W1314" s="26">
        <v>0.94733052155128095</v>
      </c>
      <c r="X1314" s="28">
        <v>0.92</v>
      </c>
      <c r="Y1314" s="28">
        <v>0.97079772079772098</v>
      </c>
      <c r="Z1314" s="28">
        <v>0.98017932987258105</v>
      </c>
      <c r="AA1314" s="28">
        <v>0.95854063018242097</v>
      </c>
      <c r="AB1314" s="28">
        <v>0.97747474747474705</v>
      </c>
      <c r="AC1314" s="28">
        <v>0.92</v>
      </c>
      <c r="AD1314" s="26">
        <v>1</v>
      </c>
      <c r="AE1314" s="26">
        <v>0.99892357373519902</v>
      </c>
      <c r="AF1314" s="26">
        <v>0.99862068965517203</v>
      </c>
      <c r="AG1314" s="26">
        <v>0.99831259228011004</v>
      </c>
      <c r="AH1314" s="28">
        <v>0.92</v>
      </c>
      <c r="AI1314" s="26">
        <v>0.98111079785734401</v>
      </c>
      <c r="AJ1314" s="26">
        <v>0.98651399491094105</v>
      </c>
      <c r="AK1314" s="26">
        <v>0.97358163707232603</v>
      </c>
      <c r="AL1314" s="26">
        <v>0.98445622260727705</v>
      </c>
      <c r="AM1314" s="25">
        <v>0.99</v>
      </c>
      <c r="AN1314" s="30">
        <v>1</v>
      </c>
      <c r="AO1314" s="30">
        <v>1</v>
      </c>
      <c r="AP1314" s="30">
        <v>1</v>
      </c>
      <c r="AQ1314" s="30">
        <v>1</v>
      </c>
      <c r="AR1314" s="50">
        <v>7.2186152540827803E-2</v>
      </c>
      <c r="AS1314" s="34">
        <v>9.0909090909090905E-3</v>
      </c>
      <c r="AT1314" s="34">
        <v>4.2857142857142899E-2</v>
      </c>
      <c r="AU1314" s="34">
        <v>1.26582278481013E-2</v>
      </c>
      <c r="AV1314" s="34">
        <v>3.1141868512110701E-2</v>
      </c>
      <c r="AW1314" s="10"/>
      <c r="AX1314" s="8"/>
    </row>
    <row r="1315" spans="1:50">
      <c r="A1315" s="7"/>
      <c r="B1315" s="10"/>
      <c r="C1315" s="45" t="s">
        <v>1100</v>
      </c>
      <c r="D1315" s="23" t="s">
        <v>25</v>
      </c>
      <c r="E1315" s="83" t="s">
        <v>1359</v>
      </c>
      <c r="F1315" s="83" t="s">
        <v>1359</v>
      </c>
      <c r="G1315" s="83" t="s">
        <v>1359</v>
      </c>
      <c r="H1315" s="83" t="s">
        <v>1359</v>
      </c>
      <c r="I1315" s="25">
        <v>0.9</v>
      </c>
      <c r="J1315" s="26">
        <v>0.931034482758621</v>
      </c>
      <c r="K1315" s="26">
        <v>0.93220338983050799</v>
      </c>
      <c r="L1315" s="27">
        <v>0.94339622641509402</v>
      </c>
      <c r="M1315" s="26">
        <v>0.92238805970149296</v>
      </c>
      <c r="N1315" s="28">
        <v>0.9</v>
      </c>
      <c r="O1315" s="26">
        <v>0.96111111111111103</v>
      </c>
      <c r="P1315" s="26">
        <v>0.96207430340557298</v>
      </c>
      <c r="Q1315" s="26">
        <v>0.97127222982216099</v>
      </c>
      <c r="R1315" s="26">
        <v>0.96318648159324105</v>
      </c>
      <c r="S1315" s="28">
        <v>0.9</v>
      </c>
      <c r="T1315" s="26">
        <v>0.89518518518518497</v>
      </c>
      <c r="U1315" s="26">
        <v>0.89125386996903999</v>
      </c>
      <c r="V1315" s="26">
        <v>0.90287277701778401</v>
      </c>
      <c r="W1315" s="26">
        <v>0.89038925769462895</v>
      </c>
      <c r="X1315" s="28">
        <v>0.92</v>
      </c>
      <c r="Y1315" s="28">
        <v>0.95407348242811496</v>
      </c>
      <c r="Z1315" s="28">
        <v>0.95502207505518799</v>
      </c>
      <c r="AA1315" s="28">
        <v>0.95395948434622502</v>
      </c>
      <c r="AB1315" s="28">
        <v>0.96039277711875604</v>
      </c>
      <c r="AC1315" s="28">
        <v>0.92</v>
      </c>
      <c r="AD1315" s="26">
        <v>0.99691040164778599</v>
      </c>
      <c r="AE1315" s="26">
        <v>0.99968740231322295</v>
      </c>
      <c r="AF1315" s="26">
        <v>0.998844998844999</v>
      </c>
      <c r="AG1315" s="26">
        <v>0.99806372117584896</v>
      </c>
      <c r="AH1315" s="28">
        <v>0.92</v>
      </c>
      <c r="AI1315" s="26">
        <v>0.96906225980015404</v>
      </c>
      <c r="AJ1315" s="26">
        <v>0.96875</v>
      </c>
      <c r="AK1315" s="26">
        <v>0.96603041087026897</v>
      </c>
      <c r="AL1315" s="26">
        <v>0.97101857062464803</v>
      </c>
      <c r="AM1315" s="25">
        <v>0.99</v>
      </c>
      <c r="AN1315" s="30">
        <v>1</v>
      </c>
      <c r="AO1315" s="30">
        <v>1</v>
      </c>
      <c r="AP1315" s="30">
        <v>1</v>
      </c>
      <c r="AQ1315" s="30">
        <v>1</v>
      </c>
      <c r="AR1315" s="50">
        <v>7.2186152540827803E-2</v>
      </c>
      <c r="AS1315" s="34">
        <v>0</v>
      </c>
      <c r="AT1315" s="34">
        <v>0</v>
      </c>
      <c r="AU1315" s="34">
        <v>0</v>
      </c>
      <c r="AV1315" s="34">
        <v>2.4128686327077702E-2</v>
      </c>
      <c r="AW1315" s="10"/>
      <c r="AX1315" s="8"/>
    </row>
    <row r="1316" spans="1:50">
      <c r="A1316" s="7"/>
      <c r="B1316" s="10"/>
      <c r="C1316" s="45" t="s">
        <v>1100</v>
      </c>
      <c r="D1316" s="23" t="s">
        <v>25</v>
      </c>
      <c r="E1316" s="83" t="s">
        <v>1360</v>
      </c>
      <c r="F1316" s="83" t="s">
        <v>1360</v>
      </c>
      <c r="G1316" s="83" t="s">
        <v>1360</v>
      </c>
      <c r="H1316" s="83" t="s">
        <v>1360</v>
      </c>
      <c r="I1316" s="25">
        <v>0.9</v>
      </c>
      <c r="J1316" s="26">
        <v>0.89583333333333304</v>
      </c>
      <c r="K1316" s="26">
        <v>0.88372093023255804</v>
      </c>
      <c r="L1316" s="27">
        <v>0.90476190476190499</v>
      </c>
      <c r="M1316" s="26">
        <v>0.898876404494382</v>
      </c>
      <c r="N1316" s="28">
        <v>0.9</v>
      </c>
      <c r="O1316" s="26">
        <v>0.97386138613861395</v>
      </c>
      <c r="P1316" s="26">
        <v>0.97813411078717205</v>
      </c>
      <c r="Q1316" s="26">
        <v>0.97165354330708698</v>
      </c>
      <c r="R1316" s="26">
        <v>0.97611165786883802</v>
      </c>
      <c r="S1316" s="28">
        <v>0.9</v>
      </c>
      <c r="T1316" s="26">
        <v>0.89425742574257405</v>
      </c>
      <c r="U1316" s="26">
        <v>0.88678328474246804</v>
      </c>
      <c r="V1316" s="26">
        <v>0.90393700787401599</v>
      </c>
      <c r="W1316" s="26">
        <v>0.90149413975127501</v>
      </c>
      <c r="X1316" s="28">
        <v>0.92</v>
      </c>
      <c r="Y1316" s="28">
        <v>0.94950738916256205</v>
      </c>
      <c r="Z1316" s="28">
        <v>0.95716510903426799</v>
      </c>
      <c r="AA1316" s="28">
        <v>0.94820143884892105</v>
      </c>
      <c r="AB1316" s="28">
        <v>0.95054083064982198</v>
      </c>
      <c r="AC1316" s="28">
        <v>0.92</v>
      </c>
      <c r="AD1316" s="26">
        <v>0.99732620320855603</v>
      </c>
      <c r="AE1316" s="26">
        <v>0.993610223642173</v>
      </c>
      <c r="AF1316" s="26">
        <v>0.99064327485380099</v>
      </c>
      <c r="AG1316" s="26">
        <v>0.996172895092301</v>
      </c>
      <c r="AH1316" s="28">
        <v>0.92</v>
      </c>
      <c r="AI1316" s="26">
        <v>0.95758013979272105</v>
      </c>
      <c r="AJ1316" s="26">
        <v>0.96476437527021197</v>
      </c>
      <c r="AK1316" s="26">
        <v>0.95789473684210502</v>
      </c>
      <c r="AL1316" s="26">
        <v>0.96186877361731404</v>
      </c>
      <c r="AM1316" s="25">
        <v>0.99</v>
      </c>
      <c r="AN1316" s="30">
        <v>1</v>
      </c>
      <c r="AO1316" s="30">
        <v>1</v>
      </c>
      <c r="AP1316" s="30">
        <v>1</v>
      </c>
      <c r="AQ1316" s="30">
        <v>1</v>
      </c>
      <c r="AR1316" s="50">
        <v>7.2186152540827803E-2</v>
      </c>
      <c r="AS1316" s="34">
        <v>4.3010752688171998E-2</v>
      </c>
      <c r="AT1316" s="34">
        <v>0</v>
      </c>
      <c r="AU1316" s="34">
        <v>2.6315789473684199E-2</v>
      </c>
      <c r="AV1316" s="34">
        <v>2.83553875236295E-2</v>
      </c>
      <c r="AW1316" s="10"/>
      <c r="AX1316" s="8"/>
    </row>
    <row r="1317" spans="1:50">
      <c r="A1317" s="7"/>
      <c r="B1317" s="10"/>
      <c r="C1317" s="45" t="s">
        <v>1100</v>
      </c>
      <c r="D1317" s="23" t="s">
        <v>25</v>
      </c>
      <c r="E1317" s="83" t="s">
        <v>1361</v>
      </c>
      <c r="F1317" s="83" t="s">
        <v>1361</v>
      </c>
      <c r="G1317" s="83" t="s">
        <v>1361</v>
      </c>
      <c r="H1317" s="83" t="s">
        <v>1361</v>
      </c>
      <c r="I1317" s="25">
        <v>0.9</v>
      </c>
      <c r="J1317" s="26">
        <v>0.94444444444444398</v>
      </c>
      <c r="K1317" s="26">
        <v>0.9375</v>
      </c>
      <c r="L1317" s="27">
        <v>0.86666666666666703</v>
      </c>
      <c r="M1317" s="26">
        <v>0.92929292929292895</v>
      </c>
      <c r="N1317" s="28">
        <v>0.9</v>
      </c>
      <c r="O1317" s="26">
        <v>0.99124162802678994</v>
      </c>
      <c r="P1317" s="26">
        <v>0.99535962877030204</v>
      </c>
      <c r="Q1317" s="26">
        <v>0.99553571428571397</v>
      </c>
      <c r="R1317" s="26">
        <v>0.99257821420415604</v>
      </c>
      <c r="S1317" s="28">
        <v>0.9</v>
      </c>
      <c r="T1317" s="26">
        <v>0.91756826378155598</v>
      </c>
      <c r="U1317" s="26">
        <v>0.90796597061098205</v>
      </c>
      <c r="V1317" s="26">
        <v>0.93303571428571397</v>
      </c>
      <c r="W1317" s="26">
        <v>0.91093857044987403</v>
      </c>
      <c r="X1317" s="28">
        <v>0.92</v>
      </c>
      <c r="Y1317" s="28">
        <v>0</v>
      </c>
      <c r="Z1317" s="28">
        <v>0</v>
      </c>
      <c r="AA1317" s="28">
        <v>0</v>
      </c>
      <c r="AB1317" s="28">
        <v>0</v>
      </c>
      <c r="AC1317" s="28">
        <v>0.92</v>
      </c>
      <c r="AD1317" s="26">
        <v>0.97142857142857097</v>
      </c>
      <c r="AE1317" s="26">
        <v>1</v>
      </c>
      <c r="AF1317" s="26">
        <v>1</v>
      </c>
      <c r="AG1317" s="26">
        <v>0.99444444444444402</v>
      </c>
      <c r="AH1317" s="28">
        <v>0.92</v>
      </c>
      <c r="AI1317" s="26">
        <v>0.97166409067491</v>
      </c>
      <c r="AJ1317" s="26">
        <v>0.97679814385150798</v>
      </c>
      <c r="AK1317" s="26">
        <v>0.97678571428571404</v>
      </c>
      <c r="AL1317" s="26">
        <v>0.978648093171957</v>
      </c>
      <c r="AM1317" s="25">
        <v>0.99</v>
      </c>
      <c r="AN1317" s="30">
        <v>1</v>
      </c>
      <c r="AO1317" s="30">
        <v>1</v>
      </c>
      <c r="AP1317" s="30">
        <v>1</v>
      </c>
      <c r="AQ1317" s="30">
        <v>1</v>
      </c>
      <c r="AR1317" s="50">
        <v>7.2186152540827803E-2</v>
      </c>
      <c r="AS1317" s="34">
        <v>0</v>
      </c>
      <c r="AT1317" s="34">
        <v>1.2820512820512799E-2</v>
      </c>
      <c r="AU1317" s="34">
        <v>1.2820512820512799E-2</v>
      </c>
      <c r="AV1317" s="34">
        <v>2.23642172523962E-2</v>
      </c>
      <c r="AW1317" s="10"/>
      <c r="AX1317" s="8"/>
    </row>
    <row r="1318" spans="1:50">
      <c r="A1318" s="7"/>
      <c r="B1318" s="10"/>
      <c r="C1318" s="45" t="s">
        <v>1100</v>
      </c>
      <c r="D1318" s="23" t="s">
        <v>25</v>
      </c>
      <c r="E1318" s="83" t="s">
        <v>1362</v>
      </c>
      <c r="F1318" s="83" t="s">
        <v>1362</v>
      </c>
      <c r="G1318" s="83" t="s">
        <v>1362</v>
      </c>
      <c r="H1318" s="83" t="s">
        <v>1362</v>
      </c>
      <c r="I1318" s="25">
        <v>0.9</v>
      </c>
      <c r="J1318" s="26">
        <v>0.96923076923076901</v>
      </c>
      <c r="K1318" s="26">
        <v>1</v>
      </c>
      <c r="L1318" s="27">
        <v>0.88135593220339004</v>
      </c>
      <c r="M1318" s="26">
        <v>0.91029023746701798</v>
      </c>
      <c r="N1318" s="28">
        <v>0.9</v>
      </c>
      <c r="O1318" s="26">
        <v>0.90131578947368396</v>
      </c>
      <c r="P1318" s="26">
        <v>0.97984886649874103</v>
      </c>
      <c r="Q1318" s="26">
        <v>0.97171381031614001</v>
      </c>
      <c r="R1318" s="26">
        <v>0.95313902687174601</v>
      </c>
      <c r="S1318" s="28">
        <v>0.9</v>
      </c>
      <c r="T1318" s="26">
        <v>0.91252436647173496</v>
      </c>
      <c r="U1318" s="26">
        <v>0.92285894206549102</v>
      </c>
      <c r="V1318" s="26">
        <v>0.91902384914032198</v>
      </c>
      <c r="W1318" s="26">
        <v>0.92279609791130501</v>
      </c>
      <c r="X1318" s="28">
        <v>0.92</v>
      </c>
      <c r="Y1318" s="28">
        <v>0.95769540692989497</v>
      </c>
      <c r="Z1318" s="28">
        <v>0.97152833736234201</v>
      </c>
      <c r="AA1318" s="28">
        <v>0.97409579667644197</v>
      </c>
      <c r="AB1318" s="28">
        <v>0.96983125958752303</v>
      </c>
      <c r="AC1318" s="28">
        <v>0.92</v>
      </c>
      <c r="AD1318" s="26">
        <v>0.98491803278688494</v>
      </c>
      <c r="AE1318" s="26">
        <v>0.97826086956521696</v>
      </c>
      <c r="AF1318" s="26">
        <v>0.89527603870233396</v>
      </c>
      <c r="AG1318" s="26">
        <v>0.96651044717828505</v>
      </c>
      <c r="AH1318" s="28">
        <v>0.92</v>
      </c>
      <c r="AI1318" s="26">
        <v>0.97099908897661702</v>
      </c>
      <c r="AJ1318" s="26">
        <v>0.98014492753623195</v>
      </c>
      <c r="AK1318" s="26">
        <v>0.97843595739153</v>
      </c>
      <c r="AL1318" s="26">
        <v>0.977850314758685</v>
      </c>
      <c r="AM1318" s="25">
        <v>0.99</v>
      </c>
      <c r="AN1318" s="30">
        <v>1</v>
      </c>
      <c r="AO1318" s="30">
        <v>1</v>
      </c>
      <c r="AP1318" s="30">
        <v>1</v>
      </c>
      <c r="AQ1318" s="30">
        <v>1</v>
      </c>
      <c r="AR1318" s="50">
        <v>7.2186152540827803E-2</v>
      </c>
      <c r="AS1318" s="34">
        <v>0.14285714285714299</v>
      </c>
      <c r="AT1318" s="34">
        <v>0</v>
      </c>
      <c r="AU1318" s="34">
        <v>0.1</v>
      </c>
      <c r="AV1318" s="34">
        <v>3.0769230769230799E-2</v>
      </c>
      <c r="AW1318" s="10"/>
      <c r="AX1318" s="8"/>
    </row>
    <row r="1319" spans="1:50">
      <c r="A1319" s="7"/>
      <c r="B1319" s="10"/>
      <c r="C1319" s="45" t="s">
        <v>1100</v>
      </c>
      <c r="D1319" s="23" t="s">
        <v>25</v>
      </c>
      <c r="E1319" s="83" t="s">
        <v>1363</v>
      </c>
      <c r="F1319" s="83" t="s">
        <v>1363</v>
      </c>
      <c r="G1319" s="83" t="s">
        <v>1363</v>
      </c>
      <c r="H1319" s="83" t="s">
        <v>1363</v>
      </c>
      <c r="I1319" s="25">
        <v>0.9</v>
      </c>
      <c r="J1319" s="26">
        <v>1</v>
      </c>
      <c r="K1319" s="26">
        <v>0.94117647058823495</v>
      </c>
      <c r="L1319" s="27">
        <v>0.87096774193548399</v>
      </c>
      <c r="M1319" s="26">
        <v>0.953125</v>
      </c>
      <c r="N1319" s="28">
        <v>0.9</v>
      </c>
      <c r="O1319" s="26">
        <v>0.97234726688102902</v>
      </c>
      <c r="P1319" s="26">
        <v>0.96596736596736599</v>
      </c>
      <c r="Q1319" s="26">
        <v>0.95891952729319097</v>
      </c>
      <c r="R1319" s="26">
        <v>0.96883322536529204</v>
      </c>
      <c r="S1319" s="28">
        <v>0.9</v>
      </c>
      <c r="T1319" s="26">
        <v>0.92411575562700998</v>
      </c>
      <c r="U1319" s="26">
        <v>0.94871794871794901</v>
      </c>
      <c r="V1319" s="26">
        <v>0.95160382667416998</v>
      </c>
      <c r="W1319" s="26">
        <v>0.93968185417116501</v>
      </c>
      <c r="X1319" s="28">
        <v>0.92</v>
      </c>
      <c r="Y1319" s="28">
        <v>0</v>
      </c>
      <c r="Z1319" s="28">
        <v>0</v>
      </c>
      <c r="AA1319" s="28">
        <v>0</v>
      </c>
      <c r="AB1319" s="28">
        <v>0</v>
      </c>
      <c r="AC1319" s="28">
        <v>0.92</v>
      </c>
      <c r="AD1319" s="26">
        <v>0.99849170437405699</v>
      </c>
      <c r="AE1319" s="26">
        <v>0.99538461538461498</v>
      </c>
      <c r="AF1319" s="26">
        <v>0.98480243161094205</v>
      </c>
      <c r="AG1319" s="26">
        <v>0.99592668024439901</v>
      </c>
      <c r="AH1319" s="28">
        <v>0.92</v>
      </c>
      <c r="AI1319" s="26">
        <v>0.98038585209003204</v>
      </c>
      <c r="AJ1319" s="26">
        <v>0.98321678321678296</v>
      </c>
      <c r="AK1319" s="26">
        <v>0.97861564434440096</v>
      </c>
      <c r="AL1319" s="26">
        <v>0.98214928381199196</v>
      </c>
      <c r="AM1319" s="25">
        <v>0.99</v>
      </c>
      <c r="AN1319" s="30">
        <v>1</v>
      </c>
      <c r="AO1319" s="30">
        <v>1</v>
      </c>
      <c r="AP1319" s="30">
        <v>1</v>
      </c>
      <c r="AQ1319" s="30">
        <v>1</v>
      </c>
      <c r="AR1319" s="50">
        <v>7.2186152540827803E-2</v>
      </c>
      <c r="AS1319" s="34">
        <v>0</v>
      </c>
      <c r="AT1319" s="34">
        <v>0</v>
      </c>
      <c r="AU1319" s="34">
        <v>0</v>
      </c>
      <c r="AV1319" s="34">
        <v>0</v>
      </c>
      <c r="AW1319" s="10"/>
      <c r="AX1319" s="8"/>
    </row>
    <row r="1320" spans="1:50">
      <c r="A1320" s="7"/>
      <c r="B1320" s="10"/>
      <c r="C1320" s="45" t="s">
        <v>1100</v>
      </c>
      <c r="D1320" s="23" t="s">
        <v>25</v>
      </c>
      <c r="E1320" s="83" t="s">
        <v>1364</v>
      </c>
      <c r="F1320" s="83" t="s">
        <v>1364</v>
      </c>
      <c r="G1320" s="83" t="s">
        <v>1364</v>
      </c>
      <c r="H1320" s="83" t="s">
        <v>1364</v>
      </c>
      <c r="I1320" s="25">
        <v>0.9</v>
      </c>
      <c r="J1320" s="26">
        <v>0.93333333333333302</v>
      </c>
      <c r="K1320" s="26">
        <v>1</v>
      </c>
      <c r="L1320" s="27">
        <v>0.62068965517241403</v>
      </c>
      <c r="M1320" s="26">
        <v>0.86666666666666703</v>
      </c>
      <c r="N1320" s="28">
        <v>0.9</v>
      </c>
      <c r="O1320" s="26">
        <v>0.98372513562386998</v>
      </c>
      <c r="P1320" s="26">
        <v>0.99167533818938602</v>
      </c>
      <c r="Q1320" s="26">
        <v>0.98335388409371105</v>
      </c>
      <c r="R1320" s="26">
        <v>0.98761881939452001</v>
      </c>
      <c r="S1320" s="28">
        <v>0.9</v>
      </c>
      <c r="T1320" s="26">
        <v>0.93562386980108503</v>
      </c>
      <c r="U1320" s="26">
        <v>0.96982310093652402</v>
      </c>
      <c r="V1320" s="26">
        <v>0.96424167694204699</v>
      </c>
      <c r="W1320" s="26">
        <v>0.95470884255930999</v>
      </c>
      <c r="X1320" s="28">
        <v>0.92</v>
      </c>
      <c r="Y1320" s="28">
        <v>0</v>
      </c>
      <c r="Z1320" s="28">
        <v>0</v>
      </c>
      <c r="AA1320" s="28">
        <v>0</v>
      </c>
      <c r="AB1320" s="28">
        <v>0</v>
      </c>
      <c r="AC1320" s="28">
        <v>0.92</v>
      </c>
      <c r="AD1320" s="26">
        <v>1</v>
      </c>
      <c r="AE1320" s="26">
        <v>0.97826086956521696</v>
      </c>
      <c r="AF1320" s="26">
        <v>1</v>
      </c>
      <c r="AG1320" s="26">
        <v>0.996466431095406</v>
      </c>
      <c r="AH1320" s="28">
        <v>0.92</v>
      </c>
      <c r="AI1320" s="26">
        <v>0.97540687160940298</v>
      </c>
      <c r="AJ1320" s="26">
        <v>0.98387096774193505</v>
      </c>
      <c r="AK1320" s="26">
        <v>0.97842170160295905</v>
      </c>
      <c r="AL1320" s="26">
        <v>0.977793753494688</v>
      </c>
      <c r="AM1320" s="25">
        <v>0.99</v>
      </c>
      <c r="AN1320" s="30">
        <v>1</v>
      </c>
      <c r="AO1320" s="30">
        <v>1</v>
      </c>
      <c r="AP1320" s="30">
        <v>1</v>
      </c>
      <c r="AQ1320" s="30">
        <v>1</v>
      </c>
      <c r="AR1320" s="50">
        <v>7.2186152540827803E-2</v>
      </c>
      <c r="AS1320" s="34">
        <v>0</v>
      </c>
      <c r="AT1320" s="34">
        <v>0</v>
      </c>
      <c r="AU1320" s="34">
        <v>0</v>
      </c>
      <c r="AV1320" s="34">
        <v>0</v>
      </c>
      <c r="AW1320" s="10"/>
      <c r="AX1320" s="8"/>
    </row>
    <row r="1321" spans="1:50">
      <c r="A1321" s="7"/>
      <c r="B1321" s="10"/>
      <c r="C1321" s="45" t="s">
        <v>1100</v>
      </c>
      <c r="D1321" s="23" t="s">
        <v>25</v>
      </c>
      <c r="E1321" s="83" t="s">
        <v>1365</v>
      </c>
      <c r="F1321" s="83" t="s">
        <v>1365</v>
      </c>
      <c r="G1321" s="83" t="s">
        <v>1365</v>
      </c>
      <c r="H1321" s="83" t="s">
        <v>1365</v>
      </c>
      <c r="I1321" s="25">
        <v>0.9</v>
      </c>
      <c r="J1321" s="26">
        <v>0.93548387096774199</v>
      </c>
      <c r="K1321" s="26">
        <v>1</v>
      </c>
      <c r="L1321" s="27">
        <v>0.96296296296296302</v>
      </c>
      <c r="M1321" s="26">
        <v>0.94705882352941195</v>
      </c>
      <c r="N1321" s="28">
        <v>0.9</v>
      </c>
      <c r="O1321" s="26">
        <v>0.92725374173338004</v>
      </c>
      <c r="P1321" s="26">
        <v>0.986897717666948</v>
      </c>
      <c r="Q1321" s="26">
        <v>0.98472385428907205</v>
      </c>
      <c r="R1321" s="26">
        <v>0.97258317863772703</v>
      </c>
      <c r="S1321" s="28">
        <v>0.9</v>
      </c>
      <c r="T1321" s="26">
        <v>0.91333101287852403</v>
      </c>
      <c r="U1321" s="26">
        <v>0.94970414201183395</v>
      </c>
      <c r="V1321" s="26">
        <v>0.96709753231492401</v>
      </c>
      <c r="W1321" s="26">
        <v>0.94959303155790398</v>
      </c>
      <c r="X1321" s="28">
        <v>0.92</v>
      </c>
      <c r="Y1321" s="28">
        <v>0</v>
      </c>
      <c r="Z1321" s="28">
        <v>0</v>
      </c>
      <c r="AA1321" s="28">
        <v>0</v>
      </c>
      <c r="AB1321" s="28">
        <v>0</v>
      </c>
      <c r="AC1321" s="28">
        <v>0.92</v>
      </c>
      <c r="AD1321" s="26">
        <v>1</v>
      </c>
      <c r="AE1321" s="26">
        <v>1</v>
      </c>
      <c r="AF1321" s="26">
        <v>0.99748110831234305</v>
      </c>
      <c r="AG1321" s="26">
        <v>0.99951830443159895</v>
      </c>
      <c r="AH1321" s="28">
        <v>0.92</v>
      </c>
      <c r="AI1321" s="26">
        <v>0.95022624434389102</v>
      </c>
      <c r="AJ1321" s="26">
        <v>0.98309382924767497</v>
      </c>
      <c r="AK1321" s="26">
        <v>0.98766157461809601</v>
      </c>
      <c r="AL1321" s="26">
        <v>0.97872492325265903</v>
      </c>
      <c r="AM1321" s="25">
        <v>0.99</v>
      </c>
      <c r="AN1321" s="30">
        <v>1</v>
      </c>
      <c r="AO1321" s="30">
        <v>1</v>
      </c>
      <c r="AP1321" s="30">
        <v>1</v>
      </c>
      <c r="AQ1321" s="30">
        <v>1</v>
      </c>
      <c r="AR1321" s="50">
        <v>7.2186152540827803E-2</v>
      </c>
      <c r="AS1321" s="34">
        <v>0</v>
      </c>
      <c r="AT1321" s="34">
        <v>0</v>
      </c>
      <c r="AU1321" s="34">
        <v>0</v>
      </c>
      <c r="AV1321" s="34">
        <v>2.6315789473684199E-2</v>
      </c>
      <c r="AW1321" s="10"/>
      <c r="AX1321" s="8"/>
    </row>
    <row r="1322" spans="1:50">
      <c r="A1322" s="7"/>
      <c r="B1322" s="10"/>
      <c r="C1322" s="45" t="s">
        <v>1100</v>
      </c>
      <c r="D1322" s="23" t="s">
        <v>25</v>
      </c>
      <c r="E1322" s="83" t="s">
        <v>1366</v>
      </c>
      <c r="F1322" s="83" t="s">
        <v>1366</v>
      </c>
      <c r="G1322" s="83" t="s">
        <v>1366</v>
      </c>
      <c r="H1322" s="83" t="s">
        <v>1366</v>
      </c>
      <c r="I1322" s="25">
        <v>0.9</v>
      </c>
      <c r="J1322" s="26">
        <v>0.96296296296296302</v>
      </c>
      <c r="K1322" s="26">
        <v>0.92307692307692302</v>
      </c>
      <c r="L1322" s="27">
        <v>0.86956521739130399</v>
      </c>
      <c r="M1322" s="26">
        <v>0.94193548387096804</v>
      </c>
      <c r="N1322" s="28">
        <v>0.9</v>
      </c>
      <c r="O1322" s="26">
        <v>0.88258839226150798</v>
      </c>
      <c r="P1322" s="26">
        <v>0.92236894757903198</v>
      </c>
      <c r="Q1322" s="26">
        <v>0.96793893129771003</v>
      </c>
      <c r="R1322" s="26">
        <v>0.94181694453895903</v>
      </c>
      <c r="S1322" s="28">
        <v>0.9</v>
      </c>
      <c r="T1322" s="26">
        <v>0.88492328218812499</v>
      </c>
      <c r="U1322" s="26">
        <v>0.88035214085634295</v>
      </c>
      <c r="V1322" s="26">
        <v>0.88753180661577602</v>
      </c>
      <c r="W1322" s="26">
        <v>0.90057842803674704</v>
      </c>
      <c r="X1322" s="28">
        <v>0.92</v>
      </c>
      <c r="Y1322" s="28">
        <v>0</v>
      </c>
      <c r="Z1322" s="28">
        <v>0</v>
      </c>
      <c r="AA1322" s="28">
        <v>0</v>
      </c>
      <c r="AB1322" s="28">
        <v>0.5</v>
      </c>
      <c r="AC1322" s="28">
        <v>0.92</v>
      </c>
      <c r="AD1322" s="26">
        <v>0.99849170437405699</v>
      </c>
      <c r="AE1322" s="26">
        <v>0.99864956110736003</v>
      </c>
      <c r="AF1322" s="26">
        <v>0.99705634987384395</v>
      </c>
      <c r="AG1322" s="26">
        <v>0.99438678246134304</v>
      </c>
      <c r="AH1322" s="28">
        <v>0.92</v>
      </c>
      <c r="AI1322" s="26">
        <v>0.96097398265510303</v>
      </c>
      <c r="AJ1322" s="26">
        <v>0.96399999999999997</v>
      </c>
      <c r="AK1322" s="26">
        <v>0.944529262086514</v>
      </c>
      <c r="AL1322" s="26">
        <v>0.95883513642239904</v>
      </c>
      <c r="AM1322" s="25">
        <v>0.99</v>
      </c>
      <c r="AN1322" s="30">
        <v>1</v>
      </c>
      <c r="AO1322" s="30">
        <v>1</v>
      </c>
      <c r="AP1322" s="30">
        <v>1</v>
      </c>
      <c r="AQ1322" s="30">
        <v>1</v>
      </c>
      <c r="AR1322" s="50">
        <v>7.2186152540827803E-2</v>
      </c>
      <c r="AS1322" s="34">
        <v>0</v>
      </c>
      <c r="AT1322" s="34">
        <v>0</v>
      </c>
      <c r="AU1322" s="34">
        <v>0.14285714285714299</v>
      </c>
      <c r="AV1322" s="34">
        <v>2.2222222222222199E-2</v>
      </c>
      <c r="AW1322" s="10"/>
      <c r="AX1322" s="8"/>
    </row>
    <row r="1323" spans="1:50">
      <c r="A1323" s="7"/>
      <c r="B1323" s="10"/>
      <c r="C1323" s="45" t="s">
        <v>1100</v>
      </c>
      <c r="D1323" s="23" t="s">
        <v>25</v>
      </c>
      <c r="E1323" s="83" t="s">
        <v>1367</v>
      </c>
      <c r="F1323" s="83" t="s">
        <v>1367</v>
      </c>
      <c r="G1323" s="83" t="s">
        <v>1367</v>
      </c>
      <c r="H1323" s="83" t="s">
        <v>1367</v>
      </c>
      <c r="I1323" s="25">
        <v>0.9</v>
      </c>
      <c r="J1323" s="26">
        <v>0.929824561403509</v>
      </c>
      <c r="K1323" s="26">
        <v>0.98245614035087703</v>
      </c>
      <c r="L1323" s="27">
        <v>0.90384615384615397</v>
      </c>
      <c r="M1323" s="26">
        <v>0.93175074183976303</v>
      </c>
      <c r="N1323" s="28">
        <v>0.9</v>
      </c>
      <c r="O1323" s="26">
        <v>0.93431952662721895</v>
      </c>
      <c r="P1323" s="26">
        <v>0.983700642791552</v>
      </c>
      <c r="Q1323" s="26">
        <v>0.98516425291416498</v>
      </c>
      <c r="R1323" s="26">
        <v>0.97069100176758305</v>
      </c>
      <c r="S1323" s="28">
        <v>0.9</v>
      </c>
      <c r="T1323" s="26">
        <v>0.88895463510848105</v>
      </c>
      <c r="U1323" s="26">
        <v>0.923553719008264</v>
      </c>
      <c r="V1323" s="26">
        <v>0.92900035323207297</v>
      </c>
      <c r="W1323" s="26">
        <v>0.91433386771899505</v>
      </c>
      <c r="X1323" s="28">
        <v>0.92</v>
      </c>
      <c r="Y1323" s="28">
        <v>0.93580944691158696</v>
      </c>
      <c r="Z1323" s="28">
        <v>0.928943452380952</v>
      </c>
      <c r="AA1323" s="28">
        <v>0.94615384615384601</v>
      </c>
      <c r="AB1323" s="28">
        <v>0.93803851052670995</v>
      </c>
      <c r="AC1323" s="28">
        <v>0.92</v>
      </c>
      <c r="AD1323" s="26">
        <v>1</v>
      </c>
      <c r="AE1323" s="26">
        <v>1</v>
      </c>
      <c r="AF1323" s="26">
        <v>0.98250000000000004</v>
      </c>
      <c r="AG1323" s="26">
        <v>0.99577826725403795</v>
      </c>
      <c r="AH1323" s="28">
        <v>0.92</v>
      </c>
      <c r="AI1323" s="26">
        <v>0.95998409964224196</v>
      </c>
      <c r="AJ1323" s="26">
        <v>0.955429382540809</v>
      </c>
      <c r="AK1323" s="26">
        <v>0.96516878090733205</v>
      </c>
      <c r="AL1323" s="26">
        <v>0.962656262441277</v>
      </c>
      <c r="AM1323" s="25">
        <v>0.99</v>
      </c>
      <c r="AN1323" s="30">
        <v>1</v>
      </c>
      <c r="AO1323" s="30">
        <v>1</v>
      </c>
      <c r="AP1323" s="30">
        <v>1</v>
      </c>
      <c r="AQ1323" s="30">
        <v>1</v>
      </c>
      <c r="AR1323" s="50">
        <v>7.2186152540827803E-2</v>
      </c>
      <c r="AS1323" s="34">
        <v>0</v>
      </c>
      <c r="AT1323" s="34">
        <v>6.25E-2</v>
      </c>
      <c r="AU1323" s="34">
        <v>0.105263157894737</v>
      </c>
      <c r="AV1323" s="34">
        <v>2.5641025641025599E-2</v>
      </c>
      <c r="AW1323" s="10"/>
      <c r="AX1323" s="8"/>
    </row>
    <row r="1324" spans="1:50">
      <c r="A1324" s="7"/>
      <c r="B1324" s="10"/>
      <c r="C1324" s="45" t="s">
        <v>1100</v>
      </c>
      <c r="D1324" s="23" t="s">
        <v>25</v>
      </c>
      <c r="E1324" s="83" t="s">
        <v>1368</v>
      </c>
      <c r="F1324" s="83" t="s">
        <v>1368</v>
      </c>
      <c r="G1324" s="83" t="s">
        <v>1368</v>
      </c>
      <c r="H1324" s="83" t="s">
        <v>1368</v>
      </c>
      <c r="I1324" s="25">
        <v>0.9</v>
      </c>
      <c r="J1324" s="26">
        <v>0.9375</v>
      </c>
      <c r="K1324" s="26">
        <v>0.97872340425531901</v>
      </c>
      <c r="L1324" s="27">
        <v>1</v>
      </c>
      <c r="M1324" s="26">
        <v>0.97777777777777797</v>
      </c>
      <c r="N1324" s="28">
        <v>0.9</v>
      </c>
      <c r="O1324" s="26">
        <v>0.915289256198347</v>
      </c>
      <c r="P1324" s="26">
        <v>0.97822656989586598</v>
      </c>
      <c r="Q1324" s="26">
        <v>0.98508019395747903</v>
      </c>
      <c r="R1324" s="26">
        <v>0.94979612640163102</v>
      </c>
      <c r="S1324" s="28">
        <v>0.9</v>
      </c>
      <c r="T1324" s="26">
        <v>0.90960743801652899</v>
      </c>
      <c r="U1324" s="26">
        <v>0.93467970968759895</v>
      </c>
      <c r="V1324" s="26">
        <v>0.93994778067885099</v>
      </c>
      <c r="W1324" s="26">
        <v>0.92232415902140696</v>
      </c>
      <c r="X1324" s="28">
        <v>0.92</v>
      </c>
      <c r="Y1324" s="28">
        <v>0</v>
      </c>
      <c r="Z1324" s="28">
        <v>0</v>
      </c>
      <c r="AA1324" s="28">
        <v>0</v>
      </c>
      <c r="AB1324" s="28">
        <v>0</v>
      </c>
      <c r="AC1324" s="28">
        <v>0.92</v>
      </c>
      <c r="AD1324" s="26">
        <v>0.99623352165724999</v>
      </c>
      <c r="AE1324" s="26">
        <v>0.99852507374631305</v>
      </c>
      <c r="AF1324" s="26">
        <v>1</v>
      </c>
      <c r="AG1324" s="26">
        <v>0.99788285109385999</v>
      </c>
      <c r="AH1324" s="28">
        <v>0.92</v>
      </c>
      <c r="AI1324" s="26">
        <v>0.964617768595041</v>
      </c>
      <c r="AJ1324" s="26">
        <v>0.961817608078258</v>
      </c>
      <c r="AK1324" s="26">
        <v>0.96381947034688598</v>
      </c>
      <c r="AL1324" s="26">
        <v>0.96422018348623895</v>
      </c>
      <c r="AM1324" s="25">
        <v>0.99</v>
      </c>
      <c r="AN1324" s="30">
        <v>1</v>
      </c>
      <c r="AO1324" s="30">
        <v>1</v>
      </c>
      <c r="AP1324" s="30">
        <v>1</v>
      </c>
      <c r="AQ1324" s="30">
        <v>1</v>
      </c>
      <c r="AR1324" s="50">
        <v>7.2186152540827803E-2</v>
      </c>
      <c r="AS1324" s="34">
        <v>0.04</v>
      </c>
      <c r="AT1324" s="34">
        <v>0</v>
      </c>
      <c r="AU1324" s="34">
        <v>0</v>
      </c>
      <c r="AV1324" s="34">
        <v>3.5294117647058802E-2</v>
      </c>
      <c r="AW1324" s="10"/>
      <c r="AX1324" s="8"/>
    </row>
    <row r="1325" spans="1:50">
      <c r="A1325" s="7"/>
      <c r="B1325" s="10"/>
      <c r="C1325" s="45" t="s">
        <v>1100</v>
      </c>
      <c r="D1325" s="23" t="s">
        <v>25</v>
      </c>
      <c r="E1325" s="83" t="s">
        <v>1369</v>
      </c>
      <c r="F1325" s="83" t="s">
        <v>1369</v>
      </c>
      <c r="G1325" s="83" t="s">
        <v>1369</v>
      </c>
      <c r="H1325" s="83" t="s">
        <v>1369</v>
      </c>
      <c r="I1325" s="25">
        <v>0.9</v>
      </c>
      <c r="J1325" s="26">
        <v>0.91891891891891897</v>
      </c>
      <c r="K1325" s="26">
        <v>0.82352941176470595</v>
      </c>
      <c r="L1325" s="27">
        <v>0.96666666666666701</v>
      </c>
      <c r="M1325" s="26">
        <v>0.93203883495145601</v>
      </c>
      <c r="N1325" s="28">
        <v>0.9</v>
      </c>
      <c r="O1325" s="26">
        <v>0.99012183075403404</v>
      </c>
      <c r="P1325" s="26">
        <v>0.98650858544562503</v>
      </c>
      <c r="Q1325" s="26">
        <v>0.98749374687343705</v>
      </c>
      <c r="R1325" s="26">
        <v>0.98783275073944599</v>
      </c>
      <c r="S1325" s="28">
        <v>0.9</v>
      </c>
      <c r="T1325" s="26">
        <v>0.956865327625947</v>
      </c>
      <c r="U1325" s="26">
        <v>0.96279640228945196</v>
      </c>
      <c r="V1325" s="26">
        <v>0.94897448724362199</v>
      </c>
      <c r="W1325" s="26">
        <v>0.95052433449852103</v>
      </c>
      <c r="X1325" s="28">
        <v>0.92</v>
      </c>
      <c r="Y1325" s="28">
        <v>0</v>
      </c>
      <c r="Z1325" s="28">
        <v>0</v>
      </c>
      <c r="AA1325" s="28">
        <v>0</v>
      </c>
      <c r="AB1325" s="28">
        <v>1</v>
      </c>
      <c r="AC1325" s="28">
        <v>0.92</v>
      </c>
      <c r="AD1325" s="26">
        <v>1</v>
      </c>
      <c r="AE1325" s="26">
        <v>1</v>
      </c>
      <c r="AF1325" s="26">
        <v>0.99771689497716898</v>
      </c>
      <c r="AG1325" s="26">
        <v>0.99680170575692995</v>
      </c>
      <c r="AH1325" s="28">
        <v>0.92</v>
      </c>
      <c r="AI1325" s="26">
        <v>0.98156075074086302</v>
      </c>
      <c r="AJ1325" s="26">
        <v>0.97955846279640202</v>
      </c>
      <c r="AK1325" s="26">
        <v>0.97148574287143596</v>
      </c>
      <c r="AL1325" s="26">
        <v>0.97882637628554103</v>
      </c>
      <c r="AM1325" s="25">
        <v>0.99</v>
      </c>
      <c r="AN1325" s="30">
        <v>1</v>
      </c>
      <c r="AO1325" s="30">
        <v>1</v>
      </c>
      <c r="AP1325" s="30">
        <v>1</v>
      </c>
      <c r="AQ1325" s="30">
        <v>1</v>
      </c>
      <c r="AR1325" s="50">
        <v>7.2186152540827803E-2</v>
      </c>
      <c r="AS1325" s="34">
        <v>0</v>
      </c>
      <c r="AT1325" s="34">
        <v>0</v>
      </c>
      <c r="AU1325" s="34">
        <v>0</v>
      </c>
      <c r="AV1325" s="34">
        <v>0</v>
      </c>
      <c r="AW1325" s="10"/>
      <c r="AX1325" s="8"/>
    </row>
    <row r="1326" spans="1:50">
      <c r="A1326" s="7"/>
      <c r="B1326" s="10"/>
      <c r="C1326" s="45" t="s">
        <v>1100</v>
      </c>
      <c r="D1326" s="23" t="s">
        <v>25</v>
      </c>
      <c r="E1326" s="83" t="s">
        <v>1370</v>
      </c>
      <c r="F1326" s="83" t="s">
        <v>1370</v>
      </c>
      <c r="G1326" s="83" t="s">
        <v>1370</v>
      </c>
      <c r="H1326" s="83" t="s">
        <v>1370</v>
      </c>
      <c r="I1326" s="25">
        <v>0.9</v>
      </c>
      <c r="J1326" s="26">
        <v>0.92500000000000004</v>
      </c>
      <c r="K1326" s="26">
        <v>0.891891891891892</v>
      </c>
      <c r="L1326" s="27">
        <v>0.97142857142857097</v>
      </c>
      <c r="M1326" s="26">
        <v>0.94170403587443996</v>
      </c>
      <c r="N1326" s="28">
        <v>0.9</v>
      </c>
      <c r="O1326" s="26">
        <v>0.95687811831789005</v>
      </c>
      <c r="P1326" s="26">
        <v>0.97928602908770401</v>
      </c>
      <c r="Q1326" s="26">
        <v>0.98434970318402604</v>
      </c>
      <c r="R1326" s="26">
        <v>0.96931760619437002</v>
      </c>
      <c r="S1326" s="28">
        <v>0.9</v>
      </c>
      <c r="T1326" s="26">
        <v>0.95153243050605796</v>
      </c>
      <c r="U1326" s="26">
        <v>0.95107977082415196</v>
      </c>
      <c r="V1326" s="26">
        <v>0.96384241770102497</v>
      </c>
      <c r="W1326" s="26">
        <v>0.947897821839496</v>
      </c>
      <c r="X1326" s="28">
        <v>0.92</v>
      </c>
      <c r="Y1326" s="28">
        <v>0</v>
      </c>
      <c r="Z1326" s="28">
        <v>0</v>
      </c>
      <c r="AA1326" s="28">
        <v>0</v>
      </c>
      <c r="AB1326" s="28">
        <v>0</v>
      </c>
      <c r="AC1326" s="28">
        <v>0.92</v>
      </c>
      <c r="AD1326" s="26">
        <v>1</v>
      </c>
      <c r="AE1326" s="26">
        <v>1</v>
      </c>
      <c r="AF1326" s="26">
        <v>0.99708454810495595</v>
      </c>
      <c r="AG1326" s="26">
        <v>0.998955613577023</v>
      </c>
      <c r="AH1326" s="28">
        <v>0.92</v>
      </c>
      <c r="AI1326" s="26">
        <v>0.973271560940841</v>
      </c>
      <c r="AJ1326" s="26">
        <v>0.97091229616571195</v>
      </c>
      <c r="AK1326" s="26">
        <v>0.97949271451699904</v>
      </c>
      <c r="AL1326" s="26">
        <v>0.97836312323612395</v>
      </c>
      <c r="AM1326" s="25">
        <v>0.99</v>
      </c>
      <c r="AN1326" s="30">
        <v>1</v>
      </c>
      <c r="AO1326" s="30">
        <v>1</v>
      </c>
      <c r="AP1326" s="30">
        <v>1</v>
      </c>
      <c r="AQ1326" s="30">
        <v>1</v>
      </c>
      <c r="AR1326" s="50">
        <v>7.2186152540827803E-2</v>
      </c>
      <c r="AS1326" s="34">
        <v>0</v>
      </c>
      <c r="AT1326" s="34">
        <v>0.2</v>
      </c>
      <c r="AU1326" s="34">
        <v>0</v>
      </c>
      <c r="AV1326" s="34">
        <v>3.4482758620689703E-2</v>
      </c>
      <c r="AW1326" s="10"/>
      <c r="AX1326" s="8"/>
    </row>
    <row r="1327" spans="1:50">
      <c r="A1327" s="7"/>
      <c r="B1327" s="10"/>
      <c r="C1327" s="45" t="s">
        <v>1100</v>
      </c>
      <c r="D1327" s="23" t="s">
        <v>25</v>
      </c>
      <c r="E1327" s="83" t="s">
        <v>1371</v>
      </c>
      <c r="F1327" s="83" t="s">
        <v>1371</v>
      </c>
      <c r="G1327" s="83" t="s">
        <v>1371</v>
      </c>
      <c r="H1327" s="83" t="s">
        <v>1371</v>
      </c>
      <c r="I1327" s="25">
        <v>0.9</v>
      </c>
      <c r="J1327" s="26">
        <v>0.88524590163934402</v>
      </c>
      <c r="K1327" s="26">
        <v>0.87719298245613997</v>
      </c>
      <c r="L1327" s="27">
        <v>0.907407407407407</v>
      </c>
      <c r="M1327" s="26">
        <v>0.87896253602305496</v>
      </c>
      <c r="N1327" s="28">
        <v>0.9</v>
      </c>
      <c r="O1327" s="26">
        <v>0.97628170041963103</v>
      </c>
      <c r="P1327" s="26">
        <v>0.98005565862708699</v>
      </c>
      <c r="Q1327" s="26">
        <v>0.97962510187449103</v>
      </c>
      <c r="R1327" s="26">
        <v>0.97868102685157898</v>
      </c>
      <c r="S1327" s="28">
        <v>0.9</v>
      </c>
      <c r="T1327" s="26">
        <v>0.92556102900930504</v>
      </c>
      <c r="U1327" s="26">
        <v>0.903525046382189</v>
      </c>
      <c r="V1327" s="26">
        <v>0.91361043194783997</v>
      </c>
      <c r="W1327" s="26">
        <v>0.92151077013868399</v>
      </c>
      <c r="X1327" s="28">
        <v>0.92</v>
      </c>
      <c r="Y1327" s="28">
        <v>0</v>
      </c>
      <c r="Z1327" s="28">
        <v>0</v>
      </c>
      <c r="AA1327" s="28">
        <v>0</v>
      </c>
      <c r="AB1327" s="28">
        <v>0</v>
      </c>
      <c r="AC1327" s="28">
        <v>0.92</v>
      </c>
      <c r="AD1327" s="26">
        <v>1</v>
      </c>
      <c r="AE1327" s="26">
        <v>1</v>
      </c>
      <c r="AF1327" s="26">
        <v>1</v>
      </c>
      <c r="AG1327" s="26">
        <v>0.99640287769784197</v>
      </c>
      <c r="AH1327" s="28">
        <v>0.92</v>
      </c>
      <c r="AI1327" s="26">
        <v>0.96442255062944704</v>
      </c>
      <c r="AJ1327" s="26">
        <v>0.95640074211502801</v>
      </c>
      <c r="AK1327" s="26">
        <v>0.94784026079869599</v>
      </c>
      <c r="AL1327" s="26">
        <v>0.96189879020360003</v>
      </c>
      <c r="AM1327" s="25">
        <v>0.99</v>
      </c>
      <c r="AN1327" s="30">
        <v>1</v>
      </c>
      <c r="AO1327" s="30">
        <v>1</v>
      </c>
      <c r="AP1327" s="30">
        <v>1</v>
      </c>
      <c r="AQ1327" s="30">
        <v>1</v>
      </c>
      <c r="AR1327" s="50">
        <v>7.2186152540827803E-2</v>
      </c>
      <c r="AS1327" s="34">
        <v>-7.69230769230769E-2</v>
      </c>
      <c r="AT1327" s="34">
        <v>0</v>
      </c>
      <c r="AU1327" s="34">
        <v>0</v>
      </c>
      <c r="AV1327" s="34">
        <v>4.1095890410958902E-2</v>
      </c>
      <c r="AW1327" s="10"/>
      <c r="AX1327" s="8"/>
    </row>
    <row r="1328" spans="1:50">
      <c r="A1328" s="7"/>
      <c r="B1328" s="10"/>
      <c r="C1328" s="45" t="s">
        <v>1100</v>
      </c>
      <c r="D1328" s="23" t="s">
        <v>25</v>
      </c>
      <c r="E1328" s="83" t="s">
        <v>1372</v>
      </c>
      <c r="F1328" s="83" t="s">
        <v>1372</v>
      </c>
      <c r="G1328" s="83" t="s">
        <v>1372</v>
      </c>
      <c r="H1328" s="83" t="s">
        <v>1372</v>
      </c>
      <c r="I1328" s="25">
        <v>0.9</v>
      </c>
      <c r="J1328" s="26">
        <v>0.97029702970297005</v>
      </c>
      <c r="K1328" s="26">
        <v>0.95959595959596</v>
      </c>
      <c r="L1328" s="27">
        <v>0.96296296296296302</v>
      </c>
      <c r="M1328" s="26">
        <v>0.959633027522936</v>
      </c>
      <c r="N1328" s="28">
        <v>0.9</v>
      </c>
      <c r="O1328" s="26">
        <v>0.989369501466276</v>
      </c>
      <c r="P1328" s="26">
        <v>0.98900887003470905</v>
      </c>
      <c r="Q1328" s="26">
        <v>0.99938118811881205</v>
      </c>
      <c r="R1328" s="26">
        <v>0.98768775274407905</v>
      </c>
      <c r="S1328" s="28">
        <v>0.9</v>
      </c>
      <c r="T1328" s="26">
        <v>0.93200146627566005</v>
      </c>
      <c r="U1328" s="26">
        <v>0.93193212495179301</v>
      </c>
      <c r="V1328" s="26">
        <v>0.93626237623762398</v>
      </c>
      <c r="W1328" s="26">
        <v>0.93569468515309095</v>
      </c>
      <c r="X1328" s="28">
        <v>0.92</v>
      </c>
      <c r="Y1328" s="28">
        <v>0.94955277280858696</v>
      </c>
      <c r="Z1328" s="28">
        <v>0.95965321773924595</v>
      </c>
      <c r="AA1328" s="28">
        <v>0.94560466245750396</v>
      </c>
      <c r="AB1328" s="28">
        <v>0.95765299349528699</v>
      </c>
      <c r="AC1328" s="28">
        <v>0.92</v>
      </c>
      <c r="AD1328" s="26">
        <v>0.88594164456233404</v>
      </c>
      <c r="AE1328" s="26">
        <v>0.99729729729729699</v>
      </c>
      <c r="AF1328" s="26">
        <v>0.99710480602200302</v>
      </c>
      <c r="AG1328" s="26">
        <v>0.97591963362387402</v>
      </c>
      <c r="AH1328" s="28">
        <v>0.92</v>
      </c>
      <c r="AI1328" s="26">
        <v>0.97127620894436995</v>
      </c>
      <c r="AJ1328" s="26">
        <v>0.97666463042150298</v>
      </c>
      <c r="AK1328" s="26">
        <v>0.96824796824796799</v>
      </c>
      <c r="AL1328" s="26">
        <v>0.97633412843178502</v>
      </c>
      <c r="AM1328" s="25">
        <v>0.99</v>
      </c>
      <c r="AN1328" s="30">
        <v>1</v>
      </c>
      <c r="AO1328" s="30">
        <v>1</v>
      </c>
      <c r="AP1328" s="30">
        <v>1</v>
      </c>
      <c r="AQ1328" s="30">
        <v>1</v>
      </c>
      <c r="AR1328" s="50">
        <v>7.2186152540827803E-2</v>
      </c>
      <c r="AS1328" s="34">
        <v>0</v>
      </c>
      <c r="AT1328" s="34">
        <v>0.04</v>
      </c>
      <c r="AU1328" s="34">
        <v>0.11111111111111099</v>
      </c>
      <c r="AV1328" s="34">
        <v>6.8027210884353706E-2</v>
      </c>
      <c r="AW1328" s="10"/>
      <c r="AX1328" s="8"/>
    </row>
    <row r="1329" spans="1:50">
      <c r="A1329" s="7"/>
      <c r="B1329" s="10"/>
      <c r="C1329" s="45" t="s">
        <v>1100</v>
      </c>
      <c r="D1329" s="23" t="s">
        <v>25</v>
      </c>
      <c r="E1329" s="83" t="s">
        <v>1373</v>
      </c>
      <c r="F1329" s="83" t="s">
        <v>1373</v>
      </c>
      <c r="G1329" s="83" t="s">
        <v>1373</v>
      </c>
      <c r="H1329" s="83" t="s">
        <v>1373</v>
      </c>
      <c r="I1329" s="25">
        <v>0.9</v>
      </c>
      <c r="J1329" s="26">
        <v>1</v>
      </c>
      <c r="K1329" s="26">
        <v>1</v>
      </c>
      <c r="L1329" s="27">
        <v>1</v>
      </c>
      <c r="M1329" s="26">
        <v>1</v>
      </c>
      <c r="N1329" s="28">
        <v>0.9</v>
      </c>
      <c r="O1329" s="26">
        <v>0.99454905847373598</v>
      </c>
      <c r="P1329" s="26">
        <v>0.99234393404004695</v>
      </c>
      <c r="Q1329" s="26">
        <v>0.99765990639625601</v>
      </c>
      <c r="R1329" s="26">
        <v>0.99443118536197295</v>
      </c>
      <c r="S1329" s="28">
        <v>0.9</v>
      </c>
      <c r="T1329" s="26">
        <v>0.96283448959365703</v>
      </c>
      <c r="U1329" s="26">
        <v>0.97114252061248496</v>
      </c>
      <c r="V1329" s="26">
        <v>0.97113884555382202</v>
      </c>
      <c r="W1329" s="26">
        <v>0.96589101034208402</v>
      </c>
      <c r="X1329" s="28">
        <v>0.92</v>
      </c>
      <c r="Y1329" s="28">
        <v>0</v>
      </c>
      <c r="Z1329" s="28">
        <v>0</v>
      </c>
      <c r="AA1329" s="28">
        <v>0</v>
      </c>
      <c r="AB1329" s="28">
        <v>0</v>
      </c>
      <c r="AC1329" s="28">
        <v>0.92</v>
      </c>
      <c r="AD1329" s="26">
        <v>1</v>
      </c>
      <c r="AE1329" s="26">
        <v>1</v>
      </c>
      <c r="AF1329" s="26">
        <v>0.998410174880763</v>
      </c>
      <c r="AG1329" s="26">
        <v>0.999585578118525</v>
      </c>
      <c r="AH1329" s="28">
        <v>0.92</v>
      </c>
      <c r="AI1329" s="26">
        <v>0.98959365708622404</v>
      </c>
      <c r="AJ1329" s="26">
        <v>0.991755005889282</v>
      </c>
      <c r="AK1329" s="26">
        <v>0.99219968798751901</v>
      </c>
      <c r="AL1329" s="26">
        <v>0.99174622116149602</v>
      </c>
      <c r="AM1329" s="25">
        <v>0.99</v>
      </c>
      <c r="AN1329" s="30">
        <v>1</v>
      </c>
      <c r="AO1329" s="30">
        <v>1</v>
      </c>
      <c r="AP1329" s="30">
        <v>1</v>
      </c>
      <c r="AQ1329" s="30">
        <v>1</v>
      </c>
      <c r="AR1329" s="50">
        <v>7.2186152540827803E-2</v>
      </c>
      <c r="AS1329" s="34">
        <v>0</v>
      </c>
      <c r="AT1329" s="34">
        <v>0</v>
      </c>
      <c r="AU1329" s="34">
        <v>0</v>
      </c>
      <c r="AV1329" s="34">
        <v>3.2258064516128997E-2</v>
      </c>
      <c r="AW1329" s="10"/>
      <c r="AX1329" s="8"/>
    </row>
    <row r="1330" spans="1:50">
      <c r="A1330" s="7"/>
      <c r="B1330" s="10"/>
      <c r="C1330" s="45" t="s">
        <v>1100</v>
      </c>
      <c r="D1330" s="23" t="s">
        <v>25</v>
      </c>
      <c r="E1330" s="83" t="s">
        <v>1374</v>
      </c>
      <c r="F1330" s="83" t="s">
        <v>1374</v>
      </c>
      <c r="G1330" s="83" t="s">
        <v>1374</v>
      </c>
      <c r="H1330" s="83" t="s">
        <v>1374</v>
      </c>
      <c r="I1330" s="25">
        <v>0.9</v>
      </c>
      <c r="J1330" s="26">
        <v>0.967741935483871</v>
      </c>
      <c r="K1330" s="26">
        <v>0.96551724137931005</v>
      </c>
      <c r="L1330" s="27">
        <v>0.96428571428571397</v>
      </c>
      <c r="M1330" s="26">
        <v>0.98285714285714298</v>
      </c>
      <c r="N1330" s="28">
        <v>0.9</v>
      </c>
      <c r="O1330" s="26">
        <v>0.99011648429226995</v>
      </c>
      <c r="P1330" s="26">
        <v>0.98654159869494296</v>
      </c>
      <c r="Q1330" s="26">
        <v>0.98346253229974201</v>
      </c>
      <c r="R1330" s="26">
        <v>0.98299761010583797</v>
      </c>
      <c r="S1330" s="28">
        <v>0.9</v>
      </c>
      <c r="T1330" s="26">
        <v>0.97846805506530199</v>
      </c>
      <c r="U1330" s="26">
        <v>0.96941272430668801</v>
      </c>
      <c r="V1330" s="26">
        <v>0.98139534883720903</v>
      </c>
      <c r="W1330" s="26">
        <v>0.97009218163195599</v>
      </c>
      <c r="X1330" s="28">
        <v>0.92</v>
      </c>
      <c r="Y1330" s="28">
        <v>0</v>
      </c>
      <c r="Z1330" s="28">
        <v>1</v>
      </c>
      <c r="AA1330" s="28">
        <v>0</v>
      </c>
      <c r="AB1330" s="28">
        <v>1</v>
      </c>
      <c r="AC1330" s="28">
        <v>0.92</v>
      </c>
      <c r="AD1330" s="26">
        <v>0.99583766909469296</v>
      </c>
      <c r="AE1330" s="26">
        <v>0.99888888888888905</v>
      </c>
      <c r="AF1330" s="26">
        <v>0.99614494988434898</v>
      </c>
      <c r="AG1330" s="26">
        <v>0.99736928641894096</v>
      </c>
      <c r="AH1330" s="28">
        <v>0.92</v>
      </c>
      <c r="AI1330" s="26">
        <v>0.99188139781150697</v>
      </c>
      <c r="AJ1330" s="26">
        <v>0.988993069710558</v>
      </c>
      <c r="AK1330" s="26">
        <v>0.99483204134366898</v>
      </c>
      <c r="AL1330" s="26">
        <v>0.98743684282397903</v>
      </c>
      <c r="AM1330" s="25">
        <v>0.99</v>
      </c>
      <c r="AN1330" s="30">
        <v>1</v>
      </c>
      <c r="AO1330" s="30">
        <v>1</v>
      </c>
      <c r="AP1330" s="30">
        <v>1</v>
      </c>
      <c r="AQ1330" s="30">
        <v>1</v>
      </c>
      <c r="AR1330" s="50">
        <v>7.2186152540827803E-2</v>
      </c>
      <c r="AS1330" s="34">
        <v>0</v>
      </c>
      <c r="AT1330" s="34">
        <v>0</v>
      </c>
      <c r="AU1330" s="34">
        <v>0</v>
      </c>
      <c r="AV1330" s="34">
        <v>2.4390243902439001E-2</v>
      </c>
      <c r="AW1330" s="10"/>
      <c r="AX1330" s="8"/>
    </row>
    <row r="1331" spans="1:50">
      <c r="A1331" s="7"/>
      <c r="B1331" s="10"/>
      <c r="C1331" s="45" t="s">
        <v>1100</v>
      </c>
      <c r="D1331" s="23" t="s">
        <v>25</v>
      </c>
      <c r="E1331" s="83" t="s">
        <v>1375</v>
      </c>
      <c r="F1331" s="83" t="s">
        <v>1375</v>
      </c>
      <c r="G1331" s="83" t="s">
        <v>1375</v>
      </c>
      <c r="H1331" s="83" t="s">
        <v>1375</v>
      </c>
      <c r="I1331" s="25">
        <v>0.9</v>
      </c>
      <c r="J1331" s="26">
        <v>1</v>
      </c>
      <c r="K1331" s="26">
        <v>1</v>
      </c>
      <c r="L1331" s="27">
        <v>0.95833333333333304</v>
      </c>
      <c r="M1331" s="26">
        <v>0.98591549295774605</v>
      </c>
      <c r="N1331" s="28">
        <v>0.9</v>
      </c>
      <c r="O1331" s="26">
        <v>0.987606318347509</v>
      </c>
      <c r="P1331" s="26">
        <v>0.94472662085449699</v>
      </c>
      <c r="Q1331" s="26">
        <v>0.99048316251830204</v>
      </c>
      <c r="R1331" s="26">
        <v>0.97527063263481995</v>
      </c>
      <c r="S1331" s="28">
        <v>0.9</v>
      </c>
      <c r="T1331" s="26">
        <v>0.965978128797084</v>
      </c>
      <c r="U1331" s="26">
        <v>0.946818046011353</v>
      </c>
      <c r="V1331" s="26">
        <v>0.96559297218155205</v>
      </c>
      <c r="W1331" s="26">
        <v>0.95972787764425505</v>
      </c>
      <c r="X1331" s="28">
        <v>0.92</v>
      </c>
      <c r="Y1331" s="28">
        <v>0</v>
      </c>
      <c r="Z1331" s="28">
        <v>0</v>
      </c>
      <c r="AA1331" s="28">
        <v>0</v>
      </c>
      <c r="AB1331" s="28">
        <v>0</v>
      </c>
      <c r="AC1331" s="28">
        <v>0.92</v>
      </c>
      <c r="AD1331" s="26">
        <v>0.99871575342465801</v>
      </c>
      <c r="AE1331" s="26">
        <v>0.99705449189985296</v>
      </c>
      <c r="AF1331" s="26">
        <v>0.99905749293119706</v>
      </c>
      <c r="AG1331" s="26">
        <v>0.99854038274407997</v>
      </c>
      <c r="AH1331" s="28">
        <v>0.92</v>
      </c>
      <c r="AI1331" s="26">
        <v>0.98347509113001197</v>
      </c>
      <c r="AJ1331" s="26">
        <v>0.98087839856587999</v>
      </c>
      <c r="AK1331" s="26">
        <v>0.98279648609077597</v>
      </c>
      <c r="AL1331" s="26">
        <v>0.983166989423507</v>
      </c>
      <c r="AM1331" s="25">
        <v>0.99</v>
      </c>
      <c r="AN1331" s="30">
        <v>1</v>
      </c>
      <c r="AO1331" s="30">
        <v>1</v>
      </c>
      <c r="AP1331" s="30">
        <v>1</v>
      </c>
      <c r="AQ1331" s="30">
        <v>1</v>
      </c>
      <c r="AR1331" s="50">
        <v>7.2186152540827803E-2</v>
      </c>
      <c r="AS1331" s="34">
        <v>0.125</v>
      </c>
      <c r="AT1331" s="34">
        <v>0</v>
      </c>
      <c r="AU1331" s="34">
        <v>9.0909090909090898E-2</v>
      </c>
      <c r="AV1331" s="34">
        <v>5.2631578947368397E-2</v>
      </c>
      <c r="AW1331" s="10"/>
      <c r="AX1331" s="8"/>
    </row>
    <row r="1332" spans="1:50">
      <c r="A1332" s="7"/>
      <c r="B1332" s="10"/>
      <c r="C1332" s="45" t="s">
        <v>1100</v>
      </c>
      <c r="D1332" s="23" t="s">
        <v>25</v>
      </c>
      <c r="E1332" s="83" t="s">
        <v>1376</v>
      </c>
      <c r="F1332" s="83" t="s">
        <v>1376</v>
      </c>
      <c r="G1332" s="83" t="s">
        <v>1376</v>
      </c>
      <c r="H1332" s="83" t="s">
        <v>1376</v>
      </c>
      <c r="I1332" s="25">
        <v>0.9</v>
      </c>
      <c r="J1332" s="26">
        <v>0.98039215686274495</v>
      </c>
      <c r="K1332" s="26">
        <v>1</v>
      </c>
      <c r="L1332" s="27">
        <v>0.95348837209302295</v>
      </c>
      <c r="M1332" s="26">
        <v>0.95306859205776195</v>
      </c>
      <c r="N1332" s="28">
        <v>0.9</v>
      </c>
      <c r="O1332" s="26">
        <v>0.99285564194158404</v>
      </c>
      <c r="P1332" s="26">
        <v>0.99042195185089299</v>
      </c>
      <c r="Q1332" s="26">
        <v>0.99464735516372804</v>
      </c>
      <c r="R1332" s="26">
        <v>0.99297404181917603</v>
      </c>
      <c r="S1332" s="28">
        <v>0.9</v>
      </c>
      <c r="T1332" s="26">
        <v>0.97814666946837603</v>
      </c>
      <c r="U1332" s="26">
        <v>0.96324100440072502</v>
      </c>
      <c r="V1332" s="26">
        <v>0.97858942065491195</v>
      </c>
      <c r="W1332" s="26">
        <v>0.97429424881147697</v>
      </c>
      <c r="X1332" s="28">
        <v>0.92</v>
      </c>
      <c r="Y1332" s="28">
        <v>0</v>
      </c>
      <c r="Z1332" s="28">
        <v>0</v>
      </c>
      <c r="AA1332" s="28">
        <v>0</v>
      </c>
      <c r="AB1332" s="28">
        <v>0</v>
      </c>
      <c r="AC1332" s="28">
        <v>0.92</v>
      </c>
      <c r="AD1332" s="26">
        <v>1</v>
      </c>
      <c r="AE1332" s="26">
        <v>1</v>
      </c>
      <c r="AF1332" s="26">
        <v>1</v>
      </c>
      <c r="AG1332" s="26">
        <v>1</v>
      </c>
      <c r="AH1332" s="28">
        <v>0.92</v>
      </c>
      <c r="AI1332" s="26">
        <v>0.99117647058823499</v>
      </c>
      <c r="AJ1332" s="26">
        <v>0.98964535335231696</v>
      </c>
      <c r="AK1332" s="26">
        <v>0.99559193954659997</v>
      </c>
      <c r="AL1332" s="26">
        <v>0.99310054690786698</v>
      </c>
      <c r="AM1332" s="25">
        <v>0.99</v>
      </c>
      <c r="AN1332" s="30">
        <v>1</v>
      </c>
      <c r="AO1332" s="30">
        <v>1</v>
      </c>
      <c r="AP1332" s="30">
        <v>1</v>
      </c>
      <c r="AQ1332" s="30">
        <v>1</v>
      </c>
      <c r="AR1332" s="50">
        <v>7.2186152540827803E-2</v>
      </c>
      <c r="AS1332" s="34">
        <v>0.11111111111111099</v>
      </c>
      <c r="AT1332" s="34">
        <v>0</v>
      </c>
      <c r="AU1332" s="34">
        <v>0</v>
      </c>
      <c r="AV1332" s="34">
        <v>2.4691358024691398E-2</v>
      </c>
      <c r="AW1332" s="10"/>
      <c r="AX1332" s="8"/>
    </row>
    <row r="1333" spans="1:50">
      <c r="A1333" s="7"/>
      <c r="B1333" s="10"/>
      <c r="C1333" s="45" t="s">
        <v>1100</v>
      </c>
      <c r="D1333" s="23" t="s">
        <v>25</v>
      </c>
      <c r="E1333" s="83" t="s">
        <v>1377</v>
      </c>
      <c r="F1333" s="83" t="s">
        <v>1377</v>
      </c>
      <c r="G1333" s="83" t="s">
        <v>1377</v>
      </c>
      <c r="H1333" s="83" t="s">
        <v>1377</v>
      </c>
      <c r="I1333" s="25">
        <v>0.9</v>
      </c>
      <c r="J1333" s="26">
        <v>0.93902439024390205</v>
      </c>
      <c r="K1333" s="26">
        <v>0.93975903614457801</v>
      </c>
      <c r="L1333" s="27">
        <v>0.88888888888888895</v>
      </c>
      <c r="M1333" s="26">
        <v>0.93855932203389802</v>
      </c>
      <c r="N1333" s="28">
        <v>0.9</v>
      </c>
      <c r="O1333" s="26">
        <v>0.96302521008403397</v>
      </c>
      <c r="P1333" s="26">
        <v>0.96441523118767003</v>
      </c>
      <c r="Q1333" s="26">
        <v>0.97510786591437104</v>
      </c>
      <c r="R1333" s="26">
        <v>0.95340529626465798</v>
      </c>
      <c r="S1333" s="28">
        <v>0.9</v>
      </c>
      <c r="T1333" s="26">
        <v>0.89598506069094297</v>
      </c>
      <c r="U1333" s="26">
        <v>0.92543064369900296</v>
      </c>
      <c r="V1333" s="26">
        <v>0.93096581480252205</v>
      </c>
      <c r="W1333" s="26">
        <v>0.91337267997204297</v>
      </c>
      <c r="X1333" s="28">
        <v>0.92</v>
      </c>
      <c r="Y1333" s="28">
        <v>0.91150442477876104</v>
      </c>
      <c r="Z1333" s="28">
        <v>0.93272655322516795</v>
      </c>
      <c r="AA1333" s="28">
        <v>0.92613933996857001</v>
      </c>
      <c r="AB1333" s="28">
        <v>0.91809344167150297</v>
      </c>
      <c r="AC1333" s="28">
        <v>0.92</v>
      </c>
      <c r="AD1333" s="26">
        <v>0.99412751677852396</v>
      </c>
      <c r="AE1333" s="26">
        <v>0.99925149700598803</v>
      </c>
      <c r="AF1333" s="26">
        <v>0.99887323943661999</v>
      </c>
      <c r="AG1333" s="26">
        <v>0.99865689865689899</v>
      </c>
      <c r="AH1333" s="28">
        <v>0.92</v>
      </c>
      <c r="AI1333" s="26">
        <v>0.95344981507460802</v>
      </c>
      <c r="AJ1333" s="26">
        <v>0.959798270893372</v>
      </c>
      <c r="AK1333" s="26">
        <v>0.95936611133685501</v>
      </c>
      <c r="AL1333" s="26">
        <v>0.95546394881262497</v>
      </c>
      <c r="AM1333" s="25">
        <v>0.99</v>
      </c>
      <c r="AN1333" s="30">
        <v>1</v>
      </c>
      <c r="AO1333" s="30">
        <v>1</v>
      </c>
      <c r="AP1333" s="30">
        <v>1</v>
      </c>
      <c r="AQ1333" s="30">
        <v>1</v>
      </c>
      <c r="AR1333" s="50">
        <v>7.2186152540827803E-2</v>
      </c>
      <c r="AS1333" s="34">
        <v>0</v>
      </c>
      <c r="AT1333" s="34">
        <v>0.04</v>
      </c>
      <c r="AU1333" s="34">
        <v>0</v>
      </c>
      <c r="AV1333" s="34">
        <v>9.8039215686274508E-3</v>
      </c>
      <c r="AW1333" s="10"/>
      <c r="AX1333" s="8"/>
    </row>
    <row r="1334" spans="1:50">
      <c r="A1334" s="7"/>
      <c r="B1334" s="10"/>
      <c r="C1334" s="45" t="s">
        <v>1100</v>
      </c>
      <c r="D1334" s="23" t="s">
        <v>25</v>
      </c>
      <c r="E1334" s="83" t="s">
        <v>1378</v>
      </c>
      <c r="F1334" s="83" t="s">
        <v>1378</v>
      </c>
      <c r="G1334" s="83" t="s">
        <v>1378</v>
      </c>
      <c r="H1334" s="83" t="s">
        <v>1378</v>
      </c>
      <c r="I1334" s="25">
        <v>0.9</v>
      </c>
      <c r="J1334" s="26">
        <v>0.95454545454545503</v>
      </c>
      <c r="K1334" s="26">
        <v>0.97727272727272696</v>
      </c>
      <c r="L1334" s="27">
        <v>0.94871794871794901</v>
      </c>
      <c r="M1334" s="26">
        <v>0.96538461538461495</v>
      </c>
      <c r="N1334" s="28">
        <v>0.9</v>
      </c>
      <c r="O1334" s="26">
        <v>0.93128478103072798</v>
      </c>
      <c r="P1334" s="26">
        <v>0.98700931940129899</v>
      </c>
      <c r="Q1334" s="26">
        <v>0.948902606310014</v>
      </c>
      <c r="R1334" s="26">
        <v>0.95815399330463902</v>
      </c>
      <c r="S1334" s="28">
        <v>0.9</v>
      </c>
      <c r="T1334" s="26">
        <v>0.89233002661505001</v>
      </c>
      <c r="U1334" s="26">
        <v>0.92262072860773803</v>
      </c>
      <c r="V1334" s="26">
        <v>0.89060356652949202</v>
      </c>
      <c r="W1334" s="26">
        <v>0.91587757054041097</v>
      </c>
      <c r="X1334" s="28">
        <v>0.92</v>
      </c>
      <c r="Y1334" s="28">
        <v>0</v>
      </c>
      <c r="Z1334" s="28">
        <v>0</v>
      </c>
      <c r="AA1334" s="28">
        <v>0</v>
      </c>
      <c r="AB1334" s="28">
        <v>0</v>
      </c>
      <c r="AC1334" s="28">
        <v>0.92</v>
      </c>
      <c r="AD1334" s="26">
        <v>0.98901098901098905</v>
      </c>
      <c r="AE1334" s="26">
        <v>1</v>
      </c>
      <c r="AF1334" s="26">
        <v>1</v>
      </c>
      <c r="AG1334" s="26">
        <v>0.99074074074074103</v>
      </c>
      <c r="AH1334" s="28">
        <v>0.92</v>
      </c>
      <c r="AI1334" s="26">
        <v>0.96298984034833102</v>
      </c>
      <c r="AJ1334" s="26">
        <v>0.97458345100254196</v>
      </c>
      <c r="AK1334" s="26">
        <v>0.96707818930041201</v>
      </c>
      <c r="AL1334" s="26">
        <v>0.96925063363779795</v>
      </c>
      <c r="AM1334" s="25">
        <v>0.99</v>
      </c>
      <c r="AN1334" s="30">
        <v>1</v>
      </c>
      <c r="AO1334" s="30">
        <v>1</v>
      </c>
      <c r="AP1334" s="30">
        <v>1</v>
      </c>
      <c r="AQ1334" s="30">
        <v>1</v>
      </c>
      <c r="AR1334" s="50">
        <v>7.2186152540827803E-2</v>
      </c>
      <c r="AS1334" s="34">
        <v>0.125</v>
      </c>
      <c r="AT1334" s="34">
        <v>0</v>
      </c>
      <c r="AU1334" s="34">
        <v>0.42857142857142899</v>
      </c>
      <c r="AV1334" s="34">
        <v>0.1</v>
      </c>
      <c r="AW1334" s="10"/>
      <c r="AX1334" s="8"/>
    </row>
    <row r="1335" spans="1:50">
      <c r="A1335" s="7"/>
      <c r="B1335" s="10"/>
      <c r="C1335" s="45" t="s">
        <v>1100</v>
      </c>
      <c r="D1335" s="23" t="s">
        <v>25</v>
      </c>
      <c r="E1335" s="83" t="s">
        <v>1379</v>
      </c>
      <c r="F1335" s="83" t="s">
        <v>1379</v>
      </c>
      <c r="G1335" s="83" t="s">
        <v>1379</v>
      </c>
      <c r="H1335" s="83" t="s">
        <v>1379</v>
      </c>
      <c r="I1335" s="25">
        <v>0.9</v>
      </c>
      <c r="J1335" s="26">
        <v>1</v>
      </c>
      <c r="K1335" s="26">
        <v>1</v>
      </c>
      <c r="L1335" s="27">
        <v>1</v>
      </c>
      <c r="M1335" s="26">
        <v>0.99</v>
      </c>
      <c r="N1335" s="28">
        <v>0.9</v>
      </c>
      <c r="O1335" s="26">
        <v>0.99175649968294199</v>
      </c>
      <c r="P1335" s="26">
        <v>0.98435114503816801</v>
      </c>
      <c r="Q1335" s="26">
        <v>0.98887859128822997</v>
      </c>
      <c r="R1335" s="26">
        <v>0.98782554126137401</v>
      </c>
      <c r="S1335" s="28">
        <v>0.9</v>
      </c>
      <c r="T1335" s="26">
        <v>0.97146480659479995</v>
      </c>
      <c r="U1335" s="26">
        <v>0.96679389312977104</v>
      </c>
      <c r="V1335" s="26">
        <v>0.97451343836885995</v>
      </c>
      <c r="W1335" s="26">
        <v>0.968308754314402</v>
      </c>
      <c r="X1335" s="28">
        <v>0.92</v>
      </c>
      <c r="Y1335" s="28">
        <v>0</v>
      </c>
      <c r="Z1335" s="28">
        <v>0</v>
      </c>
      <c r="AA1335" s="28">
        <v>0</v>
      </c>
      <c r="AB1335" s="28">
        <v>0</v>
      </c>
      <c r="AC1335" s="28">
        <v>0.92</v>
      </c>
      <c r="AD1335" s="26">
        <v>0.99909228441754905</v>
      </c>
      <c r="AE1335" s="26">
        <v>0.99967330937602095</v>
      </c>
      <c r="AF1335" s="26">
        <v>0.99944495837187797</v>
      </c>
      <c r="AG1335" s="26">
        <v>0.99902092136452603</v>
      </c>
      <c r="AH1335" s="28">
        <v>0.92</v>
      </c>
      <c r="AI1335" s="26">
        <v>0.98224476854787601</v>
      </c>
      <c r="AJ1335" s="26">
        <v>0.97291110263258296</v>
      </c>
      <c r="AK1335" s="26">
        <v>0.98331788693234501</v>
      </c>
      <c r="AL1335" s="26">
        <v>0.978288152610442</v>
      </c>
      <c r="AM1335" s="25">
        <v>0.99</v>
      </c>
      <c r="AN1335" s="30">
        <v>1</v>
      </c>
      <c r="AO1335" s="30">
        <v>1</v>
      </c>
      <c r="AP1335" s="30">
        <v>1</v>
      </c>
      <c r="AQ1335" s="30">
        <v>1</v>
      </c>
      <c r="AR1335" s="50">
        <v>7.2186152540827803E-2</v>
      </c>
      <c r="AS1335" s="34">
        <v>0</v>
      </c>
      <c r="AT1335" s="34">
        <v>0</v>
      </c>
      <c r="AU1335" s="34">
        <v>0</v>
      </c>
      <c r="AV1335" s="34">
        <v>0</v>
      </c>
      <c r="AW1335" s="10"/>
      <c r="AX1335" s="8"/>
    </row>
    <row r="1336" spans="1:50">
      <c r="A1336" s="7"/>
      <c r="B1336" s="10"/>
      <c r="C1336" s="45" t="s">
        <v>1100</v>
      </c>
      <c r="D1336" s="23" t="s">
        <v>25</v>
      </c>
      <c r="E1336" s="83" t="s">
        <v>1380</v>
      </c>
      <c r="F1336" s="83" t="s">
        <v>1380</v>
      </c>
      <c r="G1336" s="83" t="s">
        <v>1380</v>
      </c>
      <c r="H1336" s="83" t="s">
        <v>1380</v>
      </c>
      <c r="I1336" s="25">
        <v>0.9</v>
      </c>
      <c r="J1336" s="26">
        <v>1</v>
      </c>
      <c r="K1336" s="26">
        <v>0.952380952380952</v>
      </c>
      <c r="L1336" s="27">
        <v>0.94736842105263197</v>
      </c>
      <c r="M1336" s="26">
        <v>0.95384615384615401</v>
      </c>
      <c r="N1336" s="28">
        <v>0.9</v>
      </c>
      <c r="O1336" s="26">
        <v>0.95371900826446299</v>
      </c>
      <c r="P1336" s="26">
        <v>0.96253164556962001</v>
      </c>
      <c r="Q1336" s="26">
        <v>0.96491228070175405</v>
      </c>
      <c r="R1336" s="26">
        <v>0.950950138054247</v>
      </c>
      <c r="S1336" s="28">
        <v>0.9</v>
      </c>
      <c r="T1336" s="26">
        <v>0.93429752066115701</v>
      </c>
      <c r="U1336" s="26">
        <v>0.91240506329113902</v>
      </c>
      <c r="V1336" s="26">
        <v>0.95426065162907303</v>
      </c>
      <c r="W1336" s="26">
        <v>0.92228357966542196</v>
      </c>
      <c r="X1336" s="28">
        <v>0.92</v>
      </c>
      <c r="Y1336" s="28">
        <v>0</v>
      </c>
      <c r="Z1336" s="28">
        <v>0</v>
      </c>
      <c r="AA1336" s="28">
        <v>0</v>
      </c>
      <c r="AB1336" s="28">
        <v>1</v>
      </c>
      <c r="AC1336" s="28">
        <v>0.92</v>
      </c>
      <c r="AD1336" s="26">
        <v>1</v>
      </c>
      <c r="AE1336" s="26">
        <v>0.98550724637681197</v>
      </c>
      <c r="AF1336" s="26">
        <v>1</v>
      </c>
      <c r="AG1336" s="26">
        <v>0.996217178460169</v>
      </c>
      <c r="AH1336" s="28">
        <v>0.92</v>
      </c>
      <c r="AI1336" s="26">
        <v>0.95909090909090899</v>
      </c>
      <c r="AJ1336" s="26">
        <v>0.95848101265822805</v>
      </c>
      <c r="AK1336" s="26">
        <v>0.96804511278195504</v>
      </c>
      <c r="AL1336" s="26">
        <v>0.95566382460414101</v>
      </c>
      <c r="AM1336" s="25">
        <v>0.99</v>
      </c>
      <c r="AN1336" s="30">
        <v>0</v>
      </c>
      <c r="AO1336" s="30">
        <v>1</v>
      </c>
      <c r="AP1336" s="30">
        <v>1</v>
      </c>
      <c r="AQ1336" s="30">
        <v>1</v>
      </c>
      <c r="AR1336" s="50">
        <v>7.2186152540827803E-2</v>
      </c>
      <c r="AS1336" s="34">
        <v>8.3333333333333301E-2</v>
      </c>
      <c r="AT1336" s="34">
        <v>0</v>
      </c>
      <c r="AU1336" s="34">
        <v>0</v>
      </c>
      <c r="AV1336" s="34">
        <v>6.5217391304347797E-2</v>
      </c>
      <c r="AW1336" s="10"/>
      <c r="AX1336" s="8"/>
    </row>
    <row r="1337" spans="1:50">
      <c r="A1337" s="7"/>
      <c r="B1337" s="10"/>
      <c r="C1337" s="45" t="s">
        <v>1100</v>
      </c>
      <c r="D1337" s="23" t="s">
        <v>25</v>
      </c>
      <c r="E1337" s="83" t="s">
        <v>1381</v>
      </c>
      <c r="F1337" s="83" t="s">
        <v>1381</v>
      </c>
      <c r="G1337" s="83" t="s">
        <v>1381</v>
      </c>
      <c r="H1337" s="83" t="s">
        <v>1381</v>
      </c>
      <c r="I1337" s="25">
        <v>0.9</v>
      </c>
      <c r="J1337" s="26">
        <v>0.94736842105263197</v>
      </c>
      <c r="K1337" s="26">
        <v>0.94871794871794901</v>
      </c>
      <c r="L1337" s="27">
        <v>0.891891891891892</v>
      </c>
      <c r="M1337" s="26">
        <v>0.890350877192982</v>
      </c>
      <c r="N1337" s="28">
        <v>0.9</v>
      </c>
      <c r="O1337" s="26">
        <v>0.87001897533206796</v>
      </c>
      <c r="P1337" s="26">
        <v>0.96875</v>
      </c>
      <c r="Q1337" s="26">
        <v>0.97461212976022604</v>
      </c>
      <c r="R1337" s="26">
        <v>0.92116028263294902</v>
      </c>
      <c r="S1337" s="28">
        <v>0.9</v>
      </c>
      <c r="T1337" s="26">
        <v>0.84677419354838701</v>
      </c>
      <c r="U1337" s="26">
        <v>0.89864864864864902</v>
      </c>
      <c r="V1337" s="26">
        <v>0.90585331452750395</v>
      </c>
      <c r="W1337" s="26">
        <v>0.87444217181108197</v>
      </c>
      <c r="X1337" s="28">
        <v>0.92</v>
      </c>
      <c r="Y1337" s="28">
        <v>0</v>
      </c>
      <c r="Z1337" s="28">
        <v>0</v>
      </c>
      <c r="AA1337" s="28">
        <v>0</v>
      </c>
      <c r="AB1337" s="28">
        <v>0</v>
      </c>
      <c r="AC1337" s="28">
        <v>0.92</v>
      </c>
      <c r="AD1337" s="26">
        <v>0.99009900990098998</v>
      </c>
      <c r="AE1337" s="26">
        <v>0.99576271186440701</v>
      </c>
      <c r="AF1337" s="26">
        <v>0.99152542372881403</v>
      </c>
      <c r="AG1337" s="26">
        <v>0.98420221169036304</v>
      </c>
      <c r="AH1337" s="28">
        <v>0.92</v>
      </c>
      <c r="AI1337" s="26">
        <v>0.96846099122599005</v>
      </c>
      <c r="AJ1337" s="26">
        <v>0.96762387387387405</v>
      </c>
      <c r="AK1337" s="26">
        <v>0.95839210155148102</v>
      </c>
      <c r="AL1337" s="26">
        <v>0.96555571050062705</v>
      </c>
      <c r="AM1337" s="25">
        <v>0.99</v>
      </c>
      <c r="AN1337" s="30">
        <v>1</v>
      </c>
      <c r="AO1337" s="30">
        <v>1</v>
      </c>
      <c r="AP1337" s="30">
        <v>1</v>
      </c>
      <c r="AQ1337" s="30">
        <v>1</v>
      </c>
      <c r="AR1337" s="50">
        <v>7.2186152540827803E-2</v>
      </c>
      <c r="AS1337" s="34">
        <v>0.11111111111111099</v>
      </c>
      <c r="AT1337" s="34">
        <v>0</v>
      </c>
      <c r="AU1337" s="34">
        <v>0.16666666666666699</v>
      </c>
      <c r="AV1337" s="34">
        <v>0.101694915254237</v>
      </c>
      <c r="AW1337" s="10"/>
      <c r="AX1337" s="8"/>
    </row>
    <row r="1338" spans="1:50">
      <c r="A1338" s="7"/>
      <c r="B1338" s="10"/>
      <c r="C1338" s="45" t="s">
        <v>1100</v>
      </c>
      <c r="D1338" s="23" t="s">
        <v>25</v>
      </c>
      <c r="E1338" s="83" t="s">
        <v>1382</v>
      </c>
      <c r="F1338" s="83" t="s">
        <v>1382</v>
      </c>
      <c r="G1338" s="83" t="s">
        <v>1382</v>
      </c>
      <c r="H1338" s="83" t="s">
        <v>1382</v>
      </c>
      <c r="I1338" s="25">
        <v>0.9</v>
      </c>
      <c r="J1338" s="26">
        <v>0</v>
      </c>
      <c r="K1338" s="26">
        <v>0</v>
      </c>
      <c r="L1338" s="27">
        <v>0</v>
      </c>
      <c r="M1338" s="26">
        <v>0</v>
      </c>
      <c r="N1338" s="28">
        <v>0.9</v>
      </c>
      <c r="O1338" s="26">
        <v>0</v>
      </c>
      <c r="P1338" s="26">
        <v>0</v>
      </c>
      <c r="Q1338" s="26">
        <v>0</v>
      </c>
      <c r="R1338" s="26">
        <v>0</v>
      </c>
      <c r="S1338" s="28">
        <v>0.9</v>
      </c>
      <c r="T1338" s="26">
        <v>0</v>
      </c>
      <c r="U1338" s="26">
        <v>1</v>
      </c>
      <c r="V1338" s="26">
        <v>1</v>
      </c>
      <c r="W1338" s="26">
        <v>1</v>
      </c>
      <c r="X1338" s="28">
        <v>0.92</v>
      </c>
      <c r="Y1338" s="28">
        <v>0</v>
      </c>
      <c r="Z1338" s="28">
        <v>1</v>
      </c>
      <c r="AA1338" s="28">
        <v>1</v>
      </c>
      <c r="AB1338" s="28">
        <v>1</v>
      </c>
      <c r="AC1338" s="28">
        <v>0.92</v>
      </c>
      <c r="AD1338" s="26">
        <v>1</v>
      </c>
      <c r="AE1338" s="26">
        <v>1</v>
      </c>
      <c r="AF1338" s="26">
        <v>1</v>
      </c>
      <c r="AG1338" s="26">
        <v>0.99849284099472502</v>
      </c>
      <c r="AH1338" s="28">
        <v>0.92</v>
      </c>
      <c r="AI1338" s="26">
        <v>0</v>
      </c>
      <c r="AJ1338" s="26">
        <v>1</v>
      </c>
      <c r="AK1338" s="26">
        <v>1</v>
      </c>
      <c r="AL1338" s="26">
        <v>1</v>
      </c>
      <c r="AM1338" s="25">
        <v>0.99</v>
      </c>
      <c r="AN1338" s="30">
        <v>0</v>
      </c>
      <c r="AO1338" s="30">
        <v>0</v>
      </c>
      <c r="AP1338" s="30">
        <v>0</v>
      </c>
      <c r="AQ1338" s="30">
        <v>1</v>
      </c>
      <c r="AR1338" s="50">
        <v>7.2186152540827803E-2</v>
      </c>
      <c r="AS1338" s="34">
        <v>0</v>
      </c>
      <c r="AT1338" s="34">
        <v>0</v>
      </c>
      <c r="AU1338" s="34">
        <v>0</v>
      </c>
      <c r="AV1338" s="34">
        <v>0</v>
      </c>
      <c r="AW1338" s="10"/>
      <c r="AX1338" s="8"/>
    </row>
    <row r="1339" spans="1:50">
      <c r="A1339" s="7"/>
      <c r="B1339" s="10"/>
      <c r="C1339" s="45" t="s">
        <v>1100</v>
      </c>
      <c r="D1339" s="23" t="s">
        <v>25</v>
      </c>
      <c r="E1339" s="83" t="s">
        <v>1383</v>
      </c>
      <c r="F1339" s="83" t="s">
        <v>1383</v>
      </c>
      <c r="G1339" s="83" t="s">
        <v>1383</v>
      </c>
      <c r="H1339" s="83" t="s">
        <v>1383</v>
      </c>
      <c r="I1339" s="25">
        <v>0.9</v>
      </c>
      <c r="J1339" s="26">
        <v>0.97727272727272696</v>
      </c>
      <c r="K1339" s="26">
        <v>0.91304347826086996</v>
      </c>
      <c r="L1339" s="27">
        <v>0.94594594594594605</v>
      </c>
      <c r="M1339" s="26">
        <v>0.91505791505791501</v>
      </c>
      <c r="N1339" s="28">
        <v>0.9</v>
      </c>
      <c r="O1339" s="26">
        <v>0.97256317689530702</v>
      </c>
      <c r="P1339" s="26">
        <v>0.98269468479604405</v>
      </c>
      <c r="Q1339" s="26">
        <v>0.97876004592422505</v>
      </c>
      <c r="R1339" s="26">
        <v>0.97780761891299695</v>
      </c>
      <c r="S1339" s="28">
        <v>0.9</v>
      </c>
      <c r="T1339" s="26">
        <v>0.94729241877256298</v>
      </c>
      <c r="U1339" s="26">
        <v>0.95179233621755299</v>
      </c>
      <c r="V1339" s="26">
        <v>0.95005740528128602</v>
      </c>
      <c r="W1339" s="26">
        <v>0.94600325111315298</v>
      </c>
      <c r="X1339" s="28">
        <v>0.92</v>
      </c>
      <c r="Y1339" s="28">
        <v>0.96969696969696995</v>
      </c>
      <c r="Z1339" s="28">
        <v>0.96045197740112997</v>
      </c>
      <c r="AA1339" s="28">
        <v>0.95660203139427502</v>
      </c>
      <c r="AB1339" s="28">
        <v>0.95801232665639402</v>
      </c>
      <c r="AC1339" s="28">
        <v>0.92</v>
      </c>
      <c r="AD1339" s="26">
        <v>0.99792674498963396</v>
      </c>
      <c r="AE1339" s="26">
        <v>0.99591542527630905</v>
      </c>
      <c r="AF1339" s="26">
        <v>0.99494736842105302</v>
      </c>
      <c r="AG1339" s="26">
        <v>0.98935534027030303</v>
      </c>
      <c r="AH1339" s="28">
        <v>0.92</v>
      </c>
      <c r="AI1339" s="26">
        <v>0.977316141356256</v>
      </c>
      <c r="AJ1339" s="26">
        <v>0.97587664760009996</v>
      </c>
      <c r="AK1339" s="26">
        <v>0.97275300778485496</v>
      </c>
      <c r="AL1339" s="26">
        <v>0.97356908494349204</v>
      </c>
      <c r="AM1339" s="25">
        <v>0.99</v>
      </c>
      <c r="AN1339" s="30">
        <v>1</v>
      </c>
      <c r="AO1339" s="30">
        <v>1</v>
      </c>
      <c r="AP1339" s="30">
        <v>1</v>
      </c>
      <c r="AQ1339" s="30">
        <v>1</v>
      </c>
      <c r="AR1339" s="50">
        <v>7.2186152540827803E-2</v>
      </c>
      <c r="AS1339" s="34">
        <v>0.11111111111111099</v>
      </c>
      <c r="AT1339" s="34">
        <v>0</v>
      </c>
      <c r="AU1339" s="34">
        <v>0</v>
      </c>
      <c r="AV1339" s="34">
        <v>5.9701492537313397E-2</v>
      </c>
      <c r="AW1339" s="10"/>
      <c r="AX1339" s="8"/>
    </row>
    <row r="1340" spans="1:50">
      <c r="A1340" s="7"/>
      <c r="B1340" s="10"/>
      <c r="C1340" s="45" t="s">
        <v>1100</v>
      </c>
      <c r="D1340" s="23" t="s">
        <v>25</v>
      </c>
      <c r="E1340" s="83" t="s">
        <v>1384</v>
      </c>
      <c r="F1340" s="83" t="s">
        <v>1384</v>
      </c>
      <c r="G1340" s="83" t="s">
        <v>1384</v>
      </c>
      <c r="H1340" s="83" t="s">
        <v>1384</v>
      </c>
      <c r="I1340" s="25">
        <v>0.9</v>
      </c>
      <c r="J1340" s="26">
        <v>0.95121951219512202</v>
      </c>
      <c r="K1340" s="26">
        <v>0.90476190476190499</v>
      </c>
      <c r="L1340" s="27">
        <v>0.88888888888888895</v>
      </c>
      <c r="M1340" s="26">
        <v>0.90789473684210498</v>
      </c>
      <c r="N1340" s="28">
        <v>0.9</v>
      </c>
      <c r="O1340" s="26">
        <v>0.90003343363423605</v>
      </c>
      <c r="P1340" s="26">
        <v>0.94189406099518502</v>
      </c>
      <c r="Q1340" s="26">
        <v>0.92366863905325403</v>
      </c>
      <c r="R1340" s="26">
        <v>0.93831081081081102</v>
      </c>
      <c r="S1340" s="28">
        <v>0.9</v>
      </c>
      <c r="T1340" s="26">
        <v>0.92510865931126696</v>
      </c>
      <c r="U1340" s="26">
        <v>0.93418940609951895</v>
      </c>
      <c r="V1340" s="26">
        <v>0.92426035502958603</v>
      </c>
      <c r="W1340" s="26">
        <v>0.93013513513513502</v>
      </c>
      <c r="X1340" s="28">
        <v>0.92</v>
      </c>
      <c r="Y1340" s="28">
        <v>0.93791044776119403</v>
      </c>
      <c r="Z1340" s="28">
        <v>0.96640316205533605</v>
      </c>
      <c r="AA1340" s="28">
        <v>0.95290858725761796</v>
      </c>
      <c r="AB1340" s="28">
        <v>0.95199999999999996</v>
      </c>
      <c r="AC1340" s="28">
        <v>0.92</v>
      </c>
      <c r="AD1340" s="26">
        <v>0.99368932038835001</v>
      </c>
      <c r="AE1340" s="26">
        <v>0.99369544131910803</v>
      </c>
      <c r="AF1340" s="26">
        <v>0.99287410926365804</v>
      </c>
      <c r="AG1340" s="26">
        <v>0.99459795577319199</v>
      </c>
      <c r="AH1340" s="28">
        <v>0.92</v>
      </c>
      <c r="AI1340" s="26">
        <v>0.95842263180454301</v>
      </c>
      <c r="AJ1340" s="26">
        <v>0.97325066430469398</v>
      </c>
      <c r="AK1340" s="26">
        <v>0.96136893959035497</v>
      </c>
      <c r="AL1340" s="26">
        <v>0.96473170362521798</v>
      </c>
      <c r="AM1340" s="25">
        <v>0.99</v>
      </c>
      <c r="AN1340" s="30">
        <v>1</v>
      </c>
      <c r="AO1340" s="30">
        <v>1</v>
      </c>
      <c r="AP1340" s="30">
        <v>1</v>
      </c>
      <c r="AQ1340" s="30">
        <v>1</v>
      </c>
      <c r="AR1340" s="50">
        <v>7.2186152540827803E-2</v>
      </c>
      <c r="AS1340" s="34">
        <v>0</v>
      </c>
      <c r="AT1340" s="34">
        <v>0</v>
      </c>
      <c r="AU1340" s="34">
        <v>7.69230769230769E-2</v>
      </c>
      <c r="AV1340" s="34">
        <v>3.6496350364963501E-2</v>
      </c>
      <c r="AW1340" s="10"/>
      <c r="AX1340" s="8"/>
    </row>
    <row r="1341" spans="1:50">
      <c r="A1341" s="7"/>
      <c r="B1341" s="10"/>
      <c r="C1341" s="45" t="s">
        <v>1100</v>
      </c>
      <c r="D1341" s="23" t="s">
        <v>25</v>
      </c>
      <c r="E1341" s="83" t="s">
        <v>1385</v>
      </c>
      <c r="F1341" s="83" t="s">
        <v>1385</v>
      </c>
      <c r="G1341" s="83" t="s">
        <v>1385</v>
      </c>
      <c r="H1341" s="83" t="s">
        <v>1385</v>
      </c>
      <c r="I1341" s="25">
        <v>0.9</v>
      </c>
      <c r="J1341" s="26">
        <v>0.875</v>
      </c>
      <c r="K1341" s="26">
        <v>0.94285714285714295</v>
      </c>
      <c r="L1341" s="27">
        <v>0.82142857142857095</v>
      </c>
      <c r="M1341" s="26">
        <v>0.87570621468926602</v>
      </c>
      <c r="N1341" s="28">
        <v>0.9</v>
      </c>
      <c r="O1341" s="26">
        <v>0.91235480464625096</v>
      </c>
      <c r="P1341" s="26">
        <v>0.96144494616186205</v>
      </c>
      <c r="Q1341" s="26">
        <v>0.95695364238410596</v>
      </c>
      <c r="R1341" s="26">
        <v>0.94142512077294704</v>
      </c>
      <c r="S1341" s="28">
        <v>0.9</v>
      </c>
      <c r="T1341" s="26">
        <v>0.92256247800070401</v>
      </c>
      <c r="U1341" s="26">
        <v>0.93921500521014201</v>
      </c>
      <c r="V1341" s="26">
        <v>0.94900662251655599</v>
      </c>
      <c r="W1341" s="26">
        <v>0.93093297101449302</v>
      </c>
      <c r="X1341" s="28">
        <v>0.92</v>
      </c>
      <c r="Y1341" s="28">
        <v>0.94614443084455302</v>
      </c>
      <c r="Z1341" s="28">
        <v>0.96310432569974602</v>
      </c>
      <c r="AA1341" s="28">
        <v>0.97075718015665802</v>
      </c>
      <c r="AB1341" s="28">
        <v>0.95477159656264099</v>
      </c>
      <c r="AC1341" s="28">
        <v>0.92</v>
      </c>
      <c r="AD1341" s="26">
        <v>0.99660359049005298</v>
      </c>
      <c r="AE1341" s="26">
        <v>0.99654662062160804</v>
      </c>
      <c r="AF1341" s="26">
        <v>0.99965022735222098</v>
      </c>
      <c r="AG1341" s="26">
        <v>0.997924055012542</v>
      </c>
      <c r="AH1341" s="28">
        <v>0.92</v>
      </c>
      <c r="AI1341" s="26">
        <v>0.96558659217877096</v>
      </c>
      <c r="AJ1341" s="26">
        <v>0.97479472980714199</v>
      </c>
      <c r="AK1341" s="26">
        <v>0.97897810218978099</v>
      </c>
      <c r="AL1341" s="26">
        <v>0.96675307575196501</v>
      </c>
      <c r="AM1341" s="25">
        <v>0.99</v>
      </c>
      <c r="AN1341" s="30">
        <v>1</v>
      </c>
      <c r="AO1341" s="30">
        <v>1</v>
      </c>
      <c r="AP1341" s="30">
        <v>1</v>
      </c>
      <c r="AQ1341" s="30">
        <v>1</v>
      </c>
      <c r="AR1341" s="50">
        <v>7.2186152540827803E-2</v>
      </c>
      <c r="AS1341" s="34">
        <v>0</v>
      </c>
      <c r="AT1341" s="34">
        <v>0</v>
      </c>
      <c r="AU1341" s="34">
        <v>9.5238095238095205E-2</v>
      </c>
      <c r="AV1341" s="34">
        <v>4.92957746478873E-2</v>
      </c>
      <c r="AW1341" s="10"/>
      <c r="AX1341" s="8"/>
    </row>
    <row r="1342" spans="1:50">
      <c r="A1342" s="7"/>
      <c r="B1342" s="10"/>
      <c r="C1342" s="45" t="s">
        <v>1100</v>
      </c>
      <c r="D1342" s="23" t="s">
        <v>25</v>
      </c>
      <c r="E1342" s="83" t="s">
        <v>1386</v>
      </c>
      <c r="F1342" s="83" t="s">
        <v>1386</v>
      </c>
      <c r="G1342" s="83" t="s">
        <v>1386</v>
      </c>
      <c r="H1342" s="83" t="s">
        <v>1386</v>
      </c>
      <c r="I1342" s="25">
        <v>0.9</v>
      </c>
      <c r="J1342" s="26">
        <v>0</v>
      </c>
      <c r="K1342" s="26">
        <v>0</v>
      </c>
      <c r="L1342" s="27">
        <v>0</v>
      </c>
      <c r="M1342" s="26">
        <v>0</v>
      </c>
      <c r="N1342" s="28">
        <v>0.9</v>
      </c>
      <c r="O1342" s="26">
        <v>0</v>
      </c>
      <c r="P1342" s="26">
        <v>1</v>
      </c>
      <c r="Q1342" s="26">
        <v>0</v>
      </c>
      <c r="R1342" s="26">
        <v>0.625</v>
      </c>
      <c r="S1342" s="28">
        <v>0.9</v>
      </c>
      <c r="T1342" s="26">
        <v>0</v>
      </c>
      <c r="U1342" s="26">
        <v>1</v>
      </c>
      <c r="V1342" s="26">
        <v>0</v>
      </c>
      <c r="W1342" s="26">
        <v>0.75</v>
      </c>
      <c r="X1342" s="28">
        <v>0.92</v>
      </c>
      <c r="Y1342" s="28">
        <v>0</v>
      </c>
      <c r="Z1342" s="28">
        <v>0</v>
      </c>
      <c r="AA1342" s="28">
        <v>0</v>
      </c>
      <c r="AB1342" s="28">
        <v>0</v>
      </c>
      <c r="AC1342" s="28">
        <v>0.92</v>
      </c>
      <c r="AD1342" s="26">
        <v>0.99695555104526101</v>
      </c>
      <c r="AE1342" s="26">
        <v>0.99783033195921</v>
      </c>
      <c r="AF1342" s="26">
        <v>0.99590792838874698</v>
      </c>
      <c r="AG1342" s="26">
        <v>0.99148411346684695</v>
      </c>
      <c r="AH1342" s="28">
        <v>0.92</v>
      </c>
      <c r="AI1342" s="26">
        <v>0.5</v>
      </c>
      <c r="AJ1342" s="26">
        <v>1</v>
      </c>
      <c r="AK1342" s="26">
        <v>0</v>
      </c>
      <c r="AL1342" s="26">
        <v>0.83333333333333304</v>
      </c>
      <c r="AM1342" s="25">
        <v>0.99</v>
      </c>
      <c r="AN1342" s="30">
        <v>1</v>
      </c>
      <c r="AO1342" s="30">
        <v>1</v>
      </c>
      <c r="AP1342" s="30">
        <v>1</v>
      </c>
      <c r="AQ1342" s="30">
        <v>1</v>
      </c>
      <c r="AR1342" s="50">
        <v>7.2186152540827803E-2</v>
      </c>
      <c r="AS1342" s="34">
        <v>0</v>
      </c>
      <c r="AT1342" s="34">
        <v>0</v>
      </c>
      <c r="AU1342" s="34">
        <v>0</v>
      </c>
      <c r="AV1342" s="34">
        <v>0</v>
      </c>
      <c r="AW1342" s="10"/>
      <c r="AX1342" s="8"/>
    </row>
    <row r="1343" spans="1:50">
      <c r="A1343" s="7"/>
      <c r="B1343" s="10"/>
      <c r="C1343" s="45" t="s">
        <v>1100</v>
      </c>
      <c r="D1343" s="23" t="s">
        <v>25</v>
      </c>
      <c r="E1343" s="83" t="s">
        <v>1387</v>
      </c>
      <c r="F1343" s="83" t="s">
        <v>1387</v>
      </c>
      <c r="G1343" s="83" t="s">
        <v>1387</v>
      </c>
      <c r="H1343" s="83" t="s">
        <v>1387</v>
      </c>
      <c r="I1343" s="25">
        <v>0.9</v>
      </c>
      <c r="J1343" s="26">
        <v>0.85714285714285698</v>
      </c>
      <c r="K1343" s="26">
        <v>0.71428571428571397</v>
      </c>
      <c r="L1343" s="27">
        <v>0.92857142857142905</v>
      </c>
      <c r="M1343" s="26">
        <v>0.85</v>
      </c>
      <c r="N1343" s="28">
        <v>0.9</v>
      </c>
      <c r="O1343" s="26">
        <v>0.96549019607843101</v>
      </c>
      <c r="P1343" s="26">
        <v>0.93782383419689097</v>
      </c>
      <c r="Q1343" s="26">
        <v>0.96709753231492401</v>
      </c>
      <c r="R1343" s="26">
        <v>0.94367816091954004</v>
      </c>
      <c r="S1343" s="28">
        <v>0.9</v>
      </c>
      <c r="T1343" s="26">
        <v>0.92784313725490197</v>
      </c>
      <c r="U1343" s="26">
        <v>0.94226498889711297</v>
      </c>
      <c r="V1343" s="26">
        <v>0.94712103407755599</v>
      </c>
      <c r="W1343" s="26">
        <v>0.93185550082101798</v>
      </c>
      <c r="X1343" s="28">
        <v>0.92</v>
      </c>
      <c r="Y1343" s="28">
        <v>0.93194444444444402</v>
      </c>
      <c r="Z1343" s="28">
        <v>0.95940594059405904</v>
      </c>
      <c r="AA1343" s="28">
        <v>0.95052083333333304</v>
      </c>
      <c r="AB1343" s="28">
        <v>0.94818423383525197</v>
      </c>
      <c r="AC1343" s="28">
        <v>0.92</v>
      </c>
      <c r="AD1343" s="26">
        <v>0.99279588336192104</v>
      </c>
      <c r="AE1343" s="26">
        <v>0.99619450317124703</v>
      </c>
      <c r="AF1343" s="26">
        <v>0.99549549549549599</v>
      </c>
      <c r="AG1343" s="26">
        <v>0.98328365423346498</v>
      </c>
      <c r="AH1343" s="28">
        <v>0.92</v>
      </c>
      <c r="AI1343" s="26">
        <v>0.95989974937343403</v>
      </c>
      <c r="AJ1343" s="26">
        <v>0.97246929267259596</v>
      </c>
      <c r="AK1343" s="26">
        <v>0.97035206917850503</v>
      </c>
      <c r="AL1343" s="26">
        <v>0.96671695266830104</v>
      </c>
      <c r="AM1343" s="25">
        <v>0.99</v>
      </c>
      <c r="AN1343" s="30">
        <v>1</v>
      </c>
      <c r="AO1343" s="30">
        <v>1</v>
      </c>
      <c r="AP1343" s="30">
        <v>1</v>
      </c>
      <c r="AQ1343" s="30">
        <v>1</v>
      </c>
      <c r="AR1343" s="50">
        <v>7.2186152540827803E-2</v>
      </c>
      <c r="AS1343" s="34">
        <v>0.14285714285714299</v>
      </c>
      <c r="AT1343" s="34">
        <v>0</v>
      </c>
      <c r="AU1343" s="34">
        <v>0.2</v>
      </c>
      <c r="AV1343" s="34">
        <v>8.3333333333333301E-2</v>
      </c>
      <c r="AW1343" s="10"/>
      <c r="AX1343" s="8"/>
    </row>
    <row r="1344" spans="1:50">
      <c r="A1344" s="7"/>
      <c r="B1344" s="10"/>
      <c r="C1344" s="45" t="s">
        <v>1100</v>
      </c>
      <c r="D1344" s="23" t="s">
        <v>25</v>
      </c>
      <c r="E1344" s="83" t="s">
        <v>1388</v>
      </c>
      <c r="F1344" s="83" t="s">
        <v>1388</v>
      </c>
      <c r="G1344" s="83" t="s">
        <v>1388</v>
      </c>
      <c r="H1344" s="83" t="s">
        <v>1388</v>
      </c>
      <c r="I1344" s="25">
        <v>0.9</v>
      </c>
      <c r="J1344" s="26">
        <v>0.939393939393939</v>
      </c>
      <c r="K1344" s="26">
        <v>0.90909090909090895</v>
      </c>
      <c r="L1344" s="27">
        <v>0.96153846153846201</v>
      </c>
      <c r="M1344" s="26">
        <v>0.95402298850574696</v>
      </c>
      <c r="N1344" s="28">
        <v>0.9</v>
      </c>
      <c r="O1344" s="26">
        <v>0.95803249097472898</v>
      </c>
      <c r="P1344" s="26">
        <v>0.97293577981651402</v>
      </c>
      <c r="Q1344" s="26">
        <v>0.97103918228279396</v>
      </c>
      <c r="R1344" s="26">
        <v>0.96567195325542599</v>
      </c>
      <c r="S1344" s="28">
        <v>0.9</v>
      </c>
      <c r="T1344" s="26">
        <v>0.92238267148014397</v>
      </c>
      <c r="U1344" s="26">
        <v>0.928440366972477</v>
      </c>
      <c r="V1344" s="26">
        <v>0.96337308347529804</v>
      </c>
      <c r="W1344" s="26">
        <v>0.934161101836394</v>
      </c>
      <c r="X1344" s="28">
        <v>0.92</v>
      </c>
      <c r="Y1344" s="28">
        <v>0.94292604501607702</v>
      </c>
      <c r="Z1344" s="28">
        <v>0.96323529411764697</v>
      </c>
      <c r="AA1344" s="28">
        <v>0.95524816924328704</v>
      </c>
      <c r="AB1344" s="28">
        <v>0.95175974996602797</v>
      </c>
      <c r="AC1344" s="28">
        <v>0.92</v>
      </c>
      <c r="AD1344" s="26">
        <v>0.987280852526641</v>
      </c>
      <c r="AE1344" s="26">
        <v>0.99099099099099097</v>
      </c>
      <c r="AF1344" s="26">
        <v>0.99086129193790695</v>
      </c>
      <c r="AG1344" s="26">
        <v>0.96470355437928201</v>
      </c>
      <c r="AH1344" s="28">
        <v>0.92</v>
      </c>
      <c r="AI1344" s="26">
        <v>0.959537572254335</v>
      </c>
      <c r="AJ1344" s="26">
        <v>0.96511017838405</v>
      </c>
      <c r="AK1344" s="26">
        <v>0.97128589263420695</v>
      </c>
      <c r="AL1344" s="26">
        <v>0.96447329595750997</v>
      </c>
      <c r="AM1344" s="25">
        <v>0.99</v>
      </c>
      <c r="AN1344" s="30">
        <v>1</v>
      </c>
      <c r="AO1344" s="30">
        <v>1</v>
      </c>
      <c r="AP1344" s="30">
        <v>1</v>
      </c>
      <c r="AQ1344" s="30">
        <v>1</v>
      </c>
      <c r="AR1344" s="50">
        <v>7.2186152540827803E-2</v>
      </c>
      <c r="AS1344" s="34">
        <v>-0.13043478260869601</v>
      </c>
      <c r="AT1344" s="34">
        <v>-3.8461538461538498E-2</v>
      </c>
      <c r="AU1344" s="34">
        <v>-5.8823529411764698E-2</v>
      </c>
      <c r="AV1344" s="34">
        <v>7.5187969924812E-3</v>
      </c>
      <c r="AW1344" s="10"/>
      <c r="AX1344" s="8"/>
    </row>
    <row r="1345" spans="1:50">
      <c r="A1345" s="7"/>
      <c r="B1345" s="10"/>
      <c r="C1345" s="45" t="s">
        <v>1100</v>
      </c>
      <c r="D1345" s="23" t="s">
        <v>25</v>
      </c>
      <c r="E1345" s="83" t="s">
        <v>1389</v>
      </c>
      <c r="F1345" s="83" t="s">
        <v>1389</v>
      </c>
      <c r="G1345" s="83" t="s">
        <v>1389</v>
      </c>
      <c r="H1345" s="83" t="s">
        <v>1389</v>
      </c>
      <c r="I1345" s="25">
        <v>0.9</v>
      </c>
      <c r="J1345" s="26">
        <v>0</v>
      </c>
      <c r="K1345" s="26">
        <v>0</v>
      </c>
      <c r="L1345" s="27">
        <v>0</v>
      </c>
      <c r="M1345" s="26">
        <v>0</v>
      </c>
      <c r="N1345" s="28">
        <v>0.9</v>
      </c>
      <c r="O1345" s="26">
        <v>0.99682539682539695</v>
      </c>
      <c r="P1345" s="26">
        <v>1</v>
      </c>
      <c r="Q1345" s="26">
        <v>1</v>
      </c>
      <c r="R1345" s="26">
        <v>0.998819362455726</v>
      </c>
      <c r="S1345" s="28">
        <v>0.9</v>
      </c>
      <c r="T1345" s="26">
        <v>0.99682539682539695</v>
      </c>
      <c r="U1345" s="26">
        <v>1</v>
      </c>
      <c r="V1345" s="26">
        <v>1</v>
      </c>
      <c r="W1345" s="26">
        <v>0.999409681227863</v>
      </c>
      <c r="X1345" s="28">
        <v>0.92</v>
      </c>
      <c r="Y1345" s="28">
        <v>1</v>
      </c>
      <c r="Z1345" s="28">
        <v>1</v>
      </c>
      <c r="AA1345" s="28">
        <v>1</v>
      </c>
      <c r="AB1345" s="28">
        <v>1</v>
      </c>
      <c r="AC1345" s="28">
        <v>0.92</v>
      </c>
      <c r="AD1345" s="26">
        <v>0.99661805115197599</v>
      </c>
      <c r="AE1345" s="26">
        <v>0.99509803921568596</v>
      </c>
      <c r="AF1345" s="26">
        <v>0.99629978049545298</v>
      </c>
      <c r="AG1345" s="26">
        <v>0.97393099189000298</v>
      </c>
      <c r="AH1345" s="28">
        <v>0.92</v>
      </c>
      <c r="AI1345" s="26">
        <v>0.99730458221024298</v>
      </c>
      <c r="AJ1345" s="26">
        <v>1</v>
      </c>
      <c r="AK1345" s="26">
        <v>1</v>
      </c>
      <c r="AL1345" s="26">
        <v>0.99958728848534895</v>
      </c>
      <c r="AM1345" s="25">
        <v>0.99</v>
      </c>
      <c r="AN1345" s="30">
        <v>1</v>
      </c>
      <c r="AO1345" s="30">
        <v>1</v>
      </c>
      <c r="AP1345" s="30">
        <v>1</v>
      </c>
      <c r="AQ1345" s="30">
        <v>1</v>
      </c>
      <c r="AR1345" s="50">
        <v>7.2186152540827803E-2</v>
      </c>
      <c r="AS1345" s="34">
        <v>0</v>
      </c>
      <c r="AT1345" s="34">
        <v>0</v>
      </c>
      <c r="AU1345" s="34">
        <v>0</v>
      </c>
      <c r="AV1345" s="34">
        <v>0</v>
      </c>
      <c r="AW1345" s="10"/>
      <c r="AX1345" s="8"/>
    </row>
    <row r="1346" spans="1:50">
      <c r="A1346" s="7"/>
      <c r="B1346" s="10"/>
      <c r="C1346" s="45" t="s">
        <v>1100</v>
      </c>
      <c r="D1346" s="23" t="s">
        <v>25</v>
      </c>
      <c r="E1346" s="83" t="s">
        <v>1390</v>
      </c>
      <c r="F1346" s="83" t="s">
        <v>1390</v>
      </c>
      <c r="G1346" s="83" t="s">
        <v>1390</v>
      </c>
      <c r="H1346" s="83" t="s">
        <v>1390</v>
      </c>
      <c r="I1346" s="25">
        <v>0.9</v>
      </c>
      <c r="J1346" s="26">
        <v>1</v>
      </c>
      <c r="K1346" s="26">
        <v>0.96</v>
      </c>
      <c r="L1346" s="27">
        <v>0.91304347826086996</v>
      </c>
      <c r="M1346" s="26">
        <v>0.96376811594202905</v>
      </c>
      <c r="N1346" s="28">
        <v>0.9</v>
      </c>
      <c r="O1346" s="26">
        <v>0.89632422243166798</v>
      </c>
      <c r="P1346" s="26">
        <v>0.97633993239980699</v>
      </c>
      <c r="Q1346" s="26">
        <v>0.97981651376146806</v>
      </c>
      <c r="R1346" s="26">
        <v>0.83858724301528698</v>
      </c>
      <c r="S1346" s="28">
        <v>0.9</v>
      </c>
      <c r="T1346" s="26">
        <v>0.89066918001884998</v>
      </c>
      <c r="U1346" s="26">
        <v>0.89666827619507505</v>
      </c>
      <c r="V1346" s="26">
        <v>0.93853211009174298</v>
      </c>
      <c r="W1346" s="26">
        <v>0.79209277807063805</v>
      </c>
      <c r="X1346" s="28">
        <v>0.92</v>
      </c>
      <c r="Y1346" s="28">
        <v>0.95891608391608396</v>
      </c>
      <c r="Z1346" s="28">
        <v>0.95459976105137401</v>
      </c>
      <c r="AA1346" s="28">
        <v>0.96328810853950497</v>
      </c>
      <c r="AB1346" s="28">
        <v>0.95401989782199503</v>
      </c>
      <c r="AC1346" s="28">
        <v>0.92</v>
      </c>
      <c r="AD1346" s="26">
        <v>0.98826514430700896</v>
      </c>
      <c r="AE1346" s="26">
        <v>0.997052079921389</v>
      </c>
      <c r="AF1346" s="26">
        <v>0.99718969555035097</v>
      </c>
      <c r="AG1346" s="26">
        <v>0.99642760487144799</v>
      </c>
      <c r="AH1346" s="28">
        <v>0.92</v>
      </c>
      <c r="AI1346" s="26">
        <v>0.962951622780159</v>
      </c>
      <c r="AJ1346" s="26">
        <v>0.95887850467289704</v>
      </c>
      <c r="AK1346" s="26">
        <v>0.971830985915493</v>
      </c>
      <c r="AL1346" s="26">
        <v>0.96164982568102597</v>
      </c>
      <c r="AM1346" s="25">
        <v>0.99</v>
      </c>
      <c r="AN1346" s="30">
        <v>1</v>
      </c>
      <c r="AO1346" s="30">
        <v>1</v>
      </c>
      <c r="AP1346" s="30">
        <v>1</v>
      </c>
      <c r="AQ1346" s="30">
        <v>1</v>
      </c>
      <c r="AR1346" s="50">
        <v>7.2186152540827803E-2</v>
      </c>
      <c r="AS1346" s="34">
        <v>0.17647058823529399</v>
      </c>
      <c r="AT1346" s="34">
        <v>0</v>
      </c>
      <c r="AU1346" s="34">
        <v>0</v>
      </c>
      <c r="AV1346" s="34">
        <v>4.7619047619047603E-2</v>
      </c>
      <c r="AW1346" s="10"/>
      <c r="AX1346" s="8"/>
    </row>
    <row r="1347" spans="1:50">
      <c r="A1347" s="7"/>
      <c r="B1347" s="10"/>
      <c r="C1347" s="45" t="s">
        <v>1100</v>
      </c>
      <c r="D1347" s="23" t="s">
        <v>25</v>
      </c>
      <c r="E1347" s="83" t="s">
        <v>1391</v>
      </c>
      <c r="F1347" s="83" t="s">
        <v>1391</v>
      </c>
      <c r="G1347" s="83" t="s">
        <v>1391</v>
      </c>
      <c r="H1347" s="83" t="s">
        <v>1391</v>
      </c>
      <c r="I1347" s="25">
        <v>0.9</v>
      </c>
      <c r="J1347" s="26">
        <v>0.92682926829268297</v>
      </c>
      <c r="K1347" s="26">
        <v>0.92682926829268297</v>
      </c>
      <c r="L1347" s="27">
        <v>0.82352941176470595</v>
      </c>
      <c r="M1347" s="26">
        <v>0.92477876106194701</v>
      </c>
      <c r="N1347" s="28">
        <v>0.9</v>
      </c>
      <c r="O1347" s="26">
        <v>0.96515600091095399</v>
      </c>
      <c r="P1347" s="26">
        <v>0.90787962324833404</v>
      </c>
      <c r="Q1347" s="26">
        <v>0.96509598603839397</v>
      </c>
      <c r="R1347" s="26">
        <v>0.95581113801452799</v>
      </c>
      <c r="S1347" s="28">
        <v>0.9</v>
      </c>
      <c r="T1347" s="26">
        <v>0.94944204053746295</v>
      </c>
      <c r="U1347" s="26">
        <v>0.91844704801286503</v>
      </c>
      <c r="V1347" s="26">
        <v>0.94502617801047095</v>
      </c>
      <c r="W1347" s="26">
        <v>0.93775221953188104</v>
      </c>
      <c r="X1347" s="28">
        <v>0.92</v>
      </c>
      <c r="Y1347" s="28">
        <v>0.95412844036697297</v>
      </c>
      <c r="Z1347" s="28">
        <v>0.95610787942887399</v>
      </c>
      <c r="AA1347" s="28">
        <v>0.94475873544093203</v>
      </c>
      <c r="AB1347" s="28">
        <v>0.94966339324315996</v>
      </c>
      <c r="AC1347" s="28">
        <v>0.92</v>
      </c>
      <c r="AD1347" s="26">
        <v>0.99847908745247105</v>
      </c>
      <c r="AE1347" s="26">
        <v>0.99923047325894598</v>
      </c>
      <c r="AF1347" s="26">
        <v>0.99974798387096797</v>
      </c>
      <c r="AG1347" s="26">
        <v>0.999355443572015</v>
      </c>
      <c r="AH1347" s="28">
        <v>0.92</v>
      </c>
      <c r="AI1347" s="26">
        <v>0.96846461187214605</v>
      </c>
      <c r="AJ1347" s="26">
        <v>0.97123540258143803</v>
      </c>
      <c r="AK1347" s="26">
        <v>0.95942630685034902</v>
      </c>
      <c r="AL1347" s="26">
        <v>0.96590688247869205</v>
      </c>
      <c r="AM1347" s="25">
        <v>0.99</v>
      </c>
      <c r="AN1347" s="30">
        <v>1</v>
      </c>
      <c r="AO1347" s="30">
        <v>1</v>
      </c>
      <c r="AP1347" s="30">
        <v>1</v>
      </c>
      <c r="AQ1347" s="30">
        <v>1</v>
      </c>
      <c r="AR1347" s="50">
        <v>7.2186152540827803E-2</v>
      </c>
      <c r="AS1347" s="34">
        <v>2.7027027027027001E-2</v>
      </c>
      <c r="AT1347" s="34">
        <v>-2.5000000000000001E-2</v>
      </c>
      <c r="AU1347" s="34">
        <v>0</v>
      </c>
      <c r="AV1347" s="34">
        <v>-5.0000000000000001E-3</v>
      </c>
      <c r="AW1347" s="10"/>
      <c r="AX1347" s="8"/>
    </row>
    <row r="1348" spans="1:50">
      <c r="A1348" s="7"/>
      <c r="B1348" s="10"/>
      <c r="C1348" s="45" t="s">
        <v>1100</v>
      </c>
      <c r="D1348" s="23" t="s">
        <v>25</v>
      </c>
      <c r="E1348" s="83" t="s">
        <v>1392</v>
      </c>
      <c r="F1348" s="83" t="s">
        <v>1392</v>
      </c>
      <c r="G1348" s="83" t="s">
        <v>1392</v>
      </c>
      <c r="H1348" s="83" t="s">
        <v>1392</v>
      </c>
      <c r="I1348" s="25">
        <v>0.9</v>
      </c>
      <c r="J1348" s="26">
        <v>1</v>
      </c>
      <c r="K1348" s="26">
        <v>0.96153846153846201</v>
      </c>
      <c r="L1348" s="27">
        <v>1</v>
      </c>
      <c r="M1348" s="26">
        <v>0.98484848484848497</v>
      </c>
      <c r="N1348" s="28">
        <v>0.9</v>
      </c>
      <c r="O1348" s="26">
        <v>0.97775530839231595</v>
      </c>
      <c r="P1348" s="26">
        <v>0.98700623700623702</v>
      </c>
      <c r="Q1348" s="26">
        <v>0.98544131028207504</v>
      </c>
      <c r="R1348" s="26">
        <v>0.98450368443866498</v>
      </c>
      <c r="S1348" s="28">
        <v>0.9</v>
      </c>
      <c r="T1348" s="26">
        <v>0.93124368048533901</v>
      </c>
      <c r="U1348" s="26">
        <v>0.92827442827442797</v>
      </c>
      <c r="V1348" s="26">
        <v>0.93266606005459496</v>
      </c>
      <c r="W1348" s="26">
        <v>0.92013437364542705</v>
      </c>
      <c r="X1348" s="28">
        <v>0.92</v>
      </c>
      <c r="Y1348" s="28">
        <v>0.94750430292598997</v>
      </c>
      <c r="Z1348" s="28">
        <v>0.96965865992414702</v>
      </c>
      <c r="AA1348" s="28">
        <v>0.94628099173553704</v>
      </c>
      <c r="AB1348" s="28">
        <v>0.94161184210526305</v>
      </c>
      <c r="AC1348" s="28">
        <v>0.92</v>
      </c>
      <c r="AD1348" s="26">
        <v>1</v>
      </c>
      <c r="AE1348" s="26">
        <v>1</v>
      </c>
      <c r="AF1348" s="26">
        <v>1</v>
      </c>
      <c r="AG1348" s="26">
        <v>1</v>
      </c>
      <c r="AH1348" s="28">
        <v>0.92</v>
      </c>
      <c r="AI1348" s="26">
        <v>0.96433121019108303</v>
      </c>
      <c r="AJ1348" s="26">
        <v>0.978322875071306</v>
      </c>
      <c r="AK1348" s="26">
        <v>0.96060606060606102</v>
      </c>
      <c r="AL1348" s="26">
        <v>0.95854765506807904</v>
      </c>
      <c r="AM1348" s="25">
        <v>0.99</v>
      </c>
      <c r="AN1348" s="30">
        <v>1</v>
      </c>
      <c r="AO1348" s="30">
        <v>1</v>
      </c>
      <c r="AP1348" s="30">
        <v>1</v>
      </c>
      <c r="AQ1348" s="30">
        <v>1</v>
      </c>
      <c r="AR1348" s="50">
        <v>7.2186152540827803E-2</v>
      </c>
      <c r="AS1348" s="34">
        <v>0</v>
      </c>
      <c r="AT1348" s="34">
        <v>0</v>
      </c>
      <c r="AU1348" s="34">
        <v>0</v>
      </c>
      <c r="AV1348" s="34">
        <v>5.1282051282051301E-2</v>
      </c>
      <c r="AW1348" s="10"/>
      <c r="AX1348" s="8"/>
    </row>
    <row r="1349" spans="1:50">
      <c r="A1349" s="7"/>
      <c r="B1349" s="10"/>
      <c r="C1349" s="45" t="s">
        <v>1100</v>
      </c>
      <c r="D1349" s="23" t="s">
        <v>25</v>
      </c>
      <c r="E1349" s="83" t="s">
        <v>1393</v>
      </c>
      <c r="F1349" s="83" t="s">
        <v>1393</v>
      </c>
      <c r="G1349" s="83" t="s">
        <v>1393</v>
      </c>
      <c r="H1349" s="83" t="s">
        <v>1393</v>
      </c>
      <c r="I1349" s="25">
        <v>0.9</v>
      </c>
      <c r="J1349" s="26">
        <v>1</v>
      </c>
      <c r="K1349" s="26">
        <v>0.96428571428571397</v>
      </c>
      <c r="L1349" s="27">
        <v>0.90909090909090895</v>
      </c>
      <c r="M1349" s="26">
        <v>0.93525179856115104</v>
      </c>
      <c r="N1349" s="28">
        <v>0.9</v>
      </c>
      <c r="O1349" s="26">
        <v>0.96443934614281601</v>
      </c>
      <c r="P1349" s="26">
        <v>0.97536187249769002</v>
      </c>
      <c r="Q1349" s="26">
        <v>0.98424467099165902</v>
      </c>
      <c r="R1349" s="26">
        <v>0.968721408966148</v>
      </c>
      <c r="S1349" s="28">
        <v>0.9</v>
      </c>
      <c r="T1349" s="26">
        <v>0.95096071121307701</v>
      </c>
      <c r="U1349" s="26">
        <v>0.959963042808747</v>
      </c>
      <c r="V1349" s="26">
        <v>0.97034291010194595</v>
      </c>
      <c r="W1349" s="26">
        <v>0.95534080512351305</v>
      </c>
      <c r="X1349" s="28">
        <v>0.92</v>
      </c>
      <c r="Y1349" s="28">
        <v>0</v>
      </c>
      <c r="Z1349" s="28">
        <v>0</v>
      </c>
      <c r="AA1349" s="28">
        <v>0</v>
      </c>
      <c r="AB1349" s="28">
        <v>0</v>
      </c>
      <c r="AC1349" s="28">
        <v>0.92</v>
      </c>
      <c r="AD1349" s="26">
        <v>1</v>
      </c>
      <c r="AE1349" s="26">
        <v>1</v>
      </c>
      <c r="AF1349" s="26">
        <v>0.99961948249619503</v>
      </c>
      <c r="AG1349" s="26">
        <v>0.99978415713360702</v>
      </c>
      <c r="AH1349" s="28">
        <v>0.92</v>
      </c>
      <c r="AI1349" s="26">
        <v>0.986246418338109</v>
      </c>
      <c r="AJ1349" s="26">
        <v>0.98645737149892299</v>
      </c>
      <c r="AK1349" s="26">
        <v>0.99490268767377199</v>
      </c>
      <c r="AL1349" s="26">
        <v>0.98908134682444404</v>
      </c>
      <c r="AM1349" s="25">
        <v>0.99</v>
      </c>
      <c r="AN1349" s="30">
        <v>1</v>
      </c>
      <c r="AO1349" s="30">
        <v>1</v>
      </c>
      <c r="AP1349" s="30">
        <v>1</v>
      </c>
      <c r="AQ1349" s="30">
        <v>1</v>
      </c>
      <c r="AR1349" s="50">
        <v>7.2186152540827803E-2</v>
      </c>
      <c r="AS1349" s="34">
        <v>0</v>
      </c>
      <c r="AT1349" s="34">
        <v>0.16666666666666699</v>
      </c>
      <c r="AU1349" s="34">
        <v>0</v>
      </c>
      <c r="AV1349" s="34">
        <v>2.0833333333333301E-2</v>
      </c>
      <c r="AW1349" s="10"/>
      <c r="AX1349" s="8"/>
    </row>
    <row r="1350" spans="1:50">
      <c r="A1350" s="7"/>
      <c r="B1350" s="10"/>
      <c r="C1350" s="45" t="s">
        <v>1100</v>
      </c>
      <c r="D1350" s="23" t="s">
        <v>25</v>
      </c>
      <c r="E1350" s="83" t="s">
        <v>1394</v>
      </c>
      <c r="F1350" s="83" t="s">
        <v>1394</v>
      </c>
      <c r="G1350" s="83" t="s">
        <v>1394</v>
      </c>
      <c r="H1350" s="83" t="s">
        <v>1394</v>
      </c>
      <c r="I1350" s="25">
        <v>0.9</v>
      </c>
      <c r="J1350" s="26">
        <v>1</v>
      </c>
      <c r="K1350" s="26">
        <v>0.90909090909090895</v>
      </c>
      <c r="L1350" s="27">
        <v>0.875</v>
      </c>
      <c r="M1350" s="26">
        <v>0.93548387096774199</v>
      </c>
      <c r="N1350" s="28">
        <v>0.9</v>
      </c>
      <c r="O1350" s="26">
        <v>0.96682464454976302</v>
      </c>
      <c r="P1350" s="26">
        <v>0.95060790273556195</v>
      </c>
      <c r="Q1350" s="26">
        <v>0.97466960352422904</v>
      </c>
      <c r="R1350" s="26">
        <v>0.95133979944106495</v>
      </c>
      <c r="S1350" s="28">
        <v>0.9</v>
      </c>
      <c r="T1350" s="26">
        <v>0.93759873617693501</v>
      </c>
      <c r="U1350" s="26">
        <v>0.93617021276595702</v>
      </c>
      <c r="V1350" s="26">
        <v>0.96145374449339205</v>
      </c>
      <c r="W1350" s="26">
        <v>0.93950353444024304</v>
      </c>
      <c r="X1350" s="28">
        <v>0.92</v>
      </c>
      <c r="Y1350" s="28">
        <v>0.94631901840490795</v>
      </c>
      <c r="Z1350" s="28">
        <v>0.95383001049317895</v>
      </c>
      <c r="AA1350" s="28">
        <v>0.94568245125348205</v>
      </c>
      <c r="AB1350" s="28">
        <v>0.94453622846353502</v>
      </c>
      <c r="AC1350" s="28">
        <v>0.92</v>
      </c>
      <c r="AD1350" s="26">
        <v>0.99789996181748797</v>
      </c>
      <c r="AE1350" s="26">
        <v>0.99862529457973304</v>
      </c>
      <c r="AF1350" s="26">
        <v>0.99906629318394002</v>
      </c>
      <c r="AG1350" s="26">
        <v>0.99830282861896802</v>
      </c>
      <c r="AH1350" s="28">
        <v>0.92</v>
      </c>
      <c r="AI1350" s="26">
        <v>0.96298227320125096</v>
      </c>
      <c r="AJ1350" s="26">
        <v>0.96518289995592799</v>
      </c>
      <c r="AK1350" s="26">
        <v>0.96309963099631002</v>
      </c>
      <c r="AL1350" s="26">
        <v>0.96124782018988597</v>
      </c>
      <c r="AM1350" s="25">
        <v>0.99</v>
      </c>
      <c r="AN1350" s="30">
        <v>1</v>
      </c>
      <c r="AO1350" s="30">
        <v>1</v>
      </c>
      <c r="AP1350" s="30">
        <v>1</v>
      </c>
      <c r="AQ1350" s="30">
        <v>1</v>
      </c>
      <c r="AR1350" s="50">
        <v>7.2186152540827803E-2</v>
      </c>
      <c r="AS1350" s="34">
        <v>0</v>
      </c>
      <c r="AT1350" s="34">
        <v>0</v>
      </c>
      <c r="AU1350" s="34">
        <v>0</v>
      </c>
      <c r="AV1350" s="34">
        <v>9.3023255813953501E-2</v>
      </c>
      <c r="AW1350" s="10"/>
      <c r="AX1350" s="8"/>
    </row>
    <row r="1351" spans="1:50">
      <c r="A1351" s="7"/>
      <c r="B1351" s="10"/>
      <c r="C1351" s="45" t="s">
        <v>1100</v>
      </c>
      <c r="D1351" s="23" t="s">
        <v>25</v>
      </c>
      <c r="E1351" s="83" t="s">
        <v>1395</v>
      </c>
      <c r="F1351" s="83" t="s">
        <v>1395</v>
      </c>
      <c r="G1351" s="83" t="s">
        <v>1395</v>
      </c>
      <c r="H1351" s="83" t="s">
        <v>1395</v>
      </c>
      <c r="I1351" s="25">
        <v>0.9</v>
      </c>
      <c r="J1351" s="26">
        <v>0.96875</v>
      </c>
      <c r="K1351" s="26">
        <v>0.94444444444444398</v>
      </c>
      <c r="L1351" s="27">
        <v>1</v>
      </c>
      <c r="M1351" s="26">
        <v>0.95431472081218305</v>
      </c>
      <c r="N1351" s="28">
        <v>0.9</v>
      </c>
      <c r="O1351" s="26">
        <v>0.89074002324680401</v>
      </c>
      <c r="P1351" s="26">
        <v>0.90539093181006802</v>
      </c>
      <c r="Q1351" s="26">
        <v>0.967011642949547</v>
      </c>
      <c r="R1351" s="26">
        <v>0.93658355042798702</v>
      </c>
      <c r="S1351" s="28">
        <v>0.9</v>
      </c>
      <c r="T1351" s="26">
        <v>0.85432003099573794</v>
      </c>
      <c r="U1351" s="26">
        <v>0.88825419493038205</v>
      </c>
      <c r="V1351" s="26">
        <v>0.952134540750323</v>
      </c>
      <c r="W1351" s="26">
        <v>0.91231857089691104</v>
      </c>
      <c r="X1351" s="28">
        <v>0.92</v>
      </c>
      <c r="Y1351" s="28">
        <v>0.95911413969335602</v>
      </c>
      <c r="Z1351" s="28">
        <v>0.96658615136876003</v>
      </c>
      <c r="AA1351" s="28">
        <v>0.96087636932707399</v>
      </c>
      <c r="AB1351" s="28">
        <v>0.96361798888327399</v>
      </c>
      <c r="AC1351" s="28">
        <v>0.92</v>
      </c>
      <c r="AD1351" s="26">
        <v>0.99949647532729102</v>
      </c>
      <c r="AE1351" s="26">
        <v>0.99694723070213698</v>
      </c>
      <c r="AF1351" s="26">
        <v>0.99930963065239897</v>
      </c>
      <c r="AG1351" s="26">
        <v>0.99852250999478498</v>
      </c>
      <c r="AH1351" s="28">
        <v>0.92</v>
      </c>
      <c r="AI1351" s="26">
        <v>0.97005988023952106</v>
      </c>
      <c r="AJ1351" s="26">
        <v>0.97237464522232697</v>
      </c>
      <c r="AK1351" s="26">
        <v>0.97170083742419899</v>
      </c>
      <c r="AL1351" s="26">
        <v>0.97305625790139105</v>
      </c>
      <c r="AM1351" s="25">
        <v>0.99</v>
      </c>
      <c r="AN1351" s="30">
        <v>1</v>
      </c>
      <c r="AO1351" s="30">
        <v>1</v>
      </c>
      <c r="AP1351" s="30">
        <v>1</v>
      </c>
      <c r="AQ1351" s="30">
        <v>1</v>
      </c>
      <c r="AR1351" s="50">
        <v>7.2186152540827803E-2</v>
      </c>
      <c r="AS1351" s="34">
        <v>0</v>
      </c>
      <c r="AT1351" s="34">
        <v>-0.05</v>
      </c>
      <c r="AU1351" s="34">
        <v>0</v>
      </c>
      <c r="AV1351" s="34">
        <v>3.1914893617021302E-2</v>
      </c>
      <c r="AW1351" s="10"/>
      <c r="AX1351" s="8"/>
    </row>
    <row r="1352" spans="1:50">
      <c r="A1352" s="7"/>
      <c r="B1352" s="10"/>
      <c r="C1352" s="45" t="s">
        <v>1100</v>
      </c>
      <c r="D1352" s="23" t="s">
        <v>25</v>
      </c>
      <c r="E1352" s="83" t="s">
        <v>1396</v>
      </c>
      <c r="F1352" s="83" t="s">
        <v>1396</v>
      </c>
      <c r="G1352" s="83" t="s">
        <v>1396</v>
      </c>
      <c r="H1352" s="83" t="s">
        <v>1396</v>
      </c>
      <c r="I1352" s="25">
        <v>0.9</v>
      </c>
      <c r="J1352" s="26">
        <v>0.95744680851063801</v>
      </c>
      <c r="K1352" s="26">
        <v>0.97872340425531901</v>
      </c>
      <c r="L1352" s="27">
        <v>0.95348837209302295</v>
      </c>
      <c r="M1352" s="26">
        <v>0.96603773584905706</v>
      </c>
      <c r="N1352" s="28">
        <v>0.9</v>
      </c>
      <c r="O1352" s="26">
        <v>0.942062276671771</v>
      </c>
      <c r="P1352" s="26">
        <v>0.98311817279046698</v>
      </c>
      <c r="Q1352" s="26">
        <v>0.97875226039783003</v>
      </c>
      <c r="R1352" s="26">
        <v>0.96990523794647499</v>
      </c>
      <c r="S1352" s="28">
        <v>0.9</v>
      </c>
      <c r="T1352" s="26">
        <v>0.91577335375191404</v>
      </c>
      <c r="U1352" s="26">
        <v>0.94910625620655398</v>
      </c>
      <c r="V1352" s="26">
        <v>0.94258589511754098</v>
      </c>
      <c r="W1352" s="26">
        <v>0.93986254295532601</v>
      </c>
      <c r="X1352" s="28">
        <v>0.92</v>
      </c>
      <c r="Y1352" s="28">
        <v>0.93500672344240299</v>
      </c>
      <c r="Z1352" s="28">
        <v>0.961354104254044</v>
      </c>
      <c r="AA1352" s="28">
        <v>0.95834855681402997</v>
      </c>
      <c r="AB1352" s="28">
        <v>0.955197246829393</v>
      </c>
      <c r="AC1352" s="28">
        <v>0.92</v>
      </c>
      <c r="AD1352" s="26">
        <v>0.99897435897435904</v>
      </c>
      <c r="AE1352" s="26">
        <v>0.98890210067380102</v>
      </c>
      <c r="AF1352" s="26">
        <v>0.99765899336714803</v>
      </c>
      <c r="AG1352" s="26">
        <v>0.99626325020971596</v>
      </c>
      <c r="AH1352" s="28">
        <v>0.92</v>
      </c>
      <c r="AI1352" s="26">
        <v>0.96292080013010295</v>
      </c>
      <c r="AJ1352" s="26">
        <v>0.975027144408252</v>
      </c>
      <c r="AK1352" s="26">
        <v>0.96929913148858804</v>
      </c>
      <c r="AL1352" s="26">
        <v>0.97111913357400703</v>
      </c>
      <c r="AM1352" s="25">
        <v>0.99</v>
      </c>
      <c r="AN1352" s="30">
        <v>1</v>
      </c>
      <c r="AO1352" s="30">
        <v>1</v>
      </c>
      <c r="AP1352" s="30">
        <v>1</v>
      </c>
      <c r="AQ1352" s="30">
        <v>1</v>
      </c>
      <c r="AR1352" s="50">
        <v>7.2186152540827803E-2</v>
      </c>
      <c r="AS1352" s="34">
        <v>-3.2258064516128997E-2</v>
      </c>
      <c r="AT1352" s="34">
        <v>7.1428571428571397E-2</v>
      </c>
      <c r="AU1352" s="34">
        <v>0</v>
      </c>
      <c r="AV1352" s="34">
        <v>2.1276595744680899E-2</v>
      </c>
      <c r="AW1352" s="10"/>
      <c r="AX1352" s="8"/>
    </row>
    <row r="1353" spans="1:50">
      <c r="A1353" s="7"/>
      <c r="B1353" s="10"/>
      <c r="C1353" s="45" t="s">
        <v>1100</v>
      </c>
      <c r="D1353" s="23" t="s">
        <v>25</v>
      </c>
      <c r="E1353" s="83" t="s">
        <v>1397</v>
      </c>
      <c r="F1353" s="83" t="s">
        <v>1397</v>
      </c>
      <c r="G1353" s="83" t="s">
        <v>1397</v>
      </c>
      <c r="H1353" s="83" t="s">
        <v>1397</v>
      </c>
      <c r="I1353" s="25">
        <v>0.9</v>
      </c>
      <c r="J1353" s="26">
        <v>1</v>
      </c>
      <c r="K1353" s="26">
        <v>1</v>
      </c>
      <c r="L1353" s="27">
        <v>1</v>
      </c>
      <c r="M1353" s="26">
        <v>1</v>
      </c>
      <c r="N1353" s="28">
        <v>0.9</v>
      </c>
      <c r="O1353" s="26">
        <v>0.98459845984598504</v>
      </c>
      <c r="P1353" s="26">
        <v>0.99259681093394103</v>
      </c>
      <c r="Q1353" s="26">
        <v>0.98064516129032298</v>
      </c>
      <c r="R1353" s="26">
        <v>0.98667924083461001</v>
      </c>
      <c r="S1353" s="28">
        <v>0.9</v>
      </c>
      <c r="T1353" s="26">
        <v>0.95874587458745897</v>
      </c>
      <c r="U1353" s="26">
        <v>0.96469248291571796</v>
      </c>
      <c r="V1353" s="26">
        <v>0.95376344086021503</v>
      </c>
      <c r="W1353" s="26">
        <v>0.95650123776965701</v>
      </c>
      <c r="X1353" s="28">
        <v>0.92</v>
      </c>
      <c r="Y1353" s="28">
        <v>0.97350343473994105</v>
      </c>
      <c r="Z1353" s="28">
        <v>0.990126939351199</v>
      </c>
      <c r="AA1353" s="28">
        <v>0.96840307429547401</v>
      </c>
      <c r="AB1353" s="28">
        <v>0.97252252252252203</v>
      </c>
      <c r="AC1353" s="28">
        <v>0.92</v>
      </c>
      <c r="AD1353" s="26">
        <v>1</v>
      </c>
      <c r="AE1353" s="26">
        <v>1</v>
      </c>
      <c r="AF1353" s="26">
        <v>0.99947937003774601</v>
      </c>
      <c r="AG1353" s="26">
        <v>0.99957508586806398</v>
      </c>
      <c r="AH1353" s="28">
        <v>0.92</v>
      </c>
      <c r="AI1353" s="26">
        <v>0.98026083891434601</v>
      </c>
      <c r="AJ1353" s="26">
        <v>0.98960302457466898</v>
      </c>
      <c r="AK1353" s="26">
        <v>0.97622444127437003</v>
      </c>
      <c r="AL1353" s="26">
        <v>0.97860821338967396</v>
      </c>
      <c r="AM1353" s="25">
        <v>0.99</v>
      </c>
      <c r="AN1353" s="30">
        <v>1</v>
      </c>
      <c r="AO1353" s="30">
        <v>1</v>
      </c>
      <c r="AP1353" s="30">
        <v>1</v>
      </c>
      <c r="AQ1353" s="30">
        <v>1</v>
      </c>
      <c r="AR1353" s="50">
        <v>7.2186152540827803E-2</v>
      </c>
      <c r="AS1353" s="34">
        <v>5.5555555555555601E-2</v>
      </c>
      <c r="AT1353" s="34">
        <v>0</v>
      </c>
      <c r="AU1353" s="34">
        <v>-0.19047619047618999</v>
      </c>
      <c r="AV1353" s="34">
        <v>1.6949152542372899E-2</v>
      </c>
      <c r="AW1353" s="10"/>
      <c r="AX1353" s="8"/>
    </row>
    <row r="1354" spans="1:50">
      <c r="A1354" s="7"/>
      <c r="B1354" s="10"/>
      <c r="C1354" s="45" t="s">
        <v>1100</v>
      </c>
      <c r="D1354" s="23" t="s">
        <v>25</v>
      </c>
      <c r="E1354" s="83" t="s">
        <v>1398</v>
      </c>
      <c r="F1354" s="83" t="s">
        <v>1398</v>
      </c>
      <c r="G1354" s="83" t="s">
        <v>1398</v>
      </c>
      <c r="H1354" s="83" t="s">
        <v>1398</v>
      </c>
      <c r="I1354" s="25">
        <v>0.9</v>
      </c>
      <c r="J1354" s="26">
        <v>0.95652173913043503</v>
      </c>
      <c r="K1354" s="26">
        <v>1</v>
      </c>
      <c r="L1354" s="27">
        <v>0.92</v>
      </c>
      <c r="M1354" s="26">
        <v>0.97122302158273399</v>
      </c>
      <c r="N1354" s="28">
        <v>0.9</v>
      </c>
      <c r="O1354" s="26">
        <v>0.91486710963455198</v>
      </c>
      <c r="P1354" s="26">
        <v>0.973739940703092</v>
      </c>
      <c r="Q1354" s="26">
        <v>0.93621867881549004</v>
      </c>
      <c r="R1354" s="26">
        <v>0.95052850459192495</v>
      </c>
      <c r="S1354" s="28">
        <v>0.9</v>
      </c>
      <c r="T1354" s="26">
        <v>0.88039867109634595</v>
      </c>
      <c r="U1354" s="26">
        <v>0.94790343074968197</v>
      </c>
      <c r="V1354" s="26">
        <v>0.91419893697798005</v>
      </c>
      <c r="W1354" s="26">
        <v>0.91838502859123206</v>
      </c>
      <c r="X1354" s="28">
        <v>0.92</v>
      </c>
      <c r="Y1354" s="28">
        <v>0.94848484848484804</v>
      </c>
      <c r="Z1354" s="28">
        <v>0.95785248369292497</v>
      </c>
      <c r="AA1354" s="28">
        <v>0.96276276276276296</v>
      </c>
      <c r="AB1354" s="28">
        <v>0.95134334673154197</v>
      </c>
      <c r="AC1354" s="28">
        <v>0.92</v>
      </c>
      <c r="AD1354" s="26">
        <v>0.99874134675896797</v>
      </c>
      <c r="AE1354" s="26">
        <v>0.99632545931758498</v>
      </c>
      <c r="AF1354" s="26">
        <v>0.99762631400474699</v>
      </c>
      <c r="AG1354" s="26">
        <v>0.99709157387402403</v>
      </c>
      <c r="AH1354" s="28">
        <v>0.92</v>
      </c>
      <c r="AI1354" s="26">
        <v>0.96486051502145898</v>
      </c>
      <c r="AJ1354" s="26">
        <v>0.97128417183551596</v>
      </c>
      <c r="AK1354" s="26">
        <v>0.97216633132126096</v>
      </c>
      <c r="AL1354" s="26">
        <v>0.96694608496856504</v>
      </c>
      <c r="AM1354" s="25">
        <v>0.99</v>
      </c>
      <c r="AN1354" s="30">
        <v>1</v>
      </c>
      <c r="AO1354" s="30">
        <v>1</v>
      </c>
      <c r="AP1354" s="30">
        <v>1</v>
      </c>
      <c r="AQ1354" s="30">
        <v>1</v>
      </c>
      <c r="AR1354" s="50">
        <v>7.2186152540827803E-2</v>
      </c>
      <c r="AS1354" s="34">
        <v>5.5555555555555601E-2</v>
      </c>
      <c r="AT1354" s="34">
        <v>5.5555555555555601E-2</v>
      </c>
      <c r="AU1354" s="34">
        <v>0.133333333333333</v>
      </c>
      <c r="AV1354" s="34">
        <v>6.6666666666666693E-2</v>
      </c>
      <c r="AW1354" s="10"/>
      <c r="AX1354" s="8"/>
    </row>
    <row r="1355" spans="1:50">
      <c r="A1355" s="7"/>
      <c r="B1355" s="10"/>
      <c r="C1355" s="45" t="s">
        <v>1100</v>
      </c>
      <c r="D1355" s="23" t="s">
        <v>25</v>
      </c>
      <c r="E1355" s="83" t="s">
        <v>1399</v>
      </c>
      <c r="F1355" s="83" t="s">
        <v>1399</v>
      </c>
      <c r="G1355" s="83" t="s">
        <v>1399</v>
      </c>
      <c r="H1355" s="83" t="s">
        <v>1399</v>
      </c>
      <c r="I1355" s="25">
        <v>0.9</v>
      </c>
      <c r="J1355" s="26">
        <v>0.90625</v>
      </c>
      <c r="K1355" s="26">
        <v>0.939393939393939</v>
      </c>
      <c r="L1355" s="27">
        <v>0.81481481481481499</v>
      </c>
      <c r="M1355" s="26">
        <v>0.82954545454545503</v>
      </c>
      <c r="N1355" s="28">
        <v>0.9</v>
      </c>
      <c r="O1355" s="26">
        <v>0.97601566324033295</v>
      </c>
      <c r="P1355" s="26">
        <v>0.99271592091571303</v>
      </c>
      <c r="Q1355" s="26">
        <v>0.97132284921369105</v>
      </c>
      <c r="R1355" s="26">
        <v>0.97786825347113504</v>
      </c>
      <c r="S1355" s="28">
        <v>0.9</v>
      </c>
      <c r="T1355" s="26">
        <v>0.91581008321096402</v>
      </c>
      <c r="U1355" s="26">
        <v>0.93860561914672203</v>
      </c>
      <c r="V1355" s="26">
        <v>0.95559666975023105</v>
      </c>
      <c r="W1355" s="26">
        <v>0.93423113059818397</v>
      </c>
      <c r="X1355" s="28">
        <v>0.92</v>
      </c>
      <c r="Y1355" s="28">
        <v>0.93578700078308497</v>
      </c>
      <c r="Z1355" s="28">
        <v>0.959234095120445</v>
      </c>
      <c r="AA1355" s="28">
        <v>0.94815340909090895</v>
      </c>
      <c r="AB1355" s="28">
        <v>0.91384499623777304</v>
      </c>
      <c r="AC1355" s="28">
        <v>0.92</v>
      </c>
      <c r="AD1355" s="26">
        <v>0.99918666124440803</v>
      </c>
      <c r="AE1355" s="26">
        <v>1</v>
      </c>
      <c r="AF1355" s="26">
        <v>1</v>
      </c>
      <c r="AG1355" s="26">
        <v>0.99965056346641001</v>
      </c>
      <c r="AH1355" s="28">
        <v>0.92</v>
      </c>
      <c r="AI1355" s="26">
        <v>0.957228915662651</v>
      </c>
      <c r="AJ1355" s="26">
        <v>0.97458345100254196</v>
      </c>
      <c r="AK1355" s="26">
        <v>0.96384089995982303</v>
      </c>
      <c r="AL1355" s="26">
        <v>0.94952142206016399</v>
      </c>
      <c r="AM1355" s="25">
        <v>0.99</v>
      </c>
      <c r="AN1355" s="30">
        <v>1</v>
      </c>
      <c r="AO1355" s="30">
        <v>1</v>
      </c>
      <c r="AP1355" s="30">
        <v>1</v>
      </c>
      <c r="AQ1355" s="30">
        <v>1</v>
      </c>
      <c r="AR1355" s="50">
        <v>7.2186152540827803E-2</v>
      </c>
      <c r="AS1355" s="34">
        <v>5.2631578947368397E-2</v>
      </c>
      <c r="AT1355" s="34">
        <v>0</v>
      </c>
      <c r="AU1355" s="34">
        <v>0.125</v>
      </c>
      <c r="AV1355" s="34">
        <v>-1.26582278481013E-2</v>
      </c>
      <c r="AW1355" s="10"/>
      <c r="AX1355" s="8"/>
    </row>
    <row r="1356" spans="1:50">
      <c r="A1356" s="7"/>
      <c r="B1356" s="10"/>
      <c r="C1356" s="45" t="s">
        <v>1100</v>
      </c>
      <c r="D1356" s="23" t="s">
        <v>25</v>
      </c>
      <c r="E1356" s="83" t="s">
        <v>1400</v>
      </c>
      <c r="F1356" s="83" t="s">
        <v>1400</v>
      </c>
      <c r="G1356" s="83" t="s">
        <v>1400</v>
      </c>
      <c r="H1356" s="83" t="s">
        <v>1400</v>
      </c>
      <c r="I1356" s="25">
        <v>0.9</v>
      </c>
      <c r="J1356" s="26">
        <v>0.94736842105263197</v>
      </c>
      <c r="K1356" s="26">
        <v>0.94736842105263197</v>
      </c>
      <c r="L1356" s="27">
        <v>0.82352941176470595</v>
      </c>
      <c r="M1356" s="26">
        <v>0.87387387387387405</v>
      </c>
      <c r="N1356" s="28">
        <v>0.9</v>
      </c>
      <c r="O1356" s="26">
        <v>0.80738786279683405</v>
      </c>
      <c r="P1356" s="26">
        <v>0.96637055837563501</v>
      </c>
      <c r="Q1356" s="26">
        <v>0.98525469168900803</v>
      </c>
      <c r="R1356" s="26">
        <v>0.906585398171459</v>
      </c>
      <c r="S1356" s="28">
        <v>0.9</v>
      </c>
      <c r="T1356" s="26">
        <v>0.87203166226912898</v>
      </c>
      <c r="U1356" s="26">
        <v>0.92956852791878197</v>
      </c>
      <c r="V1356" s="26">
        <v>0.92761394101876704</v>
      </c>
      <c r="W1356" s="26">
        <v>0.91784815158341104</v>
      </c>
      <c r="X1356" s="28">
        <v>0.92</v>
      </c>
      <c r="Y1356" s="28">
        <v>0.94881889763779503</v>
      </c>
      <c r="Z1356" s="28">
        <v>0.94710071210579905</v>
      </c>
      <c r="AA1356" s="28">
        <v>0.95961742826780005</v>
      </c>
      <c r="AB1356" s="28">
        <v>0.94669080667873695</v>
      </c>
      <c r="AC1356" s="28">
        <v>0.92</v>
      </c>
      <c r="AD1356" s="26">
        <v>0.99881656804733698</v>
      </c>
      <c r="AE1356" s="26">
        <v>1</v>
      </c>
      <c r="AF1356" s="26">
        <v>0.99856733524355301</v>
      </c>
      <c r="AG1356" s="26">
        <v>0.998015156983039</v>
      </c>
      <c r="AH1356" s="28">
        <v>0.92</v>
      </c>
      <c r="AI1356" s="26">
        <v>0.96619841966637399</v>
      </c>
      <c r="AJ1356" s="26">
        <v>0.97186400937866402</v>
      </c>
      <c r="AK1356" s="26">
        <v>0.97036158861885002</v>
      </c>
      <c r="AL1356" s="26">
        <v>0.96813099041533501</v>
      </c>
      <c r="AM1356" s="25">
        <v>0.99</v>
      </c>
      <c r="AN1356" s="30">
        <v>1</v>
      </c>
      <c r="AO1356" s="30">
        <v>1</v>
      </c>
      <c r="AP1356" s="30">
        <v>1</v>
      </c>
      <c r="AQ1356" s="30">
        <v>1</v>
      </c>
      <c r="AR1356" s="50">
        <v>7.2186152540827803E-2</v>
      </c>
      <c r="AS1356" s="34">
        <v>0</v>
      </c>
      <c r="AT1356" s="34">
        <v>0</v>
      </c>
      <c r="AU1356" s="34">
        <v>0.125</v>
      </c>
      <c r="AV1356" s="34">
        <v>5.1282051282051301E-2</v>
      </c>
      <c r="AW1356" s="10"/>
      <c r="AX1356" s="8"/>
    </row>
    <row r="1357" spans="1:50">
      <c r="A1357" s="7"/>
      <c r="B1357" s="10"/>
      <c r="C1357" s="45" t="s">
        <v>1100</v>
      </c>
      <c r="D1357" s="23" t="s">
        <v>25</v>
      </c>
      <c r="E1357" s="83" t="s">
        <v>1401</v>
      </c>
      <c r="F1357" s="83" t="s">
        <v>1401</v>
      </c>
      <c r="G1357" s="83" t="s">
        <v>1401</v>
      </c>
      <c r="H1357" s="83" t="s">
        <v>1401</v>
      </c>
      <c r="I1357" s="25">
        <v>0.9</v>
      </c>
      <c r="J1357" s="26">
        <v>1</v>
      </c>
      <c r="K1357" s="26">
        <v>1</v>
      </c>
      <c r="L1357" s="27">
        <v>1</v>
      </c>
      <c r="M1357" s="26">
        <v>0.96511627906976705</v>
      </c>
      <c r="N1357" s="28">
        <v>0.9</v>
      </c>
      <c r="O1357" s="26">
        <v>0.99631449631449598</v>
      </c>
      <c r="P1357" s="26">
        <v>0.99297937691970195</v>
      </c>
      <c r="Q1357" s="26">
        <v>0.99620733249051796</v>
      </c>
      <c r="R1357" s="26">
        <v>0.99489459815546799</v>
      </c>
      <c r="S1357" s="28">
        <v>0.9</v>
      </c>
      <c r="T1357" s="26">
        <v>0.97010647010647</v>
      </c>
      <c r="U1357" s="26">
        <v>0.97498903027643702</v>
      </c>
      <c r="V1357" s="26">
        <v>0.97281921618204803</v>
      </c>
      <c r="W1357" s="26">
        <v>0.97611989459815596</v>
      </c>
      <c r="X1357" s="28">
        <v>0.92</v>
      </c>
      <c r="Y1357" s="28">
        <v>0</v>
      </c>
      <c r="Z1357" s="28">
        <v>0</v>
      </c>
      <c r="AA1357" s="28">
        <v>0</v>
      </c>
      <c r="AB1357" s="28">
        <v>0</v>
      </c>
      <c r="AC1357" s="28">
        <v>0.92</v>
      </c>
      <c r="AD1357" s="26">
        <v>1</v>
      </c>
      <c r="AE1357" s="26">
        <v>0.99574468085106405</v>
      </c>
      <c r="AF1357" s="26">
        <v>0.99588477366255101</v>
      </c>
      <c r="AG1357" s="26">
        <v>0.99770817417876201</v>
      </c>
      <c r="AH1357" s="28">
        <v>0.92</v>
      </c>
      <c r="AI1357" s="26">
        <v>0.99099836333878899</v>
      </c>
      <c r="AJ1357" s="26">
        <v>0.99297937691970195</v>
      </c>
      <c r="AK1357" s="26">
        <v>0.99051833122629596</v>
      </c>
      <c r="AL1357" s="26">
        <v>0.99209616334595796</v>
      </c>
      <c r="AM1357" s="25">
        <v>0.99</v>
      </c>
      <c r="AN1357" s="30">
        <v>1</v>
      </c>
      <c r="AO1357" s="30">
        <v>1</v>
      </c>
      <c r="AP1357" s="30">
        <v>1</v>
      </c>
      <c r="AQ1357" s="30">
        <v>1</v>
      </c>
      <c r="AR1357" s="50">
        <v>7.2186152540827803E-2</v>
      </c>
      <c r="AS1357" s="34">
        <v>0</v>
      </c>
      <c r="AT1357" s="34">
        <v>0</v>
      </c>
      <c r="AU1357" s="34">
        <v>0</v>
      </c>
      <c r="AV1357" s="34">
        <v>7.4074074074074098E-2</v>
      </c>
      <c r="AW1357" s="10"/>
      <c r="AX1357" s="8"/>
    </row>
    <row r="1358" spans="1:50">
      <c r="A1358" s="7"/>
      <c r="B1358" s="10"/>
      <c r="C1358" s="45" t="s">
        <v>1100</v>
      </c>
      <c r="D1358" s="23" t="s">
        <v>25</v>
      </c>
      <c r="E1358" s="83" t="s">
        <v>1402</v>
      </c>
      <c r="F1358" s="83" t="s">
        <v>1402</v>
      </c>
      <c r="G1358" s="83" t="s">
        <v>1402</v>
      </c>
      <c r="H1358" s="83" t="s">
        <v>1402</v>
      </c>
      <c r="I1358" s="25">
        <v>0.9</v>
      </c>
      <c r="J1358" s="26">
        <v>0.8</v>
      </c>
      <c r="K1358" s="26">
        <v>0.92592592592592604</v>
      </c>
      <c r="L1358" s="27">
        <v>0.90476190476190499</v>
      </c>
      <c r="M1358" s="26">
        <v>0.89583333333333304</v>
      </c>
      <c r="N1358" s="28">
        <v>0.9</v>
      </c>
      <c r="O1358" s="26">
        <v>0.92863762743280798</v>
      </c>
      <c r="P1358" s="26">
        <v>0.99545011374715597</v>
      </c>
      <c r="Q1358" s="26">
        <v>0.99219968798751901</v>
      </c>
      <c r="R1358" s="26">
        <v>0.97806404569484096</v>
      </c>
      <c r="S1358" s="28">
        <v>0.9</v>
      </c>
      <c r="T1358" s="26">
        <v>0.91164658634538198</v>
      </c>
      <c r="U1358" s="26">
        <v>0.96100097497562598</v>
      </c>
      <c r="V1358" s="26">
        <v>0.94591783671346896</v>
      </c>
      <c r="W1358" s="26">
        <v>0.95041623625205096</v>
      </c>
      <c r="X1358" s="28">
        <v>0.92</v>
      </c>
      <c r="Y1358" s="28">
        <v>0.25</v>
      </c>
      <c r="Z1358" s="28">
        <v>0</v>
      </c>
      <c r="AA1358" s="28">
        <v>0</v>
      </c>
      <c r="AB1358" s="28">
        <v>0.16666666666666699</v>
      </c>
      <c r="AC1358" s="28">
        <v>0.92</v>
      </c>
      <c r="AD1358" s="26">
        <v>0.99264345267287901</v>
      </c>
      <c r="AE1358" s="26">
        <v>0.99496709252806803</v>
      </c>
      <c r="AF1358" s="26">
        <v>0.99007795889440098</v>
      </c>
      <c r="AG1358" s="26">
        <v>0.99274058846203295</v>
      </c>
      <c r="AH1358" s="28">
        <v>0.92</v>
      </c>
      <c r="AI1358" s="26">
        <v>0.97100555212831596</v>
      </c>
      <c r="AJ1358" s="26">
        <v>0.98895745371874</v>
      </c>
      <c r="AK1358" s="26">
        <v>0.99011960478419103</v>
      </c>
      <c r="AL1358" s="26">
        <v>0.98675898931001005</v>
      </c>
      <c r="AM1358" s="25">
        <v>0.99</v>
      </c>
      <c r="AN1358" s="30">
        <v>1</v>
      </c>
      <c r="AO1358" s="30">
        <v>1</v>
      </c>
      <c r="AP1358" s="30">
        <v>1</v>
      </c>
      <c r="AQ1358" s="30">
        <v>1</v>
      </c>
      <c r="AR1358" s="50">
        <v>7.2186152540827803E-2</v>
      </c>
      <c r="AS1358" s="34">
        <v>0.22222222222222199</v>
      </c>
      <c r="AT1358" s="34">
        <v>0</v>
      </c>
      <c r="AU1358" s="34">
        <v>0.14285714285714299</v>
      </c>
      <c r="AV1358" s="34">
        <v>5.7971014492753603E-2</v>
      </c>
      <c r="AW1358" s="10"/>
      <c r="AX1358" s="8"/>
    </row>
    <row r="1359" spans="1:50">
      <c r="A1359" s="7"/>
      <c r="B1359" s="10"/>
      <c r="C1359" s="45" t="s">
        <v>1100</v>
      </c>
      <c r="D1359" s="23" t="s">
        <v>25</v>
      </c>
      <c r="E1359" s="83" t="s">
        <v>1403</v>
      </c>
      <c r="F1359" s="83" t="s">
        <v>1403</v>
      </c>
      <c r="G1359" s="83" t="s">
        <v>1403</v>
      </c>
      <c r="H1359" s="83" t="s">
        <v>1403</v>
      </c>
      <c r="I1359" s="25">
        <v>0.9</v>
      </c>
      <c r="J1359" s="26">
        <v>0.90476190476190499</v>
      </c>
      <c r="K1359" s="26">
        <v>0.90909090909090895</v>
      </c>
      <c r="L1359" s="27">
        <v>0.9</v>
      </c>
      <c r="M1359" s="26">
        <v>0.90909090909090895</v>
      </c>
      <c r="N1359" s="28">
        <v>0.9</v>
      </c>
      <c r="O1359" s="26">
        <v>0.87080291970802903</v>
      </c>
      <c r="P1359" s="26">
        <v>0.984615384615385</v>
      </c>
      <c r="Q1359" s="26">
        <v>0.98593200468933195</v>
      </c>
      <c r="R1359" s="26">
        <v>0.951840942562592</v>
      </c>
      <c r="S1359" s="28">
        <v>0.9</v>
      </c>
      <c r="T1359" s="26">
        <v>0.89635036496350395</v>
      </c>
      <c r="U1359" s="26">
        <v>0.941958041958042</v>
      </c>
      <c r="V1359" s="26">
        <v>0.93786635404454899</v>
      </c>
      <c r="W1359" s="26">
        <v>0.93151693667157598</v>
      </c>
      <c r="X1359" s="28">
        <v>0.92</v>
      </c>
      <c r="Y1359" s="28">
        <v>0.89538807649043906</v>
      </c>
      <c r="Z1359" s="28">
        <v>0.89991589571068098</v>
      </c>
      <c r="AA1359" s="28">
        <v>0.905284147557328</v>
      </c>
      <c r="AB1359" s="28">
        <v>0.87522313459478795</v>
      </c>
      <c r="AC1359" s="28">
        <v>0.92</v>
      </c>
      <c r="AD1359" s="26">
        <v>0.99821852731591498</v>
      </c>
      <c r="AE1359" s="26">
        <v>0.99570815450643801</v>
      </c>
      <c r="AF1359" s="26">
        <v>0.99314716463937003</v>
      </c>
      <c r="AG1359" s="26">
        <v>0.99563209157545896</v>
      </c>
      <c r="AH1359" s="28">
        <v>0.92</v>
      </c>
      <c r="AI1359" s="26">
        <v>0.92253209384683499</v>
      </c>
      <c r="AJ1359" s="26">
        <v>0.94079449961802897</v>
      </c>
      <c r="AK1359" s="26">
        <v>0.93696120689655205</v>
      </c>
      <c r="AL1359" s="26">
        <v>0.92422530664945102</v>
      </c>
      <c r="AM1359" s="25">
        <v>0.99</v>
      </c>
      <c r="AN1359" s="30">
        <v>1</v>
      </c>
      <c r="AO1359" s="30">
        <v>1</v>
      </c>
      <c r="AP1359" s="30">
        <v>1</v>
      </c>
      <c r="AQ1359" s="30">
        <v>1</v>
      </c>
      <c r="AR1359" s="50">
        <v>7.2186152540827803E-2</v>
      </c>
      <c r="AS1359" s="34">
        <v>6.6666666666666693E-2</v>
      </c>
      <c r="AT1359" s="34">
        <v>0</v>
      </c>
      <c r="AU1359" s="34">
        <v>8.3333333333333301E-2</v>
      </c>
      <c r="AV1359" s="34">
        <v>7.2289156626505993E-2</v>
      </c>
      <c r="AW1359" s="10"/>
      <c r="AX1359" s="8"/>
    </row>
    <row r="1360" spans="1:50">
      <c r="A1360" s="7"/>
      <c r="B1360" s="10"/>
      <c r="C1360" s="45" t="s">
        <v>1100</v>
      </c>
      <c r="D1360" s="23" t="s">
        <v>25</v>
      </c>
      <c r="E1360" s="83" t="s">
        <v>1404</v>
      </c>
      <c r="F1360" s="83" t="s">
        <v>1404</v>
      </c>
      <c r="G1360" s="83" t="s">
        <v>1404</v>
      </c>
      <c r="H1360" s="83" t="s">
        <v>1404</v>
      </c>
      <c r="I1360" s="25">
        <v>0.9</v>
      </c>
      <c r="J1360" s="26">
        <v>1</v>
      </c>
      <c r="K1360" s="26">
        <v>0.77777777777777801</v>
      </c>
      <c r="L1360" s="27">
        <v>1</v>
      </c>
      <c r="M1360" s="26">
        <v>0.93333333333333302</v>
      </c>
      <c r="N1360" s="28">
        <v>0.9</v>
      </c>
      <c r="O1360" s="26">
        <v>0.99243140964995302</v>
      </c>
      <c r="P1360" s="26">
        <v>0.99198396793587196</v>
      </c>
      <c r="Q1360" s="26">
        <v>0.99596231493943499</v>
      </c>
      <c r="R1360" s="26">
        <v>0.92632915986209396</v>
      </c>
      <c r="S1360" s="28">
        <v>0.9</v>
      </c>
      <c r="T1360" s="26">
        <v>0.95648060548722802</v>
      </c>
      <c r="U1360" s="26">
        <v>0.94388777555110204</v>
      </c>
      <c r="V1360" s="26">
        <v>0.95423956931359399</v>
      </c>
      <c r="W1360" s="26">
        <v>0.89112683723462205</v>
      </c>
      <c r="X1360" s="28">
        <v>0.92</v>
      </c>
      <c r="Y1360" s="28">
        <v>0</v>
      </c>
      <c r="Z1360" s="28">
        <v>0</v>
      </c>
      <c r="AA1360" s="28">
        <v>0</v>
      </c>
      <c r="AB1360" s="28">
        <v>0</v>
      </c>
      <c r="AC1360" s="28">
        <v>0.92</v>
      </c>
      <c r="AD1360" s="26">
        <v>0.72972972972973005</v>
      </c>
      <c r="AE1360" s="26">
        <v>0.91459074733096102</v>
      </c>
      <c r="AF1360" s="26">
        <v>1</v>
      </c>
      <c r="AG1360" s="26">
        <v>0.91728045325778995</v>
      </c>
      <c r="AH1360" s="28">
        <v>0.92</v>
      </c>
      <c r="AI1360" s="26">
        <v>0.988668555240793</v>
      </c>
      <c r="AJ1360" s="26">
        <v>0.98897795591182402</v>
      </c>
      <c r="AK1360" s="26">
        <v>0.98384925975773896</v>
      </c>
      <c r="AL1360" s="26">
        <v>0.98548884454924701</v>
      </c>
      <c r="AM1360" s="25">
        <v>0.99</v>
      </c>
      <c r="AN1360" s="30">
        <v>1</v>
      </c>
      <c r="AO1360" s="30">
        <v>1</v>
      </c>
      <c r="AP1360" s="30">
        <v>1</v>
      </c>
      <c r="AQ1360" s="30">
        <v>1</v>
      </c>
      <c r="AR1360" s="50">
        <v>7.2186152540827803E-2</v>
      </c>
      <c r="AS1360" s="34">
        <v>0.4</v>
      </c>
      <c r="AT1360" s="34">
        <v>0</v>
      </c>
      <c r="AU1360" s="34">
        <v>0</v>
      </c>
      <c r="AV1360" s="34">
        <v>0.11111111111111099</v>
      </c>
      <c r="AW1360" s="10"/>
      <c r="AX1360" s="8"/>
    </row>
    <row r="1361" spans="1:50">
      <c r="A1361" s="7"/>
      <c r="B1361" s="10"/>
      <c r="C1361" s="45" t="s">
        <v>1100</v>
      </c>
      <c r="D1361" s="23" t="s">
        <v>25</v>
      </c>
      <c r="E1361" s="83" t="s">
        <v>1405</v>
      </c>
      <c r="F1361" s="83" t="s">
        <v>1405</v>
      </c>
      <c r="G1361" s="83" t="s">
        <v>1405</v>
      </c>
      <c r="H1361" s="83" t="s">
        <v>1405</v>
      </c>
      <c r="I1361" s="25">
        <v>0.9</v>
      </c>
      <c r="J1361" s="26">
        <v>0.91304347826086996</v>
      </c>
      <c r="K1361" s="26">
        <v>0.86363636363636398</v>
      </c>
      <c r="L1361" s="27">
        <v>0.89473684210526305</v>
      </c>
      <c r="M1361" s="26">
        <v>0.89344262295082</v>
      </c>
      <c r="N1361" s="28">
        <v>0.9</v>
      </c>
      <c r="O1361" s="26">
        <v>0.97052049746660496</v>
      </c>
      <c r="P1361" s="26">
        <v>0.98264642082429499</v>
      </c>
      <c r="Q1361" s="26">
        <v>0.97819548872180495</v>
      </c>
      <c r="R1361" s="26">
        <v>0.97485528219971096</v>
      </c>
      <c r="S1361" s="28">
        <v>0.9</v>
      </c>
      <c r="T1361" s="26">
        <v>0.92860432980193497</v>
      </c>
      <c r="U1361" s="26">
        <v>0.92407809110629102</v>
      </c>
      <c r="V1361" s="26">
        <v>0.95112781954887204</v>
      </c>
      <c r="W1361" s="26">
        <v>0.94075615050651196</v>
      </c>
      <c r="X1361" s="28">
        <v>0.92</v>
      </c>
      <c r="Y1361" s="28">
        <v>0.95417236662106697</v>
      </c>
      <c r="Z1361" s="28">
        <v>0.96704484062668805</v>
      </c>
      <c r="AA1361" s="28">
        <v>0.96018276762402099</v>
      </c>
      <c r="AB1361" s="28">
        <v>0.95674818840579701</v>
      </c>
      <c r="AC1361" s="28">
        <v>0.92</v>
      </c>
      <c r="AD1361" s="26">
        <v>0.99764453961456101</v>
      </c>
      <c r="AE1361" s="26">
        <v>0.99918633034987803</v>
      </c>
      <c r="AF1361" s="26">
        <v>0.99903718859068502</v>
      </c>
      <c r="AG1361" s="26">
        <v>0.998684843624699</v>
      </c>
      <c r="AH1361" s="28">
        <v>0.92</v>
      </c>
      <c r="AI1361" s="26">
        <v>0.96339113680154098</v>
      </c>
      <c r="AJ1361" s="26">
        <v>0.97642530671157102</v>
      </c>
      <c r="AK1361" s="26">
        <v>0.96785464709992997</v>
      </c>
      <c r="AL1361" s="26">
        <v>0.96912866408567599</v>
      </c>
      <c r="AM1361" s="25">
        <v>0.99</v>
      </c>
      <c r="AN1361" s="30">
        <v>1</v>
      </c>
      <c r="AO1361" s="30">
        <v>1</v>
      </c>
      <c r="AP1361" s="30">
        <v>1</v>
      </c>
      <c r="AQ1361" s="30">
        <v>1</v>
      </c>
      <c r="AR1361" s="50">
        <v>7.2186152540827803E-2</v>
      </c>
      <c r="AS1361" s="34">
        <v>0</v>
      </c>
      <c r="AT1361" s="34">
        <v>0</v>
      </c>
      <c r="AU1361" s="34">
        <v>0</v>
      </c>
      <c r="AV1361" s="34">
        <v>3.1914893617021302E-2</v>
      </c>
      <c r="AW1361" s="10"/>
      <c r="AX1361" s="8"/>
    </row>
    <row r="1362" spans="1:50">
      <c r="A1362" s="7"/>
      <c r="B1362" s="10"/>
      <c r="C1362" s="45" t="s">
        <v>1100</v>
      </c>
      <c r="D1362" s="23" t="s">
        <v>25</v>
      </c>
      <c r="E1362" s="83" t="s">
        <v>1406</v>
      </c>
      <c r="F1362" s="83" t="s">
        <v>1406</v>
      </c>
      <c r="G1362" s="83" t="s">
        <v>1406</v>
      </c>
      <c r="H1362" s="83" t="s">
        <v>1406</v>
      </c>
      <c r="I1362" s="25">
        <v>0.9</v>
      </c>
      <c r="J1362" s="26">
        <v>1</v>
      </c>
      <c r="K1362" s="26">
        <v>0.95918367346938804</v>
      </c>
      <c r="L1362" s="27">
        <v>0.93333333333333302</v>
      </c>
      <c r="M1362" s="26">
        <v>0.96363636363636396</v>
      </c>
      <c r="N1362" s="28">
        <v>0.9</v>
      </c>
      <c r="O1362" s="26">
        <v>0.98301113063854695</v>
      </c>
      <c r="P1362" s="26">
        <v>0.89859890762289196</v>
      </c>
      <c r="Q1362" s="26">
        <v>0.98590179873602302</v>
      </c>
      <c r="R1362" s="26">
        <v>0.96407120235885102</v>
      </c>
      <c r="S1362" s="28">
        <v>0.9</v>
      </c>
      <c r="T1362" s="26">
        <v>0.91886350322202703</v>
      </c>
      <c r="U1362" s="26">
        <v>0.91355972453098999</v>
      </c>
      <c r="V1362" s="26">
        <v>0.92075838599902804</v>
      </c>
      <c r="W1362" s="26">
        <v>0.91683957628044099</v>
      </c>
      <c r="X1362" s="28">
        <v>0.92</v>
      </c>
      <c r="Y1362" s="28">
        <v>0.96088112419293603</v>
      </c>
      <c r="Z1362" s="28">
        <v>0.96447876447876402</v>
      </c>
      <c r="AA1362" s="28">
        <v>0.96301247771835996</v>
      </c>
      <c r="AB1362" s="28">
        <v>0.96256569001511805</v>
      </c>
      <c r="AC1362" s="28">
        <v>0.92</v>
      </c>
      <c r="AD1362" s="26">
        <v>0.99797479747974804</v>
      </c>
      <c r="AE1362" s="26">
        <v>0.99441548771407295</v>
      </c>
      <c r="AF1362" s="26">
        <v>0.99514327343370601</v>
      </c>
      <c r="AG1362" s="26">
        <v>0.99642531716548699</v>
      </c>
      <c r="AH1362" s="28">
        <v>0.92</v>
      </c>
      <c r="AI1362" s="26">
        <v>0.96875498166746399</v>
      </c>
      <c r="AJ1362" s="26">
        <v>0.97560617193240295</v>
      </c>
      <c r="AK1362" s="26">
        <v>0.97142193308550195</v>
      </c>
      <c r="AL1362" s="26">
        <v>0.973646086983325</v>
      </c>
      <c r="AM1362" s="25">
        <v>0.99</v>
      </c>
      <c r="AN1362" s="30">
        <v>1</v>
      </c>
      <c r="AO1362" s="30">
        <v>1</v>
      </c>
      <c r="AP1362" s="30">
        <v>1</v>
      </c>
      <c r="AQ1362" s="30">
        <v>1</v>
      </c>
      <c r="AR1362" s="50">
        <v>7.2186152540827803E-2</v>
      </c>
      <c r="AS1362" s="34">
        <v>2.5000000000000001E-2</v>
      </c>
      <c r="AT1362" s="34">
        <v>0</v>
      </c>
      <c r="AU1362" s="34">
        <v>5.7142857142857099E-2</v>
      </c>
      <c r="AV1362" s="34">
        <v>4.4534412955465598E-2</v>
      </c>
      <c r="AW1362" s="10"/>
      <c r="AX1362" s="8"/>
    </row>
    <row r="1363" spans="1:50">
      <c r="A1363" s="7"/>
      <c r="B1363" s="10"/>
      <c r="C1363" s="45" t="s">
        <v>1100</v>
      </c>
      <c r="D1363" s="23" t="s">
        <v>25</v>
      </c>
      <c r="E1363" s="83" t="s">
        <v>1407</v>
      </c>
      <c r="F1363" s="83" t="s">
        <v>1407</v>
      </c>
      <c r="G1363" s="83" t="s">
        <v>1407</v>
      </c>
      <c r="H1363" s="83" t="s">
        <v>1407</v>
      </c>
      <c r="I1363" s="25">
        <v>0.9</v>
      </c>
      <c r="J1363" s="26">
        <v>0.96103896103896103</v>
      </c>
      <c r="K1363" s="26">
        <v>0.95061728395061695</v>
      </c>
      <c r="L1363" s="27">
        <v>0.984615384615385</v>
      </c>
      <c r="M1363" s="26">
        <v>0.96551724137931005</v>
      </c>
      <c r="N1363" s="28">
        <v>0.9</v>
      </c>
      <c r="O1363" s="26">
        <v>0.98765178020168798</v>
      </c>
      <c r="P1363" s="26">
        <v>0.99337155141526301</v>
      </c>
      <c r="Q1363" s="26">
        <v>0.98969072164948502</v>
      </c>
      <c r="R1363" s="26">
        <v>0.99083448381653605</v>
      </c>
      <c r="S1363" s="28">
        <v>0.9</v>
      </c>
      <c r="T1363" s="26">
        <v>0.94072854496809999</v>
      </c>
      <c r="U1363" s="26">
        <v>0.93084915800788204</v>
      </c>
      <c r="V1363" s="26">
        <v>0.92405498281786902</v>
      </c>
      <c r="W1363" s="26">
        <v>0.94044331952753502</v>
      </c>
      <c r="X1363" s="28">
        <v>0.92</v>
      </c>
      <c r="Y1363" s="28">
        <v>0.95544436502263497</v>
      </c>
      <c r="Z1363" s="28">
        <v>0.96962233169129697</v>
      </c>
      <c r="AA1363" s="28">
        <v>0.96850393700787396</v>
      </c>
      <c r="AB1363" s="28">
        <v>0.96521781079646896</v>
      </c>
      <c r="AC1363" s="28">
        <v>0.92</v>
      </c>
      <c r="AD1363" s="26">
        <v>0.997819314641745</v>
      </c>
      <c r="AE1363" s="26">
        <v>0.99479424888448198</v>
      </c>
      <c r="AF1363" s="26">
        <v>0.981478085457546</v>
      </c>
      <c r="AG1363" s="26">
        <v>0.99105934660738404</v>
      </c>
      <c r="AH1363" s="28">
        <v>0.92</v>
      </c>
      <c r="AI1363" s="26">
        <v>0.96996466431095396</v>
      </c>
      <c r="AJ1363" s="26">
        <v>0.977912516240797</v>
      </c>
      <c r="AK1363" s="26">
        <v>0.97721297107800198</v>
      </c>
      <c r="AL1363" s="26">
        <v>0.97575200820372598</v>
      </c>
      <c r="AM1363" s="25">
        <v>0.99</v>
      </c>
      <c r="AN1363" s="30">
        <v>1</v>
      </c>
      <c r="AO1363" s="30">
        <v>1</v>
      </c>
      <c r="AP1363" s="30">
        <v>1</v>
      </c>
      <c r="AQ1363" s="30">
        <v>1</v>
      </c>
      <c r="AR1363" s="50">
        <v>7.2186152540827803E-2</v>
      </c>
      <c r="AS1363" s="34">
        <v>0</v>
      </c>
      <c r="AT1363" s="34">
        <v>-3.5714285714285698E-2</v>
      </c>
      <c r="AU1363" s="34">
        <v>0</v>
      </c>
      <c r="AV1363" s="34">
        <v>4.0229885057471299E-2</v>
      </c>
      <c r="AW1363" s="10"/>
      <c r="AX1363" s="8"/>
    </row>
    <row r="1364" spans="1:50">
      <c r="A1364" s="7"/>
      <c r="B1364" s="10"/>
      <c r="C1364" s="45" t="s">
        <v>1100</v>
      </c>
      <c r="D1364" s="23" t="s">
        <v>25</v>
      </c>
      <c r="E1364" s="83" t="s">
        <v>1408</v>
      </c>
      <c r="F1364" s="83" t="s">
        <v>1408</v>
      </c>
      <c r="G1364" s="83" t="s">
        <v>1408</v>
      </c>
      <c r="H1364" s="83" t="s">
        <v>1408</v>
      </c>
      <c r="I1364" s="25">
        <v>0.9</v>
      </c>
      <c r="J1364" s="26">
        <v>1</v>
      </c>
      <c r="K1364" s="26">
        <v>1</v>
      </c>
      <c r="L1364" s="27">
        <v>1</v>
      </c>
      <c r="M1364" s="26">
        <v>0.96551724137931005</v>
      </c>
      <c r="N1364" s="28">
        <v>0.9</v>
      </c>
      <c r="O1364" s="26">
        <v>0.98653198653198604</v>
      </c>
      <c r="P1364" s="26">
        <v>0.98409785932721705</v>
      </c>
      <c r="Q1364" s="26">
        <v>0.98934911242603596</v>
      </c>
      <c r="R1364" s="26">
        <v>0.97686617350369898</v>
      </c>
      <c r="S1364" s="28">
        <v>0.9</v>
      </c>
      <c r="T1364" s="26">
        <v>0.894276094276094</v>
      </c>
      <c r="U1364" s="26">
        <v>0.89663608562691099</v>
      </c>
      <c r="V1364" s="26">
        <v>0.93609467455621298</v>
      </c>
      <c r="W1364" s="26">
        <v>0.91499663752521898</v>
      </c>
      <c r="X1364" s="28">
        <v>0.92</v>
      </c>
      <c r="Y1364" s="28">
        <v>0.95728451563691797</v>
      </c>
      <c r="Z1364" s="28">
        <v>0.95368072787427605</v>
      </c>
      <c r="AA1364" s="28">
        <v>0.95600475624256798</v>
      </c>
      <c r="AB1364" s="28">
        <v>0.95318518518518502</v>
      </c>
      <c r="AC1364" s="28">
        <v>0.92</v>
      </c>
      <c r="AD1364" s="26">
        <v>0.99715639810426504</v>
      </c>
      <c r="AE1364" s="26">
        <v>0.996932515337423</v>
      </c>
      <c r="AF1364" s="26">
        <v>0.98819672131147496</v>
      </c>
      <c r="AG1364" s="26">
        <v>0.994144341970429</v>
      </c>
      <c r="AH1364" s="28">
        <v>0.92</v>
      </c>
      <c r="AI1364" s="26">
        <v>0.96709585121602304</v>
      </c>
      <c r="AJ1364" s="26">
        <v>0.96765119549929701</v>
      </c>
      <c r="AK1364" s="26">
        <v>0.97271648873072403</v>
      </c>
      <c r="AL1364" s="26">
        <v>0.96877202876074997</v>
      </c>
      <c r="AM1364" s="25">
        <v>0.99</v>
      </c>
      <c r="AN1364" s="30">
        <v>1</v>
      </c>
      <c r="AO1364" s="30">
        <v>1</v>
      </c>
      <c r="AP1364" s="30">
        <v>1</v>
      </c>
      <c r="AQ1364" s="30">
        <v>1</v>
      </c>
      <c r="AR1364" s="50">
        <v>7.2186152540827803E-2</v>
      </c>
      <c r="AS1364" s="34">
        <v>0.105263157894737</v>
      </c>
      <c r="AT1364" s="34">
        <v>0</v>
      </c>
      <c r="AU1364" s="34">
        <v>8.3333333333333301E-2</v>
      </c>
      <c r="AV1364" s="34">
        <v>8.8235294117647106E-2</v>
      </c>
      <c r="AW1364" s="10"/>
      <c r="AX1364" s="8"/>
    </row>
    <row r="1365" spans="1:50">
      <c r="A1365" s="7"/>
      <c r="B1365" s="10"/>
      <c r="C1365" s="45" t="s">
        <v>1100</v>
      </c>
      <c r="D1365" s="23" t="s">
        <v>25</v>
      </c>
      <c r="E1365" s="83" t="s">
        <v>1409</v>
      </c>
      <c r="F1365" s="83" t="s">
        <v>1409</v>
      </c>
      <c r="G1365" s="83" t="s">
        <v>1409</v>
      </c>
      <c r="H1365" s="83" t="s">
        <v>1409</v>
      </c>
      <c r="I1365" s="25">
        <v>0.9</v>
      </c>
      <c r="J1365" s="26">
        <v>0.931034482758621</v>
      </c>
      <c r="K1365" s="26">
        <v>0.95081967213114704</v>
      </c>
      <c r="L1365" s="27">
        <v>0.91111111111111098</v>
      </c>
      <c r="M1365" s="26">
        <v>0.93690851735015801</v>
      </c>
      <c r="N1365" s="28">
        <v>0.9</v>
      </c>
      <c r="O1365" s="26">
        <v>0.97003116758571095</v>
      </c>
      <c r="P1365" s="26">
        <v>0.97259414225941399</v>
      </c>
      <c r="Q1365" s="26">
        <v>0.98090493980904903</v>
      </c>
      <c r="R1365" s="26">
        <v>0.96784256158539395</v>
      </c>
      <c r="S1365" s="28">
        <v>0.9</v>
      </c>
      <c r="T1365" s="26">
        <v>0.91680652121793305</v>
      </c>
      <c r="U1365" s="26">
        <v>0.90983263598326403</v>
      </c>
      <c r="V1365" s="26">
        <v>0.90577002905769999</v>
      </c>
      <c r="W1365" s="26">
        <v>0.90352768475618195</v>
      </c>
      <c r="X1365" s="28">
        <v>0.92</v>
      </c>
      <c r="Y1365" s="28">
        <v>0.945214105793451</v>
      </c>
      <c r="Z1365" s="28">
        <v>0.94994749737486905</v>
      </c>
      <c r="AA1365" s="28">
        <v>0.93514965464313105</v>
      </c>
      <c r="AB1365" s="28">
        <v>0.94193508954220395</v>
      </c>
      <c r="AC1365" s="28">
        <v>0.92</v>
      </c>
      <c r="AD1365" s="26">
        <v>0.99166666666666703</v>
      </c>
      <c r="AE1365" s="26">
        <v>0.99266247379454897</v>
      </c>
      <c r="AF1365" s="26">
        <v>0.98614958448753498</v>
      </c>
      <c r="AG1365" s="26">
        <v>0.99191757704947203</v>
      </c>
      <c r="AH1365" s="28">
        <v>0.92</v>
      </c>
      <c r="AI1365" s="26">
        <v>0.96379474615489302</v>
      </c>
      <c r="AJ1365" s="26">
        <v>0.96581980094290198</v>
      </c>
      <c r="AK1365" s="26">
        <v>0.95553339980059804</v>
      </c>
      <c r="AL1365" s="26">
        <v>0.960297701721743</v>
      </c>
      <c r="AM1365" s="25">
        <v>0.99</v>
      </c>
      <c r="AN1365" s="30">
        <v>1</v>
      </c>
      <c r="AO1365" s="30">
        <v>1</v>
      </c>
      <c r="AP1365" s="30">
        <v>1</v>
      </c>
      <c r="AQ1365" s="30">
        <v>1</v>
      </c>
      <c r="AR1365" s="50">
        <v>7.2186152540827803E-2</v>
      </c>
      <c r="AS1365" s="34">
        <v>0.11363636363636399</v>
      </c>
      <c r="AT1365" s="34">
        <v>-3.4482758620689703E-2</v>
      </c>
      <c r="AU1365" s="34">
        <v>3.4482758620689703E-2</v>
      </c>
      <c r="AV1365" s="34">
        <v>6.1946902654867297E-2</v>
      </c>
      <c r="AW1365" s="10"/>
      <c r="AX1365" s="8"/>
    </row>
    <row r="1366" spans="1:50">
      <c r="A1366" s="7"/>
      <c r="B1366" s="10"/>
      <c r="C1366" s="45" t="s">
        <v>1100</v>
      </c>
      <c r="D1366" s="23" t="s">
        <v>25</v>
      </c>
      <c r="E1366" s="83" t="s">
        <v>1410</v>
      </c>
      <c r="F1366" s="83" t="s">
        <v>1410</v>
      </c>
      <c r="G1366" s="83" t="s">
        <v>1410</v>
      </c>
      <c r="H1366" s="83" t="s">
        <v>1410</v>
      </c>
      <c r="I1366" s="25">
        <v>0.9</v>
      </c>
      <c r="J1366" s="26">
        <v>0.96103896103896103</v>
      </c>
      <c r="K1366" s="26">
        <v>0.94736842105263197</v>
      </c>
      <c r="L1366" s="27">
        <v>0.95774647887323905</v>
      </c>
      <c r="M1366" s="26">
        <v>0.93877551020408201</v>
      </c>
      <c r="N1366" s="28">
        <v>0.9</v>
      </c>
      <c r="O1366" s="26">
        <v>0.97730463266261103</v>
      </c>
      <c r="P1366" s="26">
        <v>0.78924476077501005</v>
      </c>
      <c r="Q1366" s="26">
        <v>0.96693272519954399</v>
      </c>
      <c r="R1366" s="26">
        <v>0.92543281296524704</v>
      </c>
      <c r="S1366" s="28">
        <v>0.9</v>
      </c>
      <c r="T1366" s="26">
        <v>0.763219466541881</v>
      </c>
      <c r="U1366" s="26">
        <v>0.71233689205219497</v>
      </c>
      <c r="V1366" s="26">
        <v>0.80045610034207504</v>
      </c>
      <c r="W1366" s="26">
        <v>0.73869581862265499</v>
      </c>
      <c r="X1366" s="28">
        <v>0.92</v>
      </c>
      <c r="Y1366" s="28">
        <v>0.89289587852494601</v>
      </c>
      <c r="Z1366" s="28">
        <v>0.91474358974359005</v>
      </c>
      <c r="AA1366" s="28">
        <v>0.89238020424194797</v>
      </c>
      <c r="AB1366" s="28">
        <v>0.88803988511353205</v>
      </c>
      <c r="AC1366" s="28">
        <v>0.92</v>
      </c>
      <c r="AD1366" s="26">
        <v>0.99528746465598505</v>
      </c>
      <c r="AE1366" s="26">
        <v>0.99085619285120496</v>
      </c>
      <c r="AF1366" s="26">
        <v>0.97989661114302096</v>
      </c>
      <c r="AG1366" s="26">
        <v>0.99240121580547103</v>
      </c>
      <c r="AH1366" s="28">
        <v>0.92</v>
      </c>
      <c r="AI1366" s="26">
        <v>0.92840994724943504</v>
      </c>
      <c r="AJ1366" s="26">
        <v>0.94240645634629505</v>
      </c>
      <c r="AK1366" s="26">
        <v>0.92237883761343897</v>
      </c>
      <c r="AL1366" s="26">
        <v>0.927507566189262</v>
      </c>
      <c r="AM1366" s="25">
        <v>0.99</v>
      </c>
      <c r="AN1366" s="30">
        <v>1</v>
      </c>
      <c r="AO1366" s="30">
        <v>1</v>
      </c>
      <c r="AP1366" s="30">
        <v>1</v>
      </c>
      <c r="AQ1366" s="30">
        <v>1</v>
      </c>
      <c r="AR1366" s="50">
        <v>7.2186152540827803E-2</v>
      </c>
      <c r="AS1366" s="34">
        <v>0.115384615384615</v>
      </c>
      <c r="AT1366" s="34">
        <v>0.115384615384615</v>
      </c>
      <c r="AU1366" s="34">
        <v>4.1666666666666699E-2</v>
      </c>
      <c r="AV1366" s="34">
        <v>8.3333333333333301E-2</v>
      </c>
      <c r="AW1366" s="10"/>
      <c r="AX1366" s="8"/>
    </row>
    <row r="1367" spans="1:50">
      <c r="A1367" s="7"/>
      <c r="B1367" s="10"/>
      <c r="C1367" s="45" t="s">
        <v>1100</v>
      </c>
      <c r="D1367" s="23" t="s">
        <v>25</v>
      </c>
      <c r="E1367" s="83" t="s">
        <v>1411</v>
      </c>
      <c r="F1367" s="83" t="s">
        <v>1411</v>
      </c>
      <c r="G1367" s="83" t="s">
        <v>1411</v>
      </c>
      <c r="H1367" s="83" t="s">
        <v>1411</v>
      </c>
      <c r="I1367" s="25">
        <v>0.9</v>
      </c>
      <c r="J1367" s="26">
        <v>0.97560975609756095</v>
      </c>
      <c r="K1367" s="26">
        <v>0.97727272727272696</v>
      </c>
      <c r="L1367" s="27">
        <v>0.891891891891892</v>
      </c>
      <c r="M1367" s="26">
        <v>0.96234309623431002</v>
      </c>
      <c r="N1367" s="28">
        <v>0.9</v>
      </c>
      <c r="O1367" s="26">
        <v>0.98468019915741101</v>
      </c>
      <c r="P1367" s="26">
        <v>0.95233555767397504</v>
      </c>
      <c r="Q1367" s="26">
        <v>0.99287564766839398</v>
      </c>
      <c r="R1367" s="26">
        <v>0.97783756992140503</v>
      </c>
      <c r="S1367" s="28">
        <v>0.9</v>
      </c>
      <c r="T1367" s="26">
        <v>0.92761394101876704</v>
      </c>
      <c r="U1367" s="26">
        <v>0.92469018112488099</v>
      </c>
      <c r="V1367" s="26">
        <v>0.93005181347150301</v>
      </c>
      <c r="W1367" s="26">
        <v>0.93237980599022896</v>
      </c>
      <c r="X1367" s="28">
        <v>0.92</v>
      </c>
      <c r="Y1367" s="28">
        <v>0.95334987593052101</v>
      </c>
      <c r="Z1367" s="28">
        <v>0.96785534907081905</v>
      </c>
      <c r="AA1367" s="28">
        <v>0.949574726609964</v>
      </c>
      <c r="AB1367" s="28">
        <v>0.95876963350785305</v>
      </c>
      <c r="AC1367" s="28">
        <v>0.92</v>
      </c>
      <c r="AD1367" s="26">
        <v>0.98918918918918897</v>
      </c>
      <c r="AE1367" s="26">
        <v>0.99811853245531501</v>
      </c>
      <c r="AF1367" s="26">
        <v>0.98632162661737499</v>
      </c>
      <c r="AG1367" s="26">
        <v>0.99272369714847597</v>
      </c>
      <c r="AH1367" s="28">
        <v>0.92</v>
      </c>
      <c r="AI1367" s="26">
        <v>0.97168179853004799</v>
      </c>
      <c r="AJ1367" s="26">
        <v>0.97878551965745397</v>
      </c>
      <c r="AK1367" s="26">
        <v>0.96646819178940802</v>
      </c>
      <c r="AL1367" s="26">
        <v>0.97493956486704303</v>
      </c>
      <c r="AM1367" s="25">
        <v>0.99</v>
      </c>
      <c r="AN1367" s="30">
        <v>1</v>
      </c>
      <c r="AO1367" s="30">
        <v>1</v>
      </c>
      <c r="AP1367" s="30">
        <v>1</v>
      </c>
      <c r="AQ1367" s="30">
        <v>1</v>
      </c>
      <c r="AR1367" s="50">
        <v>7.2186152540827803E-2</v>
      </c>
      <c r="AS1367" s="34">
        <v>0</v>
      </c>
      <c r="AT1367" s="34">
        <v>0</v>
      </c>
      <c r="AU1367" s="34">
        <v>0.105263157894737</v>
      </c>
      <c r="AV1367" s="34">
        <v>2.5423728813559299E-2</v>
      </c>
      <c r="AW1367" s="10"/>
      <c r="AX1367" s="8"/>
    </row>
    <row r="1368" spans="1:50">
      <c r="A1368" s="7"/>
      <c r="B1368" s="10"/>
      <c r="C1368" s="45" t="s">
        <v>1100</v>
      </c>
      <c r="D1368" s="23" t="s">
        <v>25</v>
      </c>
      <c r="E1368" s="83" t="s">
        <v>1412</v>
      </c>
      <c r="F1368" s="83" t="s">
        <v>1412</v>
      </c>
      <c r="G1368" s="83" t="s">
        <v>1412</v>
      </c>
      <c r="H1368" s="83" t="s">
        <v>1412</v>
      </c>
      <c r="I1368" s="25">
        <v>0.9</v>
      </c>
      <c r="J1368" s="26">
        <v>1</v>
      </c>
      <c r="K1368" s="26">
        <v>1</v>
      </c>
      <c r="L1368" s="27">
        <v>0.97619047619047605</v>
      </c>
      <c r="M1368" s="26">
        <v>0.99649122807017498</v>
      </c>
      <c r="N1368" s="28">
        <v>0.9</v>
      </c>
      <c r="O1368" s="26">
        <v>0.99346405228758194</v>
      </c>
      <c r="P1368" s="26">
        <v>0.99626329405001401</v>
      </c>
      <c r="Q1368" s="26">
        <v>0.995528228060369</v>
      </c>
      <c r="R1368" s="26">
        <v>0.99527920988881302</v>
      </c>
      <c r="S1368" s="28">
        <v>0.9</v>
      </c>
      <c r="T1368" s="26">
        <v>0.93398692810457495</v>
      </c>
      <c r="U1368" s="26">
        <v>0.912906007473412</v>
      </c>
      <c r="V1368" s="26">
        <v>0.92062604807154802</v>
      </c>
      <c r="W1368" s="26">
        <v>0.91924964283495902</v>
      </c>
      <c r="X1368" s="28">
        <v>0.92</v>
      </c>
      <c r="Y1368" s="28">
        <v>0.97896749521988502</v>
      </c>
      <c r="Z1368" s="28">
        <v>0.97608303249097506</v>
      </c>
      <c r="AA1368" s="28">
        <v>0.97736748064323997</v>
      </c>
      <c r="AB1368" s="28">
        <v>0.97484178451441506</v>
      </c>
      <c r="AC1368" s="28">
        <v>0.92</v>
      </c>
      <c r="AD1368" s="26">
        <v>0.99920508744038194</v>
      </c>
      <c r="AE1368" s="26">
        <v>0.99760000000000004</v>
      </c>
      <c r="AF1368" s="26">
        <v>0.99002347417840397</v>
      </c>
      <c r="AG1368" s="26">
        <v>0.99601319769040397</v>
      </c>
      <c r="AH1368" s="28">
        <v>0.92</v>
      </c>
      <c r="AI1368" s="26">
        <v>0.98291351065703703</v>
      </c>
      <c r="AJ1368" s="26">
        <v>0.98455056179775302</v>
      </c>
      <c r="AK1368" s="26">
        <v>0.98615916955017302</v>
      </c>
      <c r="AL1368" s="26">
        <v>0.98384138957129497</v>
      </c>
      <c r="AM1368" s="25">
        <v>0.99</v>
      </c>
      <c r="AN1368" s="30">
        <v>1</v>
      </c>
      <c r="AO1368" s="30">
        <v>1</v>
      </c>
      <c r="AP1368" s="30">
        <v>1</v>
      </c>
      <c r="AQ1368" s="30">
        <v>1</v>
      </c>
      <c r="AR1368" s="50">
        <v>7.2186152540827803E-2</v>
      </c>
      <c r="AS1368" s="34">
        <v>0</v>
      </c>
      <c r="AT1368" s="34">
        <v>0.15</v>
      </c>
      <c r="AU1368" s="34">
        <v>0</v>
      </c>
      <c r="AV1368" s="34">
        <v>6.9444444444444406E-2</v>
      </c>
      <c r="AW1368" s="10"/>
      <c r="AX1368" s="8"/>
    </row>
    <row r="1369" spans="1:50">
      <c r="A1369" s="7"/>
      <c r="B1369" s="10"/>
      <c r="C1369" s="45" t="s">
        <v>1100</v>
      </c>
      <c r="D1369" s="23" t="s">
        <v>25</v>
      </c>
      <c r="E1369" s="83" t="s">
        <v>1413</v>
      </c>
      <c r="F1369" s="83" t="s">
        <v>1413</v>
      </c>
      <c r="G1369" s="83" t="s">
        <v>1413</v>
      </c>
      <c r="H1369" s="83" t="s">
        <v>1413</v>
      </c>
      <c r="I1369" s="25">
        <v>0.9</v>
      </c>
      <c r="J1369" s="26">
        <v>1</v>
      </c>
      <c r="K1369" s="26">
        <v>1</v>
      </c>
      <c r="L1369" s="27">
        <v>0.96428571428571397</v>
      </c>
      <c r="M1369" s="26">
        <v>0.930851063829787</v>
      </c>
      <c r="N1369" s="28">
        <v>0.9</v>
      </c>
      <c r="O1369" s="26">
        <v>0.99818895261092699</v>
      </c>
      <c r="P1369" s="26">
        <v>0.99163568773234201</v>
      </c>
      <c r="Q1369" s="26">
        <v>0.99075785582255105</v>
      </c>
      <c r="R1369" s="26">
        <v>0.97735124760076797</v>
      </c>
      <c r="S1369" s="28">
        <v>0.9</v>
      </c>
      <c r="T1369" s="26">
        <v>0.96076063990341098</v>
      </c>
      <c r="U1369" s="26">
        <v>0.97366790582403995</v>
      </c>
      <c r="V1369" s="26">
        <v>0.95810227972889705</v>
      </c>
      <c r="W1369" s="26">
        <v>0.94964811260396698</v>
      </c>
      <c r="X1369" s="28">
        <v>0.92</v>
      </c>
      <c r="Y1369" s="28">
        <v>0.97133757961783396</v>
      </c>
      <c r="Z1369" s="28">
        <v>0.98900549725137399</v>
      </c>
      <c r="AA1369" s="28">
        <v>0.97720455908818205</v>
      </c>
      <c r="AB1369" s="28">
        <v>0.97210521389122895</v>
      </c>
      <c r="AC1369" s="28">
        <v>0.92</v>
      </c>
      <c r="AD1369" s="26">
        <v>1</v>
      </c>
      <c r="AE1369" s="26">
        <v>0.99857448325017795</v>
      </c>
      <c r="AF1369" s="26">
        <v>0.99968354430379702</v>
      </c>
      <c r="AG1369" s="26">
        <v>0.99952494061757702</v>
      </c>
      <c r="AH1369" s="28">
        <v>0.92</v>
      </c>
      <c r="AI1369" s="26">
        <v>0.98441408504906702</v>
      </c>
      <c r="AJ1369" s="26">
        <v>0.99426276534710301</v>
      </c>
      <c r="AK1369" s="26">
        <v>0.98663020358553599</v>
      </c>
      <c r="AL1369" s="26">
        <v>0.98126543796313903</v>
      </c>
      <c r="AM1369" s="25">
        <v>0.99</v>
      </c>
      <c r="AN1369" s="30">
        <v>1</v>
      </c>
      <c r="AO1369" s="30">
        <v>1</v>
      </c>
      <c r="AP1369" s="30">
        <v>1</v>
      </c>
      <c r="AQ1369" s="30">
        <v>1</v>
      </c>
      <c r="AR1369" s="50">
        <v>7.2186152540827803E-2</v>
      </c>
      <c r="AS1369" s="34">
        <v>7.1428571428571397E-2</v>
      </c>
      <c r="AT1369" s="34">
        <v>0</v>
      </c>
      <c r="AU1369" s="34">
        <v>0</v>
      </c>
      <c r="AV1369" s="34">
        <v>3.6144578313252997E-2</v>
      </c>
      <c r="AW1369" s="10"/>
      <c r="AX1369" s="8"/>
    </row>
    <row r="1370" spans="1:50">
      <c r="A1370" s="7"/>
      <c r="B1370" s="10"/>
      <c r="C1370" s="45" t="s">
        <v>1100</v>
      </c>
      <c r="D1370" s="23" t="s">
        <v>25</v>
      </c>
      <c r="E1370" s="83" t="s">
        <v>1414</v>
      </c>
      <c r="F1370" s="83" t="s">
        <v>1414</v>
      </c>
      <c r="G1370" s="83" t="s">
        <v>1414</v>
      </c>
      <c r="H1370" s="83" t="s">
        <v>1414</v>
      </c>
      <c r="I1370" s="25">
        <v>0.9</v>
      </c>
      <c r="J1370" s="26">
        <v>0.97435897435897401</v>
      </c>
      <c r="K1370" s="26">
        <v>1</v>
      </c>
      <c r="L1370" s="27">
        <v>0.96969696969696995</v>
      </c>
      <c r="M1370" s="26">
        <v>0.97247706422018398</v>
      </c>
      <c r="N1370" s="28">
        <v>0.9</v>
      </c>
      <c r="O1370" s="26">
        <v>0.95555555555555605</v>
      </c>
      <c r="P1370" s="26">
        <v>0.98036081297099797</v>
      </c>
      <c r="Q1370" s="26">
        <v>0.97378538972387296</v>
      </c>
      <c r="R1370" s="26">
        <v>0.97367505003916099</v>
      </c>
      <c r="S1370" s="28">
        <v>0.9</v>
      </c>
      <c r="T1370" s="26">
        <v>0.94679487179487198</v>
      </c>
      <c r="U1370" s="26">
        <v>0.96049326330212403</v>
      </c>
      <c r="V1370" s="26">
        <v>0.95770709542118104</v>
      </c>
      <c r="W1370" s="26">
        <v>0.95696632146897598</v>
      </c>
      <c r="X1370" s="28">
        <v>0.92</v>
      </c>
      <c r="Y1370" s="28">
        <v>0</v>
      </c>
      <c r="Z1370" s="28">
        <v>0</v>
      </c>
      <c r="AA1370" s="28">
        <v>0</v>
      </c>
      <c r="AB1370" s="28">
        <v>0</v>
      </c>
      <c r="AC1370" s="28">
        <v>0.92</v>
      </c>
      <c r="AD1370" s="26">
        <v>0.99790246460409004</v>
      </c>
      <c r="AE1370" s="26">
        <v>0.99809976247030896</v>
      </c>
      <c r="AF1370" s="26">
        <v>1</v>
      </c>
      <c r="AG1370" s="26">
        <v>0.99885602222585401</v>
      </c>
      <c r="AH1370" s="28">
        <v>0.92</v>
      </c>
      <c r="AI1370" s="26">
        <v>0.97628711813714997</v>
      </c>
      <c r="AJ1370" s="26">
        <v>0.98081753825074203</v>
      </c>
      <c r="AK1370" s="26">
        <v>0.98531981824536896</v>
      </c>
      <c r="AL1370" s="26">
        <v>0.982421790018709</v>
      </c>
      <c r="AM1370" s="25">
        <v>0.99</v>
      </c>
      <c r="AN1370" s="30">
        <v>1</v>
      </c>
      <c r="AO1370" s="30">
        <v>1</v>
      </c>
      <c r="AP1370" s="30">
        <v>1</v>
      </c>
      <c r="AQ1370" s="30">
        <v>1</v>
      </c>
      <c r="AR1370" s="50">
        <v>7.2186152540827803E-2</v>
      </c>
      <c r="AS1370" s="34">
        <v>0</v>
      </c>
      <c r="AT1370" s="34">
        <v>4.5454545454545497E-2</v>
      </c>
      <c r="AU1370" s="34">
        <v>0</v>
      </c>
      <c r="AV1370" s="34">
        <v>3.5714285714285698E-2</v>
      </c>
      <c r="AW1370" s="10"/>
      <c r="AX1370" s="8"/>
    </row>
    <row r="1371" spans="1:50">
      <c r="A1371" s="7"/>
      <c r="B1371" s="10"/>
      <c r="C1371" s="45" t="s">
        <v>1100</v>
      </c>
      <c r="D1371" s="23" t="s">
        <v>25</v>
      </c>
      <c r="E1371" s="83" t="s">
        <v>1415</v>
      </c>
      <c r="F1371" s="83" t="s">
        <v>1415</v>
      </c>
      <c r="G1371" s="83" t="s">
        <v>1415</v>
      </c>
      <c r="H1371" s="83" t="s">
        <v>1415</v>
      </c>
      <c r="I1371" s="25">
        <v>0.9</v>
      </c>
      <c r="J1371" s="26">
        <v>0.97435897435897401</v>
      </c>
      <c r="K1371" s="26">
        <v>0.87804878048780499</v>
      </c>
      <c r="L1371" s="27">
        <v>0.967741935483871</v>
      </c>
      <c r="M1371" s="26">
        <v>0.91262135922330101</v>
      </c>
      <c r="N1371" s="28">
        <v>0.9</v>
      </c>
      <c r="O1371" s="26">
        <v>0.99134419551934805</v>
      </c>
      <c r="P1371" s="26">
        <v>0.98419618528610398</v>
      </c>
      <c r="Q1371" s="26">
        <v>0.98951189995966105</v>
      </c>
      <c r="R1371" s="26">
        <v>0.98491773308957997</v>
      </c>
      <c r="S1371" s="28">
        <v>0.9</v>
      </c>
      <c r="T1371" s="26">
        <v>0.85819755600814696</v>
      </c>
      <c r="U1371" s="26">
        <v>0.93705722070844699</v>
      </c>
      <c r="V1371" s="26">
        <v>0.94554255748285598</v>
      </c>
      <c r="W1371" s="26">
        <v>0.91219784684135696</v>
      </c>
      <c r="X1371" s="28">
        <v>0.92</v>
      </c>
      <c r="Y1371" s="28">
        <v>0</v>
      </c>
      <c r="Z1371" s="28">
        <v>0</v>
      </c>
      <c r="AA1371" s="28">
        <v>0</v>
      </c>
      <c r="AB1371" s="28">
        <v>0</v>
      </c>
      <c r="AC1371" s="28">
        <v>0.92</v>
      </c>
      <c r="AD1371" s="26">
        <v>0.99865319865319901</v>
      </c>
      <c r="AE1371" s="26">
        <v>1</v>
      </c>
      <c r="AF1371" s="26">
        <v>0.99968314321926499</v>
      </c>
      <c r="AG1371" s="26">
        <v>0.99910952804986597</v>
      </c>
      <c r="AH1371" s="28">
        <v>0.92</v>
      </c>
      <c r="AI1371" s="26">
        <v>0.98626653102746697</v>
      </c>
      <c r="AJ1371" s="26">
        <v>0.98773841961852904</v>
      </c>
      <c r="AK1371" s="26">
        <v>0.98588140379185196</v>
      </c>
      <c r="AL1371" s="26">
        <v>0.98700309691831201</v>
      </c>
      <c r="AM1371" s="25">
        <v>0.99</v>
      </c>
      <c r="AN1371" s="30">
        <v>1</v>
      </c>
      <c r="AO1371" s="30">
        <v>1</v>
      </c>
      <c r="AP1371" s="30">
        <v>1</v>
      </c>
      <c r="AQ1371" s="30">
        <v>1</v>
      </c>
      <c r="AR1371" s="50">
        <v>7.2186152540827803E-2</v>
      </c>
      <c r="AS1371" s="34">
        <v>0</v>
      </c>
      <c r="AT1371" s="34">
        <v>0</v>
      </c>
      <c r="AU1371" s="34">
        <v>0.1</v>
      </c>
      <c r="AV1371" s="34">
        <v>5.3763440860215103E-2</v>
      </c>
      <c r="AW1371" s="10"/>
      <c r="AX1371" s="8"/>
    </row>
    <row r="1372" spans="1:50">
      <c r="A1372" s="7"/>
      <c r="B1372" s="10"/>
      <c r="C1372" s="45" t="s">
        <v>1100</v>
      </c>
      <c r="D1372" s="23" t="s">
        <v>25</v>
      </c>
      <c r="E1372" s="83" t="s">
        <v>1416</v>
      </c>
      <c r="F1372" s="83" t="s">
        <v>1416</v>
      </c>
      <c r="G1372" s="83" t="s">
        <v>1416</v>
      </c>
      <c r="H1372" s="83" t="s">
        <v>1416</v>
      </c>
      <c r="I1372" s="25">
        <v>0.9</v>
      </c>
      <c r="J1372" s="26">
        <v>0.95</v>
      </c>
      <c r="K1372" s="26">
        <v>1</v>
      </c>
      <c r="L1372" s="27">
        <v>0.94444444444444398</v>
      </c>
      <c r="M1372" s="26">
        <v>0.95927601809954799</v>
      </c>
      <c r="N1372" s="28">
        <v>0.9</v>
      </c>
      <c r="O1372" s="26">
        <v>0.94384188961195503</v>
      </c>
      <c r="P1372" s="26">
        <v>0.95800458131840205</v>
      </c>
      <c r="Q1372" s="26">
        <v>0.98438142211261803</v>
      </c>
      <c r="R1372" s="26">
        <v>0.94990777594408304</v>
      </c>
      <c r="S1372" s="28">
        <v>0.9</v>
      </c>
      <c r="T1372" s="26">
        <v>0.92287298144131102</v>
      </c>
      <c r="U1372" s="26">
        <v>0.920335963349453</v>
      </c>
      <c r="V1372" s="26">
        <v>0.94410193177147494</v>
      </c>
      <c r="W1372" s="26">
        <v>0.92748276866323698</v>
      </c>
      <c r="X1372" s="28">
        <v>0.92</v>
      </c>
      <c r="Y1372" s="28">
        <v>0</v>
      </c>
      <c r="Z1372" s="28">
        <v>0</v>
      </c>
      <c r="AA1372" s="28">
        <v>0</v>
      </c>
      <c r="AB1372" s="28">
        <v>0</v>
      </c>
      <c r="AC1372" s="28">
        <v>0.92</v>
      </c>
      <c r="AD1372" s="26">
        <v>0.992932862190813</v>
      </c>
      <c r="AE1372" s="26">
        <v>1</v>
      </c>
      <c r="AF1372" s="26">
        <v>0.98765432098765404</v>
      </c>
      <c r="AG1372" s="26">
        <v>0.99183976261127604</v>
      </c>
      <c r="AH1372" s="28">
        <v>0.92</v>
      </c>
      <c r="AI1372" s="26">
        <v>0.96914919257652399</v>
      </c>
      <c r="AJ1372" s="26">
        <v>0.97251908396946596</v>
      </c>
      <c r="AK1372" s="26">
        <v>0.97821619399917803</v>
      </c>
      <c r="AL1372" s="26">
        <v>0.96990729505411799</v>
      </c>
      <c r="AM1372" s="25">
        <v>0.99</v>
      </c>
      <c r="AN1372" s="30">
        <v>1</v>
      </c>
      <c r="AO1372" s="30">
        <v>1</v>
      </c>
      <c r="AP1372" s="30">
        <v>1</v>
      </c>
      <c r="AQ1372" s="30">
        <v>1</v>
      </c>
      <c r="AR1372" s="50">
        <v>7.2186152540827803E-2</v>
      </c>
      <c r="AS1372" s="34">
        <v>0</v>
      </c>
      <c r="AT1372" s="34">
        <v>0</v>
      </c>
      <c r="AU1372" s="34">
        <v>0</v>
      </c>
      <c r="AV1372" s="34">
        <v>0</v>
      </c>
      <c r="AW1372" s="10"/>
      <c r="AX1372" s="8"/>
    </row>
    <row r="1373" spans="1:50">
      <c r="A1373" s="7"/>
      <c r="B1373" s="10"/>
      <c r="C1373" s="45" t="s">
        <v>1100</v>
      </c>
      <c r="D1373" s="23" t="s">
        <v>25</v>
      </c>
      <c r="E1373" s="83" t="s">
        <v>1417</v>
      </c>
      <c r="F1373" s="83" t="s">
        <v>1417</v>
      </c>
      <c r="G1373" s="83" t="s">
        <v>1417</v>
      </c>
      <c r="H1373" s="83" t="s">
        <v>1417</v>
      </c>
      <c r="I1373" s="25">
        <v>0.9</v>
      </c>
      <c r="J1373" s="26">
        <v>1</v>
      </c>
      <c r="K1373" s="26">
        <v>0.96296296296296302</v>
      </c>
      <c r="L1373" s="27">
        <v>1</v>
      </c>
      <c r="M1373" s="26">
        <v>0.99315068493150704</v>
      </c>
      <c r="N1373" s="28">
        <v>0.9</v>
      </c>
      <c r="O1373" s="26">
        <v>0.99188640973630804</v>
      </c>
      <c r="P1373" s="26">
        <v>0.99427207637231496</v>
      </c>
      <c r="Q1373" s="26">
        <v>1</v>
      </c>
      <c r="R1373" s="26">
        <v>0.99352267065271505</v>
      </c>
      <c r="S1373" s="28">
        <v>0.9</v>
      </c>
      <c r="T1373" s="26">
        <v>0.94523326572008104</v>
      </c>
      <c r="U1373" s="26">
        <v>0.96229116945107396</v>
      </c>
      <c r="V1373" s="26">
        <v>0.95366079703429096</v>
      </c>
      <c r="W1373" s="26">
        <v>0.95017438963627299</v>
      </c>
      <c r="X1373" s="28">
        <v>0.92</v>
      </c>
      <c r="Y1373" s="28">
        <v>0.97325280414150095</v>
      </c>
      <c r="Z1373" s="28">
        <v>0.984615384615385</v>
      </c>
      <c r="AA1373" s="28">
        <v>0.97768240343347601</v>
      </c>
      <c r="AB1373" s="28">
        <v>0.98006310958118203</v>
      </c>
      <c r="AC1373" s="28">
        <v>0.92</v>
      </c>
      <c r="AD1373" s="26">
        <v>0.99610894941634198</v>
      </c>
      <c r="AE1373" s="26">
        <v>0.99534883720930201</v>
      </c>
      <c r="AF1373" s="26">
        <v>0.99907321594068599</v>
      </c>
      <c r="AG1373" s="26">
        <v>0.99762521588946496</v>
      </c>
      <c r="AH1373" s="28">
        <v>0.92</v>
      </c>
      <c r="AI1373" s="26">
        <v>0.98530820824017895</v>
      </c>
      <c r="AJ1373" s="26">
        <v>0.99017341040462403</v>
      </c>
      <c r="AK1373" s="26">
        <v>0.98307349665924304</v>
      </c>
      <c r="AL1373" s="26">
        <v>0.98759480275148404</v>
      </c>
      <c r="AM1373" s="25">
        <v>0.99</v>
      </c>
      <c r="AN1373" s="30">
        <v>1</v>
      </c>
      <c r="AO1373" s="30">
        <v>1</v>
      </c>
      <c r="AP1373" s="30">
        <v>1</v>
      </c>
      <c r="AQ1373" s="30">
        <v>1</v>
      </c>
      <c r="AR1373" s="50">
        <v>7.2186152540827803E-2</v>
      </c>
      <c r="AS1373" s="34">
        <v>7.69230769230769E-2</v>
      </c>
      <c r="AT1373" s="34">
        <v>0.105263157894737</v>
      </c>
      <c r="AU1373" s="34">
        <v>0</v>
      </c>
      <c r="AV1373" s="34">
        <v>7.0422535211267595E-2</v>
      </c>
      <c r="AW1373" s="10"/>
      <c r="AX1373" s="8"/>
    </row>
    <row r="1374" spans="1:50">
      <c r="A1374" s="7"/>
      <c r="B1374" s="10"/>
      <c r="C1374" s="45" t="s">
        <v>1100</v>
      </c>
      <c r="D1374" s="23" t="s">
        <v>25</v>
      </c>
      <c r="E1374" s="83" t="s">
        <v>1418</v>
      </c>
      <c r="F1374" s="83" t="s">
        <v>1418</v>
      </c>
      <c r="G1374" s="83" t="s">
        <v>1418</v>
      </c>
      <c r="H1374" s="83" t="s">
        <v>1418</v>
      </c>
      <c r="I1374" s="25">
        <v>0.9</v>
      </c>
      <c r="J1374" s="26">
        <v>1</v>
      </c>
      <c r="K1374" s="26">
        <v>1</v>
      </c>
      <c r="L1374" s="27">
        <v>1</v>
      </c>
      <c r="M1374" s="26">
        <v>0.99585062240663902</v>
      </c>
      <c r="N1374" s="28">
        <v>0.9</v>
      </c>
      <c r="O1374" s="26">
        <v>0.91377379619260901</v>
      </c>
      <c r="P1374" s="26">
        <v>0.95625366999412797</v>
      </c>
      <c r="Q1374" s="26">
        <v>0.98652606912712404</v>
      </c>
      <c r="R1374" s="26">
        <v>0.95834889802017198</v>
      </c>
      <c r="S1374" s="28">
        <v>0.9</v>
      </c>
      <c r="T1374" s="26">
        <v>0.92021276595744705</v>
      </c>
      <c r="U1374" s="26">
        <v>0.94010569583088699</v>
      </c>
      <c r="V1374" s="26">
        <v>0.96192149970708896</v>
      </c>
      <c r="W1374" s="26">
        <v>0.93774125264599695</v>
      </c>
      <c r="X1374" s="28">
        <v>0.92</v>
      </c>
      <c r="Y1374" s="28">
        <v>0.95154639175257705</v>
      </c>
      <c r="Z1374" s="28">
        <v>0.973525313516024</v>
      </c>
      <c r="AA1374" s="28">
        <v>0.96759776536312803</v>
      </c>
      <c r="AB1374" s="28">
        <v>0.96325414459066805</v>
      </c>
      <c r="AC1374" s="28">
        <v>0.92</v>
      </c>
      <c r="AD1374" s="26">
        <v>0.99906103286384995</v>
      </c>
      <c r="AE1374" s="26">
        <v>0.99571275455519803</v>
      </c>
      <c r="AF1374" s="26">
        <v>0.99868334430546402</v>
      </c>
      <c r="AG1374" s="26">
        <v>0.99868008579442302</v>
      </c>
      <c r="AH1374" s="28">
        <v>0.92</v>
      </c>
      <c r="AI1374" s="26">
        <v>0.96698113207547198</v>
      </c>
      <c r="AJ1374" s="26">
        <v>0.98075193380104297</v>
      </c>
      <c r="AK1374" s="26">
        <v>0.98084072061767202</v>
      </c>
      <c r="AL1374" s="26">
        <v>0.97485953032704198</v>
      </c>
      <c r="AM1374" s="25">
        <v>0.99</v>
      </c>
      <c r="AN1374" s="30">
        <v>1</v>
      </c>
      <c r="AO1374" s="30">
        <v>1</v>
      </c>
      <c r="AP1374" s="30">
        <v>1</v>
      </c>
      <c r="AQ1374" s="30">
        <v>1</v>
      </c>
      <c r="AR1374" s="50">
        <v>7.2186152540827803E-2</v>
      </c>
      <c r="AS1374" s="34">
        <v>-4.7619047619047603E-2</v>
      </c>
      <c r="AT1374" s="34">
        <v>0</v>
      </c>
      <c r="AU1374" s="34">
        <v>0.17647058823529399</v>
      </c>
      <c r="AV1374" s="34">
        <v>4.3859649122807001E-2</v>
      </c>
      <c r="AW1374" s="10"/>
      <c r="AX1374" s="8"/>
    </row>
    <row r="1375" spans="1:50">
      <c r="A1375" s="7"/>
      <c r="B1375" s="10"/>
      <c r="C1375" s="45" t="s">
        <v>1100</v>
      </c>
      <c r="D1375" s="23" t="s">
        <v>25</v>
      </c>
      <c r="E1375" s="83" t="s">
        <v>1419</v>
      </c>
      <c r="F1375" s="83" t="s">
        <v>1419</v>
      </c>
      <c r="G1375" s="83" t="s">
        <v>1419</v>
      </c>
      <c r="H1375" s="83" t="s">
        <v>1419</v>
      </c>
      <c r="I1375" s="25">
        <v>0.9</v>
      </c>
      <c r="J1375" s="26">
        <v>1</v>
      </c>
      <c r="K1375" s="26">
        <v>1</v>
      </c>
      <c r="L1375" s="27">
        <v>0.94444444444444398</v>
      </c>
      <c r="M1375" s="26">
        <v>0.98181818181818203</v>
      </c>
      <c r="N1375" s="28">
        <v>0.9</v>
      </c>
      <c r="O1375" s="26">
        <v>0.98722259583053096</v>
      </c>
      <c r="P1375" s="26">
        <v>0.98705501618123004</v>
      </c>
      <c r="Q1375" s="26">
        <v>0.98911564625850301</v>
      </c>
      <c r="R1375" s="26">
        <v>0.98829908675799105</v>
      </c>
      <c r="S1375" s="28">
        <v>0.9</v>
      </c>
      <c r="T1375" s="26">
        <v>0.89441829186281097</v>
      </c>
      <c r="U1375" s="26">
        <v>0.940453074433657</v>
      </c>
      <c r="V1375" s="26">
        <v>0.91428571428571404</v>
      </c>
      <c r="W1375" s="26">
        <v>0.91837899543378998</v>
      </c>
      <c r="X1375" s="28">
        <v>0.92</v>
      </c>
      <c r="Y1375" s="28">
        <v>0.92735042735042705</v>
      </c>
      <c r="Z1375" s="28">
        <v>0.96004700352526395</v>
      </c>
      <c r="AA1375" s="28">
        <v>0.94708994708994698</v>
      </c>
      <c r="AB1375" s="28">
        <v>0.94815978456014405</v>
      </c>
      <c r="AC1375" s="28">
        <v>0.92</v>
      </c>
      <c r="AD1375" s="26">
        <v>0.99848714069591504</v>
      </c>
      <c r="AE1375" s="26">
        <v>0.99579242636746101</v>
      </c>
      <c r="AF1375" s="26">
        <v>0.99834710743801702</v>
      </c>
      <c r="AG1375" s="26">
        <v>0.99755650580329902</v>
      </c>
      <c r="AH1375" s="28">
        <v>0.92</v>
      </c>
      <c r="AI1375" s="26">
        <v>0.95797167656464099</v>
      </c>
      <c r="AJ1375" s="26">
        <v>0.97579298831385597</v>
      </c>
      <c r="AK1375" s="26">
        <v>0.95841716968477497</v>
      </c>
      <c r="AL1375" s="26">
        <v>0.96638874413757203</v>
      </c>
      <c r="AM1375" s="25">
        <v>0.99</v>
      </c>
      <c r="AN1375" s="30">
        <v>1</v>
      </c>
      <c r="AO1375" s="30">
        <v>1</v>
      </c>
      <c r="AP1375" s="30">
        <v>1</v>
      </c>
      <c r="AQ1375" s="30">
        <v>1</v>
      </c>
      <c r="AR1375" s="50">
        <v>7.2186152540827803E-2</v>
      </c>
      <c r="AS1375" s="34">
        <v>0.11764705882352899</v>
      </c>
      <c r="AT1375" s="34">
        <v>0</v>
      </c>
      <c r="AU1375" s="34">
        <v>0.14285714285714299</v>
      </c>
      <c r="AV1375" s="34">
        <v>7.69230769230769E-2</v>
      </c>
      <c r="AW1375" s="10"/>
      <c r="AX1375" s="8"/>
    </row>
    <row r="1376" spans="1:50">
      <c r="A1376" s="7"/>
      <c r="B1376" s="10"/>
      <c r="C1376" s="45" t="s">
        <v>1100</v>
      </c>
      <c r="D1376" s="23" t="s">
        <v>25</v>
      </c>
      <c r="E1376" s="83" t="s">
        <v>1420</v>
      </c>
      <c r="F1376" s="83" t="s">
        <v>1420</v>
      </c>
      <c r="G1376" s="83" t="s">
        <v>1420</v>
      </c>
      <c r="H1376" s="83" t="s">
        <v>1420</v>
      </c>
      <c r="I1376" s="25">
        <v>0.9</v>
      </c>
      <c r="J1376" s="26">
        <v>0.95652173913043503</v>
      </c>
      <c r="K1376" s="26">
        <v>1</v>
      </c>
      <c r="L1376" s="27">
        <v>0.92307692307692302</v>
      </c>
      <c r="M1376" s="26">
        <v>0.95769230769230795</v>
      </c>
      <c r="N1376" s="28">
        <v>0.9</v>
      </c>
      <c r="O1376" s="26">
        <v>0.91963015647226198</v>
      </c>
      <c r="P1376" s="26">
        <v>0.98085053469286199</v>
      </c>
      <c r="Q1376" s="26">
        <v>0.99188640973630804</v>
      </c>
      <c r="R1376" s="26">
        <v>0.96300156331422604</v>
      </c>
      <c r="S1376" s="28">
        <v>0.9</v>
      </c>
      <c r="T1376" s="26">
        <v>0.84969179706021802</v>
      </c>
      <c r="U1376" s="26">
        <v>0.84630688883362304</v>
      </c>
      <c r="V1376" s="26">
        <v>0.90344827586206899</v>
      </c>
      <c r="W1376" s="26">
        <v>0.88142498460372398</v>
      </c>
      <c r="X1376" s="28">
        <v>0.92</v>
      </c>
      <c r="Y1376" s="28">
        <v>0</v>
      </c>
      <c r="Z1376" s="28">
        <v>0</v>
      </c>
      <c r="AA1376" s="28">
        <v>0</v>
      </c>
      <c r="AB1376" s="28">
        <v>0</v>
      </c>
      <c r="AC1376" s="28">
        <v>0.92</v>
      </c>
      <c r="AD1376" s="26">
        <v>1</v>
      </c>
      <c r="AE1376" s="26">
        <v>1</v>
      </c>
      <c r="AF1376" s="26">
        <v>1</v>
      </c>
      <c r="AG1376" s="26">
        <v>1</v>
      </c>
      <c r="AH1376" s="28">
        <v>0.92</v>
      </c>
      <c r="AI1376" s="26">
        <v>0.96635071090047397</v>
      </c>
      <c r="AJ1376" s="26">
        <v>0.96592887341457301</v>
      </c>
      <c r="AK1376" s="26">
        <v>0.96267748478701798</v>
      </c>
      <c r="AL1376" s="26">
        <v>0.96722088010989504</v>
      </c>
      <c r="AM1376" s="25">
        <v>0.99</v>
      </c>
      <c r="AN1376" s="30">
        <v>1</v>
      </c>
      <c r="AO1376" s="30">
        <v>1</v>
      </c>
      <c r="AP1376" s="30">
        <v>1</v>
      </c>
      <c r="AQ1376" s="30">
        <v>1</v>
      </c>
      <c r="AR1376" s="50">
        <v>7.2186152540827803E-2</v>
      </c>
      <c r="AS1376" s="34">
        <v>0</v>
      </c>
      <c r="AT1376" s="34">
        <v>-0.14285714285714299</v>
      </c>
      <c r="AU1376" s="34">
        <v>0.125</v>
      </c>
      <c r="AV1376" s="34">
        <v>3.6363636363636397E-2</v>
      </c>
      <c r="AW1376" s="10"/>
      <c r="AX1376" s="8"/>
    </row>
    <row r="1377" spans="1:50">
      <c r="A1377" s="7"/>
      <c r="B1377" s="10"/>
      <c r="C1377" s="45" t="s">
        <v>1100</v>
      </c>
      <c r="D1377" s="23" t="s">
        <v>25</v>
      </c>
      <c r="E1377" s="83" t="s">
        <v>1421</v>
      </c>
      <c r="F1377" s="83" t="s">
        <v>1421</v>
      </c>
      <c r="G1377" s="83" t="s">
        <v>1421</v>
      </c>
      <c r="H1377" s="83" t="s">
        <v>1421</v>
      </c>
      <c r="I1377" s="25">
        <v>0.9</v>
      </c>
      <c r="J1377" s="26">
        <v>1</v>
      </c>
      <c r="K1377" s="26">
        <v>0.97619047619047605</v>
      </c>
      <c r="L1377" s="27">
        <v>0.96969696969696995</v>
      </c>
      <c r="M1377" s="26">
        <v>0.96860986547085204</v>
      </c>
      <c r="N1377" s="28">
        <v>0.9</v>
      </c>
      <c r="O1377" s="26">
        <v>0.99256812551610196</v>
      </c>
      <c r="P1377" s="26">
        <v>0.98253089049850895</v>
      </c>
      <c r="Q1377" s="26">
        <v>0.99081035923141203</v>
      </c>
      <c r="R1377" s="26">
        <v>0.98637123010639205</v>
      </c>
      <c r="S1377" s="28">
        <v>0.9</v>
      </c>
      <c r="T1377" s="26">
        <v>0.83649876135425305</v>
      </c>
      <c r="U1377" s="26">
        <v>0.81593523647209198</v>
      </c>
      <c r="V1377" s="26">
        <v>0.87134502923976598</v>
      </c>
      <c r="W1377" s="26">
        <v>0.87487909962191202</v>
      </c>
      <c r="X1377" s="28">
        <v>0.92</v>
      </c>
      <c r="Y1377" s="28">
        <v>0.96255506607929497</v>
      </c>
      <c r="Z1377" s="28">
        <v>0.96629213483146104</v>
      </c>
      <c r="AA1377" s="28">
        <v>0.95421095666394096</v>
      </c>
      <c r="AB1377" s="28">
        <v>0.95625557964545305</v>
      </c>
      <c r="AC1377" s="28">
        <v>0.92</v>
      </c>
      <c r="AD1377" s="26">
        <v>1</v>
      </c>
      <c r="AE1377" s="26">
        <v>1</v>
      </c>
      <c r="AF1377" s="26">
        <v>0.99919224555735098</v>
      </c>
      <c r="AG1377" s="26">
        <v>0.99981728485291399</v>
      </c>
      <c r="AH1377" s="28">
        <v>0.92</v>
      </c>
      <c r="AI1377" s="26">
        <v>0.96643763213530698</v>
      </c>
      <c r="AJ1377" s="26">
        <v>0.975338106603023</v>
      </c>
      <c r="AK1377" s="26">
        <v>0.96115702479338805</v>
      </c>
      <c r="AL1377" s="26">
        <v>0.96726345373165401</v>
      </c>
      <c r="AM1377" s="25">
        <v>0.99</v>
      </c>
      <c r="AN1377" s="30">
        <v>1</v>
      </c>
      <c r="AO1377" s="30">
        <v>1</v>
      </c>
      <c r="AP1377" s="30">
        <v>1</v>
      </c>
      <c r="AQ1377" s="30">
        <v>1</v>
      </c>
      <c r="AR1377" s="50">
        <v>7.2186152540827803E-2</v>
      </c>
      <c r="AS1377" s="34">
        <v>0</v>
      </c>
      <c r="AT1377" s="34">
        <v>0.11111111111111099</v>
      </c>
      <c r="AU1377" s="34">
        <v>0.25</v>
      </c>
      <c r="AV1377" s="34">
        <v>8.9285714285714302E-2</v>
      </c>
      <c r="AW1377" s="10"/>
      <c r="AX1377" s="8"/>
    </row>
    <row r="1378" spans="1:50">
      <c r="A1378" s="7"/>
      <c r="B1378" s="10"/>
      <c r="C1378" s="45" t="s">
        <v>1100</v>
      </c>
      <c r="D1378" s="23" t="s">
        <v>25</v>
      </c>
      <c r="E1378" s="83" t="s">
        <v>1422</v>
      </c>
      <c r="F1378" s="83" t="s">
        <v>1422</v>
      </c>
      <c r="G1378" s="83" t="s">
        <v>1422</v>
      </c>
      <c r="H1378" s="83" t="s">
        <v>1422</v>
      </c>
      <c r="I1378" s="25">
        <v>0.9</v>
      </c>
      <c r="J1378" s="26">
        <v>0.94545454545454499</v>
      </c>
      <c r="K1378" s="26">
        <v>1</v>
      </c>
      <c r="L1378" s="27">
        <v>0.95652173913043503</v>
      </c>
      <c r="M1378" s="26">
        <v>0.92666666666666697</v>
      </c>
      <c r="N1378" s="28">
        <v>0.9</v>
      </c>
      <c r="O1378" s="26">
        <v>0.88766913454174101</v>
      </c>
      <c r="P1378" s="26">
        <v>0.92344213649851603</v>
      </c>
      <c r="Q1378" s="26">
        <v>0.91815117958594095</v>
      </c>
      <c r="R1378" s="26">
        <v>0.89836650800519302</v>
      </c>
      <c r="S1378" s="28">
        <v>0.9</v>
      </c>
      <c r="T1378" s="26">
        <v>0.88256318611182005</v>
      </c>
      <c r="U1378" s="26">
        <v>0.89584569732937702</v>
      </c>
      <c r="V1378" s="26">
        <v>0.86037554164660601</v>
      </c>
      <c r="W1378" s="26">
        <v>0.87813717005625302</v>
      </c>
      <c r="X1378" s="28">
        <v>0.92</v>
      </c>
      <c r="Y1378" s="28">
        <v>0</v>
      </c>
      <c r="Z1378" s="28">
        <v>0</v>
      </c>
      <c r="AA1378" s="28">
        <v>0</v>
      </c>
      <c r="AB1378" s="28">
        <v>0</v>
      </c>
      <c r="AC1378" s="28">
        <v>0.92</v>
      </c>
      <c r="AD1378" s="26">
        <v>1</v>
      </c>
      <c r="AE1378" s="26">
        <v>0.99120879120879102</v>
      </c>
      <c r="AF1378" s="26">
        <v>0.99608610567514699</v>
      </c>
      <c r="AG1378" s="26">
        <v>0.99632802937576503</v>
      </c>
      <c r="AH1378" s="28">
        <v>0.92</v>
      </c>
      <c r="AI1378" s="26">
        <v>0.95714285714285696</v>
      </c>
      <c r="AJ1378" s="26">
        <v>0.948383269059626</v>
      </c>
      <c r="AK1378" s="26">
        <v>0.94703899855560902</v>
      </c>
      <c r="AL1378" s="26">
        <v>0.94494916720744104</v>
      </c>
      <c r="AM1378" s="25">
        <v>0.99</v>
      </c>
      <c r="AN1378" s="30">
        <v>1</v>
      </c>
      <c r="AO1378" s="30">
        <v>1</v>
      </c>
      <c r="AP1378" s="30">
        <v>1</v>
      </c>
      <c r="AQ1378" s="30">
        <v>1</v>
      </c>
      <c r="AR1378" s="50">
        <v>7.2186152540827803E-2</v>
      </c>
      <c r="AS1378" s="34">
        <v>0</v>
      </c>
      <c r="AT1378" s="34">
        <v>0</v>
      </c>
      <c r="AU1378" s="34">
        <v>0.2</v>
      </c>
      <c r="AV1378" s="34">
        <v>3.5714285714285698E-2</v>
      </c>
      <c r="AW1378" s="10"/>
      <c r="AX1378" s="8"/>
    </row>
    <row r="1379" spans="1:50">
      <c r="A1379" s="7"/>
      <c r="B1379" s="10"/>
      <c r="C1379" s="45" t="s">
        <v>1100</v>
      </c>
      <c r="D1379" s="23" t="s">
        <v>25</v>
      </c>
      <c r="E1379" s="83" t="s">
        <v>1423</v>
      </c>
      <c r="F1379" s="83" t="s">
        <v>1423</v>
      </c>
      <c r="G1379" s="83" t="s">
        <v>1423</v>
      </c>
      <c r="H1379" s="83" t="s">
        <v>1423</v>
      </c>
      <c r="I1379" s="25">
        <v>0.9</v>
      </c>
      <c r="J1379" s="26">
        <v>0.97435897435897401</v>
      </c>
      <c r="K1379" s="26">
        <v>1</v>
      </c>
      <c r="L1379" s="27">
        <v>0.94444444444444398</v>
      </c>
      <c r="M1379" s="26">
        <v>0.95670995670995695</v>
      </c>
      <c r="N1379" s="28">
        <v>0.9</v>
      </c>
      <c r="O1379" s="26">
        <v>0.931310818546079</v>
      </c>
      <c r="P1379" s="26">
        <v>0.930369909853901</v>
      </c>
      <c r="Q1379" s="26">
        <v>0.96153846153846201</v>
      </c>
      <c r="R1379" s="26">
        <v>0.94211808374898498</v>
      </c>
      <c r="S1379" s="28">
        <v>0.9</v>
      </c>
      <c r="T1379" s="26">
        <v>0.87893531768746402</v>
      </c>
      <c r="U1379" s="26">
        <v>0.90767796083307395</v>
      </c>
      <c r="V1379" s="26">
        <v>0.89838556505223199</v>
      </c>
      <c r="W1379" s="26">
        <v>0.89792367474770896</v>
      </c>
      <c r="X1379" s="28">
        <v>0.92</v>
      </c>
      <c r="Y1379" s="28">
        <v>0</v>
      </c>
      <c r="Z1379" s="28">
        <v>0</v>
      </c>
      <c r="AA1379" s="28">
        <v>0</v>
      </c>
      <c r="AB1379" s="28">
        <v>0</v>
      </c>
      <c r="AC1379" s="28">
        <v>0.92</v>
      </c>
      <c r="AD1379" s="26">
        <v>0.995391705069124</v>
      </c>
      <c r="AE1379" s="26">
        <v>0.99545454545454504</v>
      </c>
      <c r="AF1379" s="26">
        <v>0.99348534201954397</v>
      </c>
      <c r="AG1379" s="26">
        <v>0.99668325041459405</v>
      </c>
      <c r="AH1379" s="28">
        <v>0.92</v>
      </c>
      <c r="AI1379" s="26">
        <v>0.94676588437321096</v>
      </c>
      <c r="AJ1379" s="26">
        <v>0.94751552795031102</v>
      </c>
      <c r="AK1379" s="26">
        <v>0.95491219743711397</v>
      </c>
      <c r="AL1379" s="26">
        <v>0.95506204337237599</v>
      </c>
      <c r="AM1379" s="25">
        <v>0.99</v>
      </c>
      <c r="AN1379" s="30">
        <v>1</v>
      </c>
      <c r="AO1379" s="30">
        <v>1</v>
      </c>
      <c r="AP1379" s="30">
        <v>1</v>
      </c>
      <c r="AQ1379" s="30">
        <v>1</v>
      </c>
      <c r="AR1379" s="50">
        <v>7.2186152540827803E-2</v>
      </c>
      <c r="AS1379" s="34">
        <v>0.11111111111111099</v>
      </c>
      <c r="AT1379" s="34">
        <v>0.125</v>
      </c>
      <c r="AU1379" s="34">
        <v>0</v>
      </c>
      <c r="AV1379" s="34">
        <v>0.06</v>
      </c>
      <c r="AW1379" s="10"/>
      <c r="AX1379" s="8"/>
    </row>
    <row r="1380" spans="1:50">
      <c r="A1380" s="7"/>
      <c r="B1380" s="10"/>
      <c r="C1380" s="45" t="s">
        <v>1100</v>
      </c>
      <c r="D1380" s="23" t="s">
        <v>25</v>
      </c>
      <c r="E1380" s="83" t="s">
        <v>1424</v>
      </c>
      <c r="F1380" s="83" t="s">
        <v>1424</v>
      </c>
      <c r="G1380" s="83" t="s">
        <v>1424</v>
      </c>
      <c r="H1380" s="83" t="s">
        <v>1424</v>
      </c>
      <c r="I1380" s="25">
        <v>0.9</v>
      </c>
      <c r="J1380" s="26">
        <v>0.94444444444444398</v>
      </c>
      <c r="K1380" s="26">
        <v>1</v>
      </c>
      <c r="L1380" s="27">
        <v>1</v>
      </c>
      <c r="M1380" s="26">
        <v>0.98963730569948205</v>
      </c>
      <c r="N1380" s="28">
        <v>0.9</v>
      </c>
      <c r="O1380" s="26">
        <v>0.88857938718662999</v>
      </c>
      <c r="P1380" s="26">
        <v>0.988208319685555</v>
      </c>
      <c r="Q1380" s="26">
        <v>0.99050783103939299</v>
      </c>
      <c r="R1380" s="26">
        <v>0.96354424122590199</v>
      </c>
      <c r="S1380" s="28">
        <v>0.9</v>
      </c>
      <c r="T1380" s="26">
        <v>0.84370164035902195</v>
      </c>
      <c r="U1380" s="26">
        <v>0.84867343596462497</v>
      </c>
      <c r="V1380" s="26">
        <v>0.90555291884195499</v>
      </c>
      <c r="W1380" s="26">
        <v>0.88222936233316895</v>
      </c>
      <c r="X1380" s="28">
        <v>0.92</v>
      </c>
      <c r="Y1380" s="28">
        <v>0</v>
      </c>
      <c r="Z1380" s="28">
        <v>0</v>
      </c>
      <c r="AA1380" s="28">
        <v>0</v>
      </c>
      <c r="AB1380" s="28">
        <v>0</v>
      </c>
      <c r="AC1380" s="28">
        <v>0.92</v>
      </c>
      <c r="AD1380" s="26">
        <v>1</v>
      </c>
      <c r="AE1380" s="26">
        <v>1</v>
      </c>
      <c r="AF1380" s="26">
        <v>1</v>
      </c>
      <c r="AG1380" s="26">
        <v>0.99638989169675096</v>
      </c>
      <c r="AH1380" s="28">
        <v>0.92</v>
      </c>
      <c r="AI1380" s="26">
        <v>0.96533580934695096</v>
      </c>
      <c r="AJ1380" s="26">
        <v>0.97870946609891896</v>
      </c>
      <c r="AK1380" s="26">
        <v>0.97104888467014705</v>
      </c>
      <c r="AL1380" s="26">
        <v>0.97225654967869501</v>
      </c>
      <c r="AM1380" s="25">
        <v>0.99</v>
      </c>
      <c r="AN1380" s="30">
        <v>0</v>
      </c>
      <c r="AO1380" s="30">
        <v>1</v>
      </c>
      <c r="AP1380" s="30">
        <v>1</v>
      </c>
      <c r="AQ1380" s="30">
        <v>1</v>
      </c>
      <c r="AR1380" s="50">
        <v>7.2186152540827803E-2</v>
      </c>
      <c r="AS1380" s="34">
        <v>0.125</v>
      </c>
      <c r="AT1380" s="34">
        <v>8.3333333333333301E-2</v>
      </c>
      <c r="AU1380" s="34">
        <v>0.14285714285714299</v>
      </c>
      <c r="AV1380" s="34">
        <v>0.1</v>
      </c>
      <c r="AW1380" s="10"/>
      <c r="AX1380" s="8"/>
    </row>
    <row r="1381" spans="1:50">
      <c r="A1381" s="7"/>
      <c r="B1381" s="10"/>
      <c r="C1381" s="45" t="s">
        <v>1100</v>
      </c>
      <c r="D1381" s="23" t="s">
        <v>25</v>
      </c>
      <c r="E1381" s="83" t="s">
        <v>1425</v>
      </c>
      <c r="F1381" s="83" t="s">
        <v>1425</v>
      </c>
      <c r="G1381" s="83" t="s">
        <v>1425</v>
      </c>
      <c r="H1381" s="83" t="s">
        <v>1425</v>
      </c>
      <c r="I1381" s="25">
        <v>0.9</v>
      </c>
      <c r="J1381" s="26">
        <v>1</v>
      </c>
      <c r="K1381" s="26">
        <v>1</v>
      </c>
      <c r="L1381" s="27">
        <v>1</v>
      </c>
      <c r="M1381" s="26">
        <v>1</v>
      </c>
      <c r="N1381" s="28">
        <v>0.9</v>
      </c>
      <c r="O1381" s="26">
        <v>0.971537001897533</v>
      </c>
      <c r="P1381" s="26">
        <v>0.97742818057455505</v>
      </c>
      <c r="Q1381" s="26">
        <v>0.97933409873708399</v>
      </c>
      <c r="R1381" s="26">
        <v>0.97719345317950101</v>
      </c>
      <c r="S1381" s="28">
        <v>0.9</v>
      </c>
      <c r="T1381" s="26">
        <v>0.94686907020872901</v>
      </c>
      <c r="U1381" s="26">
        <v>0.94938440492476095</v>
      </c>
      <c r="V1381" s="26">
        <v>0.94718714121699199</v>
      </c>
      <c r="W1381" s="26">
        <v>0.95143547088811398</v>
      </c>
      <c r="X1381" s="28">
        <v>0.92</v>
      </c>
      <c r="Y1381" s="28">
        <v>0.95744680851063801</v>
      </c>
      <c r="Z1381" s="28">
        <v>0.96479400749063704</v>
      </c>
      <c r="AA1381" s="28">
        <v>0.97445972495088395</v>
      </c>
      <c r="AB1381" s="28">
        <v>0.96509652509652499</v>
      </c>
      <c r="AC1381" s="28">
        <v>0.92</v>
      </c>
      <c r="AD1381" s="26">
        <v>0.98989898989898994</v>
      </c>
      <c r="AE1381" s="26">
        <v>1</v>
      </c>
      <c r="AF1381" s="26">
        <v>1</v>
      </c>
      <c r="AG1381" s="26">
        <v>0.99864925709139996</v>
      </c>
      <c r="AH1381" s="28">
        <v>0.92</v>
      </c>
      <c r="AI1381" s="26">
        <v>0.97210994341147905</v>
      </c>
      <c r="AJ1381" s="26">
        <v>0.97819091884161602</v>
      </c>
      <c r="AK1381" s="26">
        <v>0.97882477501323495</v>
      </c>
      <c r="AL1381" s="26">
        <v>0.97803144518630203</v>
      </c>
      <c r="AM1381" s="25">
        <v>0.99</v>
      </c>
      <c r="AN1381" s="30">
        <v>1</v>
      </c>
      <c r="AO1381" s="30">
        <v>1</v>
      </c>
      <c r="AP1381" s="30">
        <v>1</v>
      </c>
      <c r="AQ1381" s="30">
        <v>1</v>
      </c>
      <c r="AR1381" s="50">
        <v>7.2186152540827803E-2</v>
      </c>
      <c r="AS1381" s="34">
        <v>0</v>
      </c>
      <c r="AT1381" s="34">
        <v>0</v>
      </c>
      <c r="AU1381" s="34">
        <v>0</v>
      </c>
      <c r="AV1381" s="34">
        <v>0</v>
      </c>
      <c r="AW1381" s="10"/>
      <c r="AX1381" s="8"/>
    </row>
    <row r="1382" spans="1:50">
      <c r="A1382" s="7"/>
      <c r="B1382" s="10"/>
      <c r="C1382" s="45" t="s">
        <v>1100</v>
      </c>
      <c r="D1382" s="23" t="s">
        <v>25</v>
      </c>
      <c r="E1382" s="83" t="s">
        <v>1426</v>
      </c>
      <c r="F1382" s="83" t="s">
        <v>1426</v>
      </c>
      <c r="G1382" s="83" t="s">
        <v>1426</v>
      </c>
      <c r="H1382" s="83" t="s">
        <v>1426</v>
      </c>
      <c r="I1382" s="25">
        <v>0.9</v>
      </c>
      <c r="J1382" s="26">
        <v>1</v>
      </c>
      <c r="K1382" s="26">
        <v>0.88888888888888895</v>
      </c>
      <c r="L1382" s="27">
        <v>0.93333333333333302</v>
      </c>
      <c r="M1382" s="26">
        <v>0.96969696969696995</v>
      </c>
      <c r="N1382" s="28">
        <v>0.9</v>
      </c>
      <c r="O1382" s="26">
        <v>0.98033431661750203</v>
      </c>
      <c r="P1382" s="26">
        <v>0.98328690807799402</v>
      </c>
      <c r="Q1382" s="26">
        <v>0.98492462311557805</v>
      </c>
      <c r="R1382" s="26">
        <v>0.94134078212290495</v>
      </c>
      <c r="S1382" s="28">
        <v>0.9</v>
      </c>
      <c r="T1382" s="26">
        <v>0.95083579154375597</v>
      </c>
      <c r="U1382" s="26">
        <v>0.93779015784586806</v>
      </c>
      <c r="V1382" s="26">
        <v>0.94304857621440497</v>
      </c>
      <c r="W1382" s="26">
        <v>0.90881883479648795</v>
      </c>
      <c r="X1382" s="28">
        <v>0.92</v>
      </c>
      <c r="Y1382" s="28">
        <v>0.94678899082568801</v>
      </c>
      <c r="Z1382" s="28">
        <v>0.96833130328867201</v>
      </c>
      <c r="AA1382" s="28">
        <v>0.96599496221662495</v>
      </c>
      <c r="AB1382" s="28">
        <v>0.96417019158994799</v>
      </c>
      <c r="AC1382" s="28">
        <v>0.92</v>
      </c>
      <c r="AD1382" s="26">
        <v>1</v>
      </c>
      <c r="AE1382" s="26">
        <v>1</v>
      </c>
      <c r="AF1382" s="26">
        <v>1</v>
      </c>
      <c r="AG1382" s="26">
        <v>1</v>
      </c>
      <c r="AH1382" s="28">
        <v>0.92</v>
      </c>
      <c r="AI1382" s="26">
        <v>0.96798975672215104</v>
      </c>
      <c r="AJ1382" s="26">
        <v>0.97734457323498403</v>
      </c>
      <c r="AK1382" s="26">
        <v>0.975557153127247</v>
      </c>
      <c r="AL1382" s="26">
        <v>0.975528734359429</v>
      </c>
      <c r="AM1382" s="25">
        <v>0.99</v>
      </c>
      <c r="AN1382" s="30">
        <v>1</v>
      </c>
      <c r="AO1382" s="30">
        <v>1</v>
      </c>
      <c r="AP1382" s="30">
        <v>1</v>
      </c>
      <c r="AQ1382" s="30">
        <v>1</v>
      </c>
      <c r="AR1382" s="50">
        <v>7.2186152540827803E-2</v>
      </c>
      <c r="AS1382" s="34">
        <v>0</v>
      </c>
      <c r="AT1382" s="34">
        <v>0</v>
      </c>
      <c r="AU1382" s="34">
        <v>0</v>
      </c>
      <c r="AV1382" s="34">
        <v>0</v>
      </c>
      <c r="AW1382" s="10"/>
      <c r="AX1382" s="8"/>
    </row>
    <row r="1383" spans="1:50">
      <c r="A1383" s="7"/>
      <c r="B1383" s="10"/>
      <c r="C1383" s="45" t="s">
        <v>1100</v>
      </c>
      <c r="D1383" s="23" t="s">
        <v>25</v>
      </c>
      <c r="E1383" s="83" t="s">
        <v>1427</v>
      </c>
      <c r="F1383" s="83" t="s">
        <v>1427</v>
      </c>
      <c r="G1383" s="83" t="s">
        <v>1427</v>
      </c>
      <c r="H1383" s="83" t="s">
        <v>1427</v>
      </c>
      <c r="I1383" s="25">
        <v>0.9</v>
      </c>
      <c r="J1383" s="26">
        <v>0.952380952380952</v>
      </c>
      <c r="K1383" s="26">
        <v>0.95744680851063801</v>
      </c>
      <c r="L1383" s="27">
        <v>1</v>
      </c>
      <c r="M1383" s="26">
        <v>0.95867768595041303</v>
      </c>
      <c r="N1383" s="28">
        <v>0.9</v>
      </c>
      <c r="O1383" s="26">
        <v>0.90473933649289096</v>
      </c>
      <c r="P1383" s="26">
        <v>0.93739100104638995</v>
      </c>
      <c r="Q1383" s="26">
        <v>0.94405594405594395</v>
      </c>
      <c r="R1383" s="26">
        <v>0.93833274754768803</v>
      </c>
      <c r="S1383" s="28">
        <v>0.9</v>
      </c>
      <c r="T1383" s="26">
        <v>0.86603475513428096</v>
      </c>
      <c r="U1383" s="26">
        <v>0.86187652598535103</v>
      </c>
      <c r="V1383" s="26">
        <v>0.90313390313390296</v>
      </c>
      <c r="W1383" s="26">
        <v>0.883183691727642</v>
      </c>
      <c r="X1383" s="28">
        <v>0.92</v>
      </c>
      <c r="Y1383" s="28">
        <v>0</v>
      </c>
      <c r="Z1383" s="28">
        <v>0</v>
      </c>
      <c r="AA1383" s="28">
        <v>0</v>
      </c>
      <c r="AB1383" s="28">
        <v>0</v>
      </c>
      <c r="AC1383" s="28">
        <v>0.92</v>
      </c>
      <c r="AD1383" s="26">
        <v>0.98518518518518505</v>
      </c>
      <c r="AE1383" s="26">
        <v>0.988826815642458</v>
      </c>
      <c r="AF1383" s="26">
        <v>0.98946752486834399</v>
      </c>
      <c r="AG1383" s="26">
        <v>0.98714585519412401</v>
      </c>
      <c r="AH1383" s="28">
        <v>0.92</v>
      </c>
      <c r="AI1383" s="26">
        <v>0.94994473393336498</v>
      </c>
      <c r="AJ1383" s="26">
        <v>0.96634112312521803</v>
      </c>
      <c r="AK1383" s="26">
        <v>0.95881895881895896</v>
      </c>
      <c r="AL1383" s="26">
        <v>0.96670926517571898</v>
      </c>
      <c r="AM1383" s="25">
        <v>0.99</v>
      </c>
      <c r="AN1383" s="30">
        <v>1</v>
      </c>
      <c r="AO1383" s="30">
        <v>1</v>
      </c>
      <c r="AP1383" s="30">
        <v>1</v>
      </c>
      <c r="AQ1383" s="30">
        <v>1</v>
      </c>
      <c r="AR1383" s="50">
        <v>7.2186152540827803E-2</v>
      </c>
      <c r="AS1383" s="34">
        <v>5.2631578947368397E-2</v>
      </c>
      <c r="AT1383" s="34">
        <v>0</v>
      </c>
      <c r="AU1383" s="34">
        <v>0.25</v>
      </c>
      <c r="AV1383" s="34">
        <v>3.4482758620689703E-2</v>
      </c>
      <c r="AW1383" s="10"/>
      <c r="AX1383" s="8"/>
    </row>
    <row r="1384" spans="1:50">
      <c r="A1384" s="7"/>
      <c r="B1384" s="10"/>
      <c r="C1384" s="45" t="s">
        <v>1100</v>
      </c>
      <c r="D1384" s="23" t="s">
        <v>25</v>
      </c>
      <c r="E1384" s="83" t="s">
        <v>1428</v>
      </c>
      <c r="F1384" s="83" t="s">
        <v>1428</v>
      </c>
      <c r="G1384" s="83" t="s">
        <v>1428</v>
      </c>
      <c r="H1384" s="83" t="s">
        <v>1428</v>
      </c>
      <c r="I1384" s="25">
        <v>0.9</v>
      </c>
      <c r="J1384" s="26">
        <v>0.92207792207792205</v>
      </c>
      <c r="K1384" s="26">
        <v>0.96052631578947401</v>
      </c>
      <c r="L1384" s="27">
        <v>0.96875</v>
      </c>
      <c r="M1384" s="26">
        <v>0.96428571428571397</v>
      </c>
      <c r="N1384" s="28">
        <v>0.9</v>
      </c>
      <c r="O1384" s="26">
        <v>0.98214285714285698</v>
      </c>
      <c r="P1384" s="26">
        <v>0.96907980003702998</v>
      </c>
      <c r="Q1384" s="26">
        <v>0.98723697826836798</v>
      </c>
      <c r="R1384" s="26">
        <v>0.97521539006255198</v>
      </c>
      <c r="S1384" s="28">
        <v>0.9</v>
      </c>
      <c r="T1384" s="26">
        <v>0.92204301075268802</v>
      </c>
      <c r="U1384" s="26">
        <v>0.91131271986669105</v>
      </c>
      <c r="V1384" s="26">
        <v>0.94618834080717495</v>
      </c>
      <c r="W1384" s="26">
        <v>0.92958023525709099</v>
      </c>
      <c r="X1384" s="28">
        <v>0.92</v>
      </c>
      <c r="Y1384" s="28">
        <v>0.94802494802494797</v>
      </c>
      <c r="Z1384" s="28">
        <v>0.95176470588235296</v>
      </c>
      <c r="AA1384" s="28">
        <v>0.953880764904387</v>
      </c>
      <c r="AB1384" s="28">
        <v>0.94509167772698199</v>
      </c>
      <c r="AC1384" s="28">
        <v>0.92</v>
      </c>
      <c r="AD1384" s="26">
        <v>0.99685393258427002</v>
      </c>
      <c r="AE1384" s="26">
        <v>0.99404761904761896</v>
      </c>
      <c r="AF1384" s="26">
        <v>0.99583911234396705</v>
      </c>
      <c r="AG1384" s="26">
        <v>0.99452075937644702</v>
      </c>
      <c r="AH1384" s="28">
        <v>0.92</v>
      </c>
      <c r="AI1384" s="26">
        <v>0.96614776377563605</v>
      </c>
      <c r="AJ1384" s="26">
        <v>0.96435971819312105</v>
      </c>
      <c r="AK1384" s="26">
        <v>0.96654275092936803</v>
      </c>
      <c r="AL1384" s="26">
        <v>0.96252512892229702</v>
      </c>
      <c r="AM1384" s="25">
        <v>0.99</v>
      </c>
      <c r="AN1384" s="30">
        <v>1</v>
      </c>
      <c r="AO1384" s="30">
        <v>1</v>
      </c>
      <c r="AP1384" s="30">
        <v>1</v>
      </c>
      <c r="AQ1384" s="30">
        <v>1</v>
      </c>
      <c r="AR1384" s="50">
        <v>7.2186152540827803E-2</v>
      </c>
      <c r="AS1384" s="34">
        <v>2.04081632653061E-2</v>
      </c>
      <c r="AT1384" s="34">
        <v>-1.72413793103448E-2</v>
      </c>
      <c r="AU1384" s="34">
        <v>4.5454545454545497E-2</v>
      </c>
      <c r="AV1384" s="34">
        <v>8.9552238805970207E-3</v>
      </c>
      <c r="AW1384" s="10"/>
      <c r="AX1384" s="8"/>
    </row>
    <row r="1385" spans="1:50">
      <c r="A1385" s="7"/>
      <c r="B1385" s="10"/>
      <c r="C1385" s="45" t="s">
        <v>1100</v>
      </c>
      <c r="D1385" s="23" t="s">
        <v>25</v>
      </c>
      <c r="E1385" s="83" t="s">
        <v>1429</v>
      </c>
      <c r="F1385" s="83" t="s">
        <v>1429</v>
      </c>
      <c r="G1385" s="83" t="s">
        <v>1429</v>
      </c>
      <c r="H1385" s="83" t="s">
        <v>1429</v>
      </c>
      <c r="I1385" s="25">
        <v>0.9</v>
      </c>
      <c r="J1385" s="26">
        <v>0.95081967213114704</v>
      </c>
      <c r="K1385" s="26">
        <v>0.94029850746268695</v>
      </c>
      <c r="L1385" s="27">
        <v>0.92063492063492103</v>
      </c>
      <c r="M1385" s="26">
        <v>0.930851063829787</v>
      </c>
      <c r="N1385" s="28">
        <v>0.9</v>
      </c>
      <c r="O1385" s="26">
        <v>0.76447801665698201</v>
      </c>
      <c r="P1385" s="26">
        <v>0.93441046355068302</v>
      </c>
      <c r="Q1385" s="26">
        <v>0.95492594977462997</v>
      </c>
      <c r="R1385" s="26">
        <v>0.871696936627952</v>
      </c>
      <c r="S1385" s="28">
        <v>0.9</v>
      </c>
      <c r="T1385" s="26">
        <v>0.79043191942669</v>
      </c>
      <c r="U1385" s="26">
        <v>0.82015772263896902</v>
      </c>
      <c r="V1385" s="26">
        <v>0.86670959433354799</v>
      </c>
      <c r="W1385" s="26">
        <v>0.81537921895705001</v>
      </c>
      <c r="X1385" s="28">
        <v>0.92</v>
      </c>
      <c r="Y1385" s="28">
        <v>0.895171149144254</v>
      </c>
      <c r="Z1385" s="28">
        <v>0.91343004211511503</v>
      </c>
      <c r="AA1385" s="28">
        <v>0.91305579156046401</v>
      </c>
      <c r="AB1385" s="28">
        <v>0.91084314010363698</v>
      </c>
      <c r="AC1385" s="28">
        <v>0.92</v>
      </c>
      <c r="AD1385" s="26">
        <v>0.99939722724532898</v>
      </c>
      <c r="AE1385" s="26">
        <v>0.98973165388827999</v>
      </c>
      <c r="AF1385" s="26">
        <v>0.99822048978900102</v>
      </c>
      <c r="AG1385" s="26">
        <v>0.99470674517973701</v>
      </c>
      <c r="AH1385" s="28">
        <v>0.92</v>
      </c>
      <c r="AI1385" s="26">
        <v>0.931594546532306</v>
      </c>
      <c r="AJ1385" s="26">
        <v>0.94282700421940902</v>
      </c>
      <c r="AK1385" s="26">
        <v>0.93537210003013005</v>
      </c>
      <c r="AL1385" s="26">
        <v>0.93969816697972697</v>
      </c>
      <c r="AM1385" s="25">
        <v>0.99</v>
      </c>
      <c r="AN1385" s="30">
        <v>1</v>
      </c>
      <c r="AO1385" s="30">
        <v>1</v>
      </c>
      <c r="AP1385" s="30">
        <v>1</v>
      </c>
      <c r="AQ1385" s="30">
        <v>1</v>
      </c>
      <c r="AR1385" s="50">
        <v>7.2186152540827803E-2</v>
      </c>
      <c r="AS1385" s="34">
        <v>9.6774193548387094E-2</v>
      </c>
      <c r="AT1385" s="34">
        <v>2.4390243902439001E-2</v>
      </c>
      <c r="AU1385" s="34">
        <v>0.1</v>
      </c>
      <c r="AV1385" s="34">
        <v>6.0975609756097601E-2</v>
      </c>
      <c r="AW1385" s="10"/>
      <c r="AX1385" s="8"/>
    </row>
    <row r="1386" spans="1:50">
      <c r="A1386" s="7"/>
      <c r="B1386" s="10"/>
      <c r="C1386" s="45" t="s">
        <v>1100</v>
      </c>
      <c r="D1386" s="23" t="s">
        <v>25</v>
      </c>
      <c r="E1386" s="83" t="s">
        <v>1430</v>
      </c>
      <c r="F1386" s="83" t="s">
        <v>1430</v>
      </c>
      <c r="G1386" s="83" t="s">
        <v>1430</v>
      </c>
      <c r="H1386" s="83" t="s">
        <v>1430</v>
      </c>
      <c r="I1386" s="25">
        <v>0.9</v>
      </c>
      <c r="J1386" s="26">
        <v>0.92156862745098</v>
      </c>
      <c r="K1386" s="26">
        <v>0.9</v>
      </c>
      <c r="L1386" s="27">
        <v>0.81818181818181801</v>
      </c>
      <c r="M1386" s="26">
        <v>0.88811188811188801</v>
      </c>
      <c r="N1386" s="28">
        <v>0.9</v>
      </c>
      <c r="O1386" s="26">
        <v>0.93428026287894805</v>
      </c>
      <c r="P1386" s="26">
        <v>0.94700984102952301</v>
      </c>
      <c r="Q1386" s="26">
        <v>0.947849257708413</v>
      </c>
      <c r="R1386" s="26">
        <v>0.93260412686282002</v>
      </c>
      <c r="S1386" s="28">
        <v>0.9</v>
      </c>
      <c r="T1386" s="26">
        <v>0.959508161967352</v>
      </c>
      <c r="U1386" s="26">
        <v>0.96416855917234401</v>
      </c>
      <c r="V1386" s="26">
        <v>0.96079177769318602</v>
      </c>
      <c r="W1386" s="26">
        <v>0.96303018723729505</v>
      </c>
      <c r="X1386" s="28">
        <v>0.92</v>
      </c>
      <c r="Y1386" s="28">
        <v>0.95050372317126597</v>
      </c>
      <c r="Z1386" s="28">
        <v>0.96887643946467505</v>
      </c>
      <c r="AA1386" s="28">
        <v>0.96755587599134796</v>
      </c>
      <c r="AB1386" s="28">
        <v>0.96266685205784197</v>
      </c>
      <c r="AC1386" s="28">
        <v>0.92</v>
      </c>
      <c r="AD1386" s="26">
        <v>0.99394550958627603</v>
      </c>
      <c r="AE1386" s="26">
        <v>0.97984224364592498</v>
      </c>
      <c r="AF1386" s="26">
        <v>0.99595609474292301</v>
      </c>
      <c r="AG1386" s="26">
        <v>0.99133730373578799</v>
      </c>
      <c r="AH1386" s="28">
        <v>0.92</v>
      </c>
      <c r="AI1386" s="26">
        <v>0.96957142857142897</v>
      </c>
      <c r="AJ1386" s="26">
        <v>0.97547380156075802</v>
      </c>
      <c r="AK1386" s="26">
        <v>0.97932752179327498</v>
      </c>
      <c r="AL1386" s="26">
        <v>0.97522860459190897</v>
      </c>
      <c r="AM1386" s="25">
        <v>0.99</v>
      </c>
      <c r="AN1386" s="30">
        <v>1</v>
      </c>
      <c r="AO1386" s="30">
        <v>1</v>
      </c>
      <c r="AP1386" s="30">
        <v>1</v>
      </c>
      <c r="AQ1386" s="30">
        <v>1</v>
      </c>
      <c r="AR1386" s="50">
        <v>7.2186152540827803E-2</v>
      </c>
      <c r="AS1386" s="34">
        <v>0</v>
      </c>
      <c r="AT1386" s="34">
        <v>0</v>
      </c>
      <c r="AU1386" s="34">
        <v>0</v>
      </c>
      <c r="AV1386" s="34">
        <v>9.6153846153846194E-3</v>
      </c>
      <c r="AW1386" s="10"/>
      <c r="AX1386" s="8"/>
    </row>
    <row r="1387" spans="1:50">
      <c r="A1387" s="7"/>
      <c r="B1387" s="10"/>
      <c r="C1387" s="45" t="s">
        <v>1100</v>
      </c>
      <c r="D1387" s="23" t="s">
        <v>25</v>
      </c>
      <c r="E1387" s="83" t="s">
        <v>1431</v>
      </c>
      <c r="F1387" s="83" t="s">
        <v>1431</v>
      </c>
      <c r="G1387" s="83" t="s">
        <v>1431</v>
      </c>
      <c r="H1387" s="83" t="s">
        <v>1431</v>
      </c>
      <c r="I1387" s="25">
        <v>0.9</v>
      </c>
      <c r="J1387" s="26">
        <v>1</v>
      </c>
      <c r="K1387" s="26">
        <v>1</v>
      </c>
      <c r="L1387" s="27">
        <v>1</v>
      </c>
      <c r="M1387" s="26">
        <v>0.98984771573604102</v>
      </c>
      <c r="N1387" s="28">
        <v>0.9</v>
      </c>
      <c r="O1387" s="26">
        <v>0.97248677248677295</v>
      </c>
      <c r="P1387" s="26">
        <v>0.989247311827957</v>
      </c>
      <c r="Q1387" s="26">
        <v>0.99180844360428499</v>
      </c>
      <c r="R1387" s="26">
        <v>0.98489219556635299</v>
      </c>
      <c r="S1387" s="28">
        <v>0.9</v>
      </c>
      <c r="T1387" s="26">
        <v>0.97037037037036999</v>
      </c>
      <c r="U1387" s="26">
        <v>0.97769812823576296</v>
      </c>
      <c r="V1387" s="26">
        <v>0.97038437303087599</v>
      </c>
      <c r="W1387" s="26">
        <v>0.97418767081688395</v>
      </c>
      <c r="X1387" s="28">
        <v>0.92</v>
      </c>
      <c r="Y1387" s="28">
        <v>0.97620764239365498</v>
      </c>
      <c r="Z1387" s="28">
        <v>0.98143115942029002</v>
      </c>
      <c r="AA1387" s="28">
        <v>0.97026431718061701</v>
      </c>
      <c r="AB1387" s="28">
        <v>0.97785087719298203</v>
      </c>
      <c r="AC1387" s="28">
        <v>0.92</v>
      </c>
      <c r="AD1387" s="26">
        <v>0.99301675977653603</v>
      </c>
      <c r="AE1387" s="26">
        <v>0.95978552278820395</v>
      </c>
      <c r="AF1387" s="26">
        <v>0.99677158999192905</v>
      </c>
      <c r="AG1387" s="26">
        <v>0.98180223635167696</v>
      </c>
      <c r="AH1387" s="28">
        <v>0.92</v>
      </c>
      <c r="AI1387" s="26">
        <v>0.98342018000947395</v>
      </c>
      <c r="AJ1387" s="26">
        <v>0.98728544183089595</v>
      </c>
      <c r="AK1387" s="26">
        <v>0.98076923076923095</v>
      </c>
      <c r="AL1387" s="26">
        <v>0.98524266618821199</v>
      </c>
      <c r="AM1387" s="25">
        <v>0.99</v>
      </c>
      <c r="AN1387" s="30">
        <v>1</v>
      </c>
      <c r="AO1387" s="30">
        <v>1</v>
      </c>
      <c r="AP1387" s="30">
        <v>1</v>
      </c>
      <c r="AQ1387" s="30">
        <v>1</v>
      </c>
      <c r="AR1387" s="50">
        <v>7.2186152540827803E-2</v>
      </c>
      <c r="AS1387" s="34">
        <v>0.14285714285714299</v>
      </c>
      <c r="AT1387" s="34">
        <v>0.125</v>
      </c>
      <c r="AU1387" s="34">
        <v>-8.3333333333333301E-2</v>
      </c>
      <c r="AV1387" s="34">
        <v>4.4444444444444398E-2</v>
      </c>
      <c r="AW1387" s="10"/>
      <c r="AX1387" s="8"/>
    </row>
    <row r="1388" spans="1:50">
      <c r="A1388" s="7"/>
      <c r="B1388" s="10"/>
      <c r="C1388" s="45" t="s">
        <v>1100</v>
      </c>
      <c r="D1388" s="23" t="s">
        <v>25</v>
      </c>
      <c r="E1388" s="83" t="s">
        <v>1432</v>
      </c>
      <c r="F1388" s="83" t="s">
        <v>1432</v>
      </c>
      <c r="G1388" s="83" t="s">
        <v>1432</v>
      </c>
      <c r="H1388" s="83" t="s">
        <v>1432</v>
      </c>
      <c r="I1388" s="25">
        <v>0.9</v>
      </c>
      <c r="J1388" s="26">
        <v>1</v>
      </c>
      <c r="K1388" s="26">
        <v>0.89473684210526305</v>
      </c>
      <c r="L1388" s="27">
        <v>0.91428571428571404</v>
      </c>
      <c r="M1388" s="26">
        <v>0.91071428571428603</v>
      </c>
      <c r="N1388" s="28">
        <v>0.9</v>
      </c>
      <c r="O1388" s="26">
        <v>0.98277798577311903</v>
      </c>
      <c r="P1388" s="26">
        <v>0.98449612403100795</v>
      </c>
      <c r="Q1388" s="26">
        <v>0.97817785051827599</v>
      </c>
      <c r="R1388" s="26">
        <v>0.98184233835252399</v>
      </c>
      <c r="S1388" s="28">
        <v>0.9</v>
      </c>
      <c r="T1388" s="26">
        <v>0.96031448895544702</v>
      </c>
      <c r="U1388" s="26">
        <v>0.94499815430047995</v>
      </c>
      <c r="V1388" s="26">
        <v>0.965630114566285</v>
      </c>
      <c r="W1388" s="26">
        <v>0.96176557425450204</v>
      </c>
      <c r="X1388" s="28">
        <v>0.92</v>
      </c>
      <c r="Y1388" s="28">
        <v>0.97865013774104703</v>
      </c>
      <c r="Z1388" s="28">
        <v>0.97302158273381301</v>
      </c>
      <c r="AA1388" s="28">
        <v>0.96304591265397499</v>
      </c>
      <c r="AB1388" s="28">
        <v>0.97390669032460098</v>
      </c>
      <c r="AC1388" s="28">
        <v>0.92</v>
      </c>
      <c r="AD1388" s="26">
        <v>0.99673202614379097</v>
      </c>
      <c r="AE1388" s="26">
        <v>0.99815498154981597</v>
      </c>
      <c r="AF1388" s="26">
        <v>0.99885321100917401</v>
      </c>
      <c r="AG1388" s="26">
        <v>0.96263677608753695</v>
      </c>
      <c r="AH1388" s="28">
        <v>0.92</v>
      </c>
      <c r="AI1388" s="26">
        <v>0.98520494785350499</v>
      </c>
      <c r="AJ1388" s="26">
        <v>0.97993107642408295</v>
      </c>
      <c r="AK1388" s="26">
        <v>0.977622890682318</v>
      </c>
      <c r="AL1388" s="26">
        <v>0.98266320795503703</v>
      </c>
      <c r="AM1388" s="25">
        <v>0.99</v>
      </c>
      <c r="AN1388" s="30">
        <v>1</v>
      </c>
      <c r="AO1388" s="30">
        <v>1</v>
      </c>
      <c r="AP1388" s="30">
        <v>1</v>
      </c>
      <c r="AQ1388" s="30">
        <v>1</v>
      </c>
      <c r="AR1388" s="50">
        <v>7.2186152540827803E-2</v>
      </c>
      <c r="AS1388" s="34">
        <v>0</v>
      </c>
      <c r="AT1388" s="34">
        <v>-0.16666666666666699</v>
      </c>
      <c r="AU1388" s="34">
        <v>0</v>
      </c>
      <c r="AV1388" s="34">
        <v>-5.5555555555555601E-2</v>
      </c>
      <c r="AW1388" s="10"/>
      <c r="AX1388" s="8"/>
    </row>
    <row r="1389" spans="1:50">
      <c r="A1389" s="7"/>
      <c r="B1389" s="10"/>
      <c r="C1389" s="45" t="s">
        <v>1100</v>
      </c>
      <c r="D1389" s="23" t="s">
        <v>25</v>
      </c>
      <c r="E1389" s="83" t="s">
        <v>1433</v>
      </c>
      <c r="F1389" s="83" t="s">
        <v>1433</v>
      </c>
      <c r="G1389" s="83" t="s">
        <v>1433</v>
      </c>
      <c r="H1389" s="83" t="s">
        <v>1433</v>
      </c>
      <c r="I1389" s="25">
        <v>0.9</v>
      </c>
      <c r="J1389" s="26">
        <v>0.967741935483871</v>
      </c>
      <c r="K1389" s="26">
        <v>0.93548387096774199</v>
      </c>
      <c r="L1389" s="27">
        <v>0.96428571428571397</v>
      </c>
      <c r="M1389" s="26">
        <v>0.92857142857142905</v>
      </c>
      <c r="N1389" s="28">
        <v>0.9</v>
      </c>
      <c r="O1389" s="26">
        <v>0.96524559777571795</v>
      </c>
      <c r="P1389" s="26">
        <v>0.96527777777777801</v>
      </c>
      <c r="Q1389" s="26">
        <v>0.97066014669926604</v>
      </c>
      <c r="R1389" s="26">
        <v>0.96409548234365705</v>
      </c>
      <c r="S1389" s="28">
        <v>0.9</v>
      </c>
      <c r="T1389" s="26">
        <v>0.948100092678406</v>
      </c>
      <c r="U1389" s="26">
        <v>0.942460317460317</v>
      </c>
      <c r="V1389" s="26">
        <v>0.93969030154849198</v>
      </c>
      <c r="W1389" s="26">
        <v>0.94634050108502699</v>
      </c>
      <c r="X1389" s="28">
        <v>0.92</v>
      </c>
      <c r="Y1389" s="28">
        <v>0.95807314897412998</v>
      </c>
      <c r="Z1389" s="28">
        <v>0.95449308755760398</v>
      </c>
      <c r="AA1389" s="28">
        <v>0.94289508632138097</v>
      </c>
      <c r="AB1389" s="28">
        <v>0.94837321860715296</v>
      </c>
      <c r="AC1389" s="28">
        <v>0.92</v>
      </c>
      <c r="AD1389" s="26">
        <v>1</v>
      </c>
      <c r="AE1389" s="26">
        <v>0.99206349206349198</v>
      </c>
      <c r="AF1389" s="26">
        <v>1</v>
      </c>
      <c r="AG1389" s="26">
        <v>0.97448979591836704</v>
      </c>
      <c r="AH1389" s="28">
        <v>0.92</v>
      </c>
      <c r="AI1389" s="26">
        <v>0.97041781030802099</v>
      </c>
      <c r="AJ1389" s="26">
        <v>0.96641791044776104</v>
      </c>
      <c r="AK1389" s="26">
        <v>0.96262626262626305</v>
      </c>
      <c r="AL1389" s="26">
        <v>0.96546426945835195</v>
      </c>
      <c r="AM1389" s="25">
        <v>0.99</v>
      </c>
      <c r="AN1389" s="30">
        <v>1</v>
      </c>
      <c r="AO1389" s="30">
        <v>1</v>
      </c>
      <c r="AP1389" s="30">
        <v>1</v>
      </c>
      <c r="AQ1389" s="30">
        <v>1</v>
      </c>
      <c r="AR1389" s="50">
        <v>7.2186152540827803E-2</v>
      </c>
      <c r="AS1389" s="34">
        <v>0.125</v>
      </c>
      <c r="AT1389" s="34">
        <v>0</v>
      </c>
      <c r="AU1389" s="34">
        <v>0</v>
      </c>
      <c r="AV1389" s="34">
        <v>9.0909090909090898E-2</v>
      </c>
      <c r="AW1389" s="10"/>
      <c r="AX1389" s="8"/>
    </row>
    <row r="1390" spans="1:50">
      <c r="A1390" s="7"/>
      <c r="B1390" s="10"/>
      <c r="C1390" s="45" t="s">
        <v>1100</v>
      </c>
      <c r="D1390" s="23" t="s">
        <v>25</v>
      </c>
      <c r="E1390" s="83" t="s">
        <v>1434</v>
      </c>
      <c r="F1390" s="83" t="s">
        <v>1434</v>
      </c>
      <c r="G1390" s="83" t="s">
        <v>1434</v>
      </c>
      <c r="H1390" s="83" t="s">
        <v>1434</v>
      </c>
      <c r="I1390" s="25">
        <v>0.9</v>
      </c>
      <c r="J1390" s="26">
        <v>1</v>
      </c>
      <c r="K1390" s="26">
        <v>0.95454545454545503</v>
      </c>
      <c r="L1390" s="27">
        <v>0.94444444444444398</v>
      </c>
      <c r="M1390" s="26">
        <v>0.961832061068702</v>
      </c>
      <c r="N1390" s="28">
        <v>0.9</v>
      </c>
      <c r="O1390" s="26">
        <v>0.99297321036451502</v>
      </c>
      <c r="P1390" s="26">
        <v>0.98669086509376902</v>
      </c>
      <c r="Q1390" s="26">
        <v>0.98752751283932505</v>
      </c>
      <c r="R1390" s="26">
        <v>0.99039010466222599</v>
      </c>
      <c r="S1390" s="28">
        <v>0.9</v>
      </c>
      <c r="T1390" s="26">
        <v>0.936758893280632</v>
      </c>
      <c r="U1390" s="26">
        <v>0.93708408953417999</v>
      </c>
      <c r="V1390" s="26">
        <v>0.95744680851063801</v>
      </c>
      <c r="W1390" s="26">
        <v>0.94500475737392997</v>
      </c>
      <c r="X1390" s="28">
        <v>0.92</v>
      </c>
      <c r="Y1390" s="28">
        <v>0</v>
      </c>
      <c r="Z1390" s="28">
        <v>0</v>
      </c>
      <c r="AA1390" s="28">
        <v>0</v>
      </c>
      <c r="AB1390" s="28">
        <v>0</v>
      </c>
      <c r="AC1390" s="28">
        <v>0.92</v>
      </c>
      <c r="AD1390" s="26">
        <v>1</v>
      </c>
      <c r="AE1390" s="26">
        <v>0.99664429530201304</v>
      </c>
      <c r="AF1390" s="26">
        <v>1</v>
      </c>
      <c r="AG1390" s="26">
        <v>0.98640167364016695</v>
      </c>
      <c r="AH1390" s="28">
        <v>0.92</v>
      </c>
      <c r="AI1390" s="26">
        <v>0.96135265700483097</v>
      </c>
      <c r="AJ1390" s="26">
        <v>0.951632406287787</v>
      </c>
      <c r="AK1390" s="26">
        <v>0.96845194424064596</v>
      </c>
      <c r="AL1390" s="26">
        <v>0.96346684425839602</v>
      </c>
      <c r="AM1390" s="25">
        <v>0.99</v>
      </c>
      <c r="AN1390" s="30">
        <v>1</v>
      </c>
      <c r="AO1390" s="30">
        <v>1</v>
      </c>
      <c r="AP1390" s="30">
        <v>1</v>
      </c>
      <c r="AQ1390" s="30">
        <v>1</v>
      </c>
      <c r="AR1390" s="50">
        <v>7.2186152540827803E-2</v>
      </c>
      <c r="AS1390" s="34">
        <v>0</v>
      </c>
      <c r="AT1390" s="34">
        <v>0</v>
      </c>
      <c r="AU1390" s="34">
        <v>0</v>
      </c>
      <c r="AV1390" s="34">
        <v>0</v>
      </c>
      <c r="AW1390" s="10"/>
      <c r="AX1390" s="8"/>
    </row>
    <row r="1391" spans="1:50">
      <c r="A1391" s="7"/>
      <c r="B1391" s="10"/>
      <c r="C1391" s="45" t="s">
        <v>1100</v>
      </c>
      <c r="D1391" s="23" t="s">
        <v>25</v>
      </c>
      <c r="E1391" s="83" t="s">
        <v>1435</v>
      </c>
      <c r="F1391" s="83" t="s">
        <v>1435</v>
      </c>
      <c r="G1391" s="83" t="s">
        <v>1435</v>
      </c>
      <c r="H1391" s="83" t="s">
        <v>1435</v>
      </c>
      <c r="I1391" s="25">
        <v>0.9</v>
      </c>
      <c r="J1391" s="26">
        <v>0.88095238095238104</v>
      </c>
      <c r="K1391" s="26">
        <v>0.92500000000000004</v>
      </c>
      <c r="L1391" s="27">
        <v>0.939393939393939</v>
      </c>
      <c r="M1391" s="26">
        <v>0.90869565217391302</v>
      </c>
      <c r="N1391" s="28">
        <v>0.9</v>
      </c>
      <c r="O1391" s="26">
        <v>0.97441998810232</v>
      </c>
      <c r="P1391" s="26">
        <v>0.97738051805910298</v>
      </c>
      <c r="Q1391" s="26">
        <v>0.96814936847885802</v>
      </c>
      <c r="R1391" s="26">
        <v>0.97391901166781103</v>
      </c>
      <c r="S1391" s="28">
        <v>0.9</v>
      </c>
      <c r="T1391" s="26">
        <v>0.90005948839976202</v>
      </c>
      <c r="U1391" s="26">
        <v>0.88653775994162698</v>
      </c>
      <c r="V1391" s="26">
        <v>0.91323448654585404</v>
      </c>
      <c r="W1391" s="26">
        <v>0.900754975978037</v>
      </c>
      <c r="X1391" s="28">
        <v>0.92</v>
      </c>
      <c r="Y1391" s="28">
        <v>0.92889463477698797</v>
      </c>
      <c r="Z1391" s="28">
        <v>0.91695652173913</v>
      </c>
      <c r="AA1391" s="28">
        <v>0.92887029288702905</v>
      </c>
      <c r="AB1391" s="28">
        <v>0.93293224183844603</v>
      </c>
      <c r="AC1391" s="28">
        <v>0.92</v>
      </c>
      <c r="AD1391" s="26">
        <v>1</v>
      </c>
      <c r="AE1391" s="26">
        <v>0.99922779922779903</v>
      </c>
      <c r="AF1391" s="26">
        <v>1</v>
      </c>
      <c r="AG1391" s="26">
        <v>0.998823529411765</v>
      </c>
      <c r="AH1391" s="28">
        <v>0.92</v>
      </c>
      <c r="AI1391" s="26">
        <v>0.95661030759828902</v>
      </c>
      <c r="AJ1391" s="26">
        <v>0.94128149176750597</v>
      </c>
      <c r="AK1391" s="26">
        <v>0.95426719481454803</v>
      </c>
      <c r="AL1391" s="26">
        <v>0.95483609874544695</v>
      </c>
      <c r="AM1391" s="25">
        <v>0.99</v>
      </c>
      <c r="AN1391" s="30">
        <v>1</v>
      </c>
      <c r="AO1391" s="30">
        <v>1</v>
      </c>
      <c r="AP1391" s="30">
        <v>1</v>
      </c>
      <c r="AQ1391" s="30">
        <v>1</v>
      </c>
      <c r="AR1391" s="50">
        <v>7.2186152540827803E-2</v>
      </c>
      <c r="AS1391" s="34">
        <v>0</v>
      </c>
      <c r="AT1391" s="34">
        <v>0</v>
      </c>
      <c r="AU1391" s="34">
        <v>0.11111111111111099</v>
      </c>
      <c r="AV1391" s="34">
        <v>5.4945054945054903E-2</v>
      </c>
      <c r="AW1391" s="10"/>
      <c r="AX1391" s="8"/>
    </row>
    <row r="1392" spans="1:50">
      <c r="A1392" s="7"/>
      <c r="B1392" s="10"/>
      <c r="C1392" s="45" t="s">
        <v>1100</v>
      </c>
      <c r="D1392" s="23" t="s">
        <v>25</v>
      </c>
      <c r="E1392" s="83" t="s">
        <v>1436</v>
      </c>
      <c r="F1392" s="83" t="s">
        <v>1436</v>
      </c>
      <c r="G1392" s="83" t="s">
        <v>1436</v>
      </c>
      <c r="H1392" s="83" t="s">
        <v>1436</v>
      </c>
      <c r="I1392" s="25">
        <v>0.9</v>
      </c>
      <c r="J1392" s="26">
        <v>1</v>
      </c>
      <c r="K1392" s="26">
        <v>1</v>
      </c>
      <c r="L1392" s="27">
        <v>0.95</v>
      </c>
      <c r="M1392" s="26">
        <v>0.96356275303643701</v>
      </c>
      <c r="N1392" s="28">
        <v>0.9</v>
      </c>
      <c r="O1392" s="26">
        <v>0.98999696877841803</v>
      </c>
      <c r="P1392" s="26">
        <v>0.99045497931912196</v>
      </c>
      <c r="Q1392" s="26">
        <v>0.99198113207547201</v>
      </c>
      <c r="R1392" s="26">
        <v>0.98920112897288004</v>
      </c>
      <c r="S1392" s="28">
        <v>0.9</v>
      </c>
      <c r="T1392" s="26">
        <v>0.95028796605031796</v>
      </c>
      <c r="U1392" s="26">
        <v>0.94813872096722895</v>
      </c>
      <c r="V1392" s="26">
        <v>0.97122641509434005</v>
      </c>
      <c r="W1392" s="26">
        <v>0.96116087863541499</v>
      </c>
      <c r="X1392" s="28">
        <v>0.92</v>
      </c>
      <c r="Y1392" s="28">
        <v>0.96284501061571104</v>
      </c>
      <c r="Z1392" s="28">
        <v>0.94943240454076405</v>
      </c>
      <c r="AA1392" s="28">
        <v>0.97560975609756095</v>
      </c>
      <c r="AB1392" s="28">
        <v>0.96246406570841903</v>
      </c>
      <c r="AC1392" s="28">
        <v>0.92</v>
      </c>
      <c r="AD1392" s="26">
        <v>0.99701492537313396</v>
      </c>
      <c r="AE1392" s="26">
        <v>0.99111734455352996</v>
      </c>
      <c r="AF1392" s="26">
        <v>0.99941894247530505</v>
      </c>
      <c r="AG1392" s="26">
        <v>0.99620723659258104</v>
      </c>
      <c r="AH1392" s="28">
        <v>0.92</v>
      </c>
      <c r="AI1392" s="26">
        <v>0.96912984757862197</v>
      </c>
      <c r="AJ1392" s="26">
        <v>0.96216126900198296</v>
      </c>
      <c r="AK1392" s="26">
        <v>0.98358208955223903</v>
      </c>
      <c r="AL1392" s="26">
        <v>0.97408252853380195</v>
      </c>
      <c r="AM1392" s="25">
        <v>0.99</v>
      </c>
      <c r="AN1392" s="30">
        <v>1</v>
      </c>
      <c r="AO1392" s="30">
        <v>1</v>
      </c>
      <c r="AP1392" s="30">
        <v>1</v>
      </c>
      <c r="AQ1392" s="30">
        <v>1</v>
      </c>
      <c r="AR1392" s="50">
        <v>7.2186152540827803E-2</v>
      </c>
      <c r="AS1392" s="34">
        <v>0</v>
      </c>
      <c r="AT1392" s="34">
        <v>0</v>
      </c>
      <c r="AU1392" s="34">
        <v>-0.14285714285714299</v>
      </c>
      <c r="AV1392" s="34">
        <v>0</v>
      </c>
      <c r="AW1392" s="10"/>
      <c r="AX1392" s="8"/>
    </row>
    <row r="1393" spans="1:50">
      <c r="A1393" s="7"/>
      <c r="B1393" s="10"/>
      <c r="C1393" s="45" t="s">
        <v>1100</v>
      </c>
      <c r="D1393" s="23" t="s">
        <v>25</v>
      </c>
      <c r="E1393" s="83" t="s">
        <v>1437</v>
      </c>
      <c r="F1393" s="83" t="s">
        <v>1437</v>
      </c>
      <c r="G1393" s="83" t="s">
        <v>1437</v>
      </c>
      <c r="H1393" s="83" t="s">
        <v>1437</v>
      </c>
      <c r="I1393" s="25">
        <v>0.9</v>
      </c>
      <c r="J1393" s="26">
        <v>0.76666666666666705</v>
      </c>
      <c r="K1393" s="26">
        <v>0.931034482758621</v>
      </c>
      <c r="L1393" s="27">
        <v>0.84615384615384603</v>
      </c>
      <c r="M1393" s="26">
        <v>0.86826347305389195</v>
      </c>
      <c r="N1393" s="28">
        <v>0.9</v>
      </c>
      <c r="O1393" s="26">
        <v>0.98138572905894506</v>
      </c>
      <c r="P1393" s="26">
        <v>0.99031737493275995</v>
      </c>
      <c r="Q1393" s="26">
        <v>0.98052497883149903</v>
      </c>
      <c r="R1393" s="26">
        <v>0.98507305792073996</v>
      </c>
      <c r="S1393" s="28">
        <v>0.9</v>
      </c>
      <c r="T1393" s="26">
        <v>0.95966907962771497</v>
      </c>
      <c r="U1393" s="26">
        <v>0.95857988165680497</v>
      </c>
      <c r="V1393" s="26">
        <v>0.95935647756138898</v>
      </c>
      <c r="W1393" s="26">
        <v>0.964049195837275</v>
      </c>
      <c r="X1393" s="28">
        <v>0.92</v>
      </c>
      <c r="Y1393" s="28">
        <v>0.97653429602888098</v>
      </c>
      <c r="Z1393" s="28">
        <v>0.97294117647058798</v>
      </c>
      <c r="AA1393" s="28">
        <v>0.97336884154460701</v>
      </c>
      <c r="AB1393" s="28">
        <v>0.97805465099815903</v>
      </c>
      <c r="AC1393" s="28">
        <v>0.92</v>
      </c>
      <c r="AD1393" s="26">
        <v>0.990783410138249</v>
      </c>
      <c r="AE1393" s="26">
        <v>0.99668874172185395</v>
      </c>
      <c r="AF1393" s="26">
        <v>0.99480519480519503</v>
      </c>
      <c r="AG1393" s="26">
        <v>0.99579411175645904</v>
      </c>
      <c r="AH1393" s="28">
        <v>0.92</v>
      </c>
      <c r="AI1393" s="26">
        <v>0.987179487179487</v>
      </c>
      <c r="AJ1393" s="26">
        <v>0.98174157303370801</v>
      </c>
      <c r="AK1393" s="26">
        <v>0.9824016563147</v>
      </c>
      <c r="AL1393" s="26">
        <v>0.98564449001749199</v>
      </c>
      <c r="AM1393" s="25">
        <v>0.99</v>
      </c>
      <c r="AN1393" s="30">
        <v>1</v>
      </c>
      <c r="AO1393" s="30">
        <v>1</v>
      </c>
      <c r="AP1393" s="30">
        <v>1</v>
      </c>
      <c r="AQ1393" s="30">
        <v>1</v>
      </c>
      <c r="AR1393" s="50">
        <v>7.2186152540827803E-2</v>
      </c>
      <c r="AS1393" s="34">
        <v>0</v>
      </c>
      <c r="AT1393" s="34">
        <v>0.33333333333333298</v>
      </c>
      <c r="AU1393" s="34">
        <v>0</v>
      </c>
      <c r="AV1393" s="34">
        <v>9.0909090909090898E-2</v>
      </c>
      <c r="AW1393" s="10"/>
      <c r="AX1393" s="8"/>
    </row>
    <row r="1394" spans="1:50">
      <c r="A1394" s="7"/>
      <c r="B1394" s="10"/>
      <c r="C1394" s="45" t="s">
        <v>1100</v>
      </c>
      <c r="D1394" s="23" t="s">
        <v>25</v>
      </c>
      <c r="E1394" s="83" t="s">
        <v>1438</v>
      </c>
      <c r="F1394" s="83" t="s">
        <v>1438</v>
      </c>
      <c r="G1394" s="83" t="s">
        <v>1438</v>
      </c>
      <c r="H1394" s="83" t="s">
        <v>1438</v>
      </c>
      <c r="I1394" s="25">
        <v>0.9</v>
      </c>
      <c r="J1394" s="26">
        <v>0.96721311475409799</v>
      </c>
      <c r="K1394" s="26">
        <v>0.85245901639344301</v>
      </c>
      <c r="L1394" s="27">
        <v>0.80357142857142905</v>
      </c>
      <c r="M1394" s="26">
        <v>0.83238636363636398</v>
      </c>
      <c r="N1394" s="28">
        <v>0.9</v>
      </c>
      <c r="O1394" s="26">
        <v>0.98108395324123299</v>
      </c>
      <c r="P1394" s="26">
        <v>0.94558823529411795</v>
      </c>
      <c r="Q1394" s="26">
        <v>0.97045533541883899</v>
      </c>
      <c r="R1394" s="26">
        <v>0.97199069177067898</v>
      </c>
      <c r="S1394" s="28">
        <v>0.9</v>
      </c>
      <c r="T1394" s="26">
        <v>0.96599362380446296</v>
      </c>
      <c r="U1394" s="26">
        <v>0.92500000000000004</v>
      </c>
      <c r="V1394" s="26">
        <v>0.96107055961070598</v>
      </c>
      <c r="W1394" s="26">
        <v>0.95718214512375699</v>
      </c>
      <c r="X1394" s="28">
        <v>0.92</v>
      </c>
      <c r="Y1394" s="28">
        <v>0.96813186813186802</v>
      </c>
      <c r="Z1394" s="28">
        <v>0.96041055718475099</v>
      </c>
      <c r="AA1394" s="28">
        <v>0.97560975609756095</v>
      </c>
      <c r="AB1394" s="28">
        <v>0.96918238993710704</v>
      </c>
      <c r="AC1394" s="28">
        <v>0.92</v>
      </c>
      <c r="AD1394" s="26">
        <v>0.97325327510917004</v>
      </c>
      <c r="AE1394" s="26">
        <v>0.983578947368421</v>
      </c>
      <c r="AF1394" s="26">
        <v>0.98939220183486198</v>
      </c>
      <c r="AG1394" s="26">
        <v>0.98365687738509999</v>
      </c>
      <c r="AH1394" s="28">
        <v>0.92</v>
      </c>
      <c r="AI1394" s="26">
        <v>0.98318988703604104</v>
      </c>
      <c r="AJ1394" s="26">
        <v>0.97661809556082702</v>
      </c>
      <c r="AK1394" s="26">
        <v>0.98535114174924598</v>
      </c>
      <c r="AL1394" s="26">
        <v>0.98191145364809995</v>
      </c>
      <c r="AM1394" s="25">
        <v>0.99</v>
      </c>
      <c r="AN1394" s="30">
        <v>1</v>
      </c>
      <c r="AO1394" s="30">
        <v>1</v>
      </c>
      <c r="AP1394" s="30">
        <v>1</v>
      </c>
      <c r="AQ1394" s="30">
        <v>1</v>
      </c>
      <c r="AR1394" s="50">
        <v>7.2186152540827803E-2</v>
      </c>
      <c r="AS1394" s="34">
        <v>0.05</v>
      </c>
      <c r="AT1394" s="34">
        <v>0</v>
      </c>
      <c r="AU1394" s="34">
        <v>0</v>
      </c>
      <c r="AV1394" s="34">
        <v>4.7058823529411799E-2</v>
      </c>
      <c r="AW1394" s="10"/>
      <c r="AX1394" s="8"/>
    </row>
    <row r="1395" spans="1:50">
      <c r="A1395" s="7"/>
      <c r="B1395" s="10"/>
      <c r="C1395" s="45" t="s">
        <v>1100</v>
      </c>
      <c r="D1395" s="23" t="s">
        <v>25</v>
      </c>
      <c r="E1395" s="83" t="s">
        <v>1439</v>
      </c>
      <c r="F1395" s="83" t="s">
        <v>1439</v>
      </c>
      <c r="G1395" s="83" t="s">
        <v>1439</v>
      </c>
      <c r="H1395" s="83" t="s">
        <v>1439</v>
      </c>
      <c r="I1395" s="25">
        <v>0.9</v>
      </c>
      <c r="J1395" s="26">
        <v>0.88372093023255804</v>
      </c>
      <c r="K1395" s="26">
        <v>0.86046511627906996</v>
      </c>
      <c r="L1395" s="27">
        <v>0.85365853658536595</v>
      </c>
      <c r="M1395" s="26">
        <v>0.86885245901639296</v>
      </c>
      <c r="N1395" s="28">
        <v>0.9</v>
      </c>
      <c r="O1395" s="26">
        <v>0.99409517193469998</v>
      </c>
      <c r="P1395" s="26">
        <v>0.99447513812154698</v>
      </c>
      <c r="Q1395" s="26">
        <v>0.99084544964997301</v>
      </c>
      <c r="R1395" s="26">
        <v>0.98724150017525403</v>
      </c>
      <c r="S1395" s="28">
        <v>0.9</v>
      </c>
      <c r="T1395" s="26">
        <v>0.97186523098298006</v>
      </c>
      <c r="U1395" s="26">
        <v>0.97410220994475105</v>
      </c>
      <c r="V1395" s="26">
        <v>0.98707592891760898</v>
      </c>
      <c r="W1395" s="26">
        <v>0.97700665965650202</v>
      </c>
      <c r="X1395" s="28">
        <v>0.92</v>
      </c>
      <c r="Y1395" s="28">
        <v>0.97139224411951697</v>
      </c>
      <c r="Z1395" s="28">
        <v>0.97451979615836903</v>
      </c>
      <c r="AA1395" s="28">
        <v>0.98224852071005897</v>
      </c>
      <c r="AB1395" s="28">
        <v>0.97306949806949805</v>
      </c>
      <c r="AC1395" s="28">
        <v>0.92</v>
      </c>
      <c r="AD1395" s="26">
        <v>0.98359621451104096</v>
      </c>
      <c r="AE1395" s="26">
        <v>0.99561403508771895</v>
      </c>
      <c r="AF1395" s="26">
        <v>0.99665462331058496</v>
      </c>
      <c r="AG1395" s="26">
        <v>0.99492385786801996</v>
      </c>
      <c r="AH1395" s="28">
        <v>0.92</v>
      </c>
      <c r="AI1395" s="26">
        <v>0.97731356693620797</v>
      </c>
      <c r="AJ1395" s="26">
        <v>0.97998898476225405</v>
      </c>
      <c r="AK1395" s="26">
        <v>0.99094392197840497</v>
      </c>
      <c r="AL1395" s="26">
        <v>0.98172663039064401</v>
      </c>
      <c r="AM1395" s="25">
        <v>0.99</v>
      </c>
      <c r="AN1395" s="30">
        <v>1</v>
      </c>
      <c r="AO1395" s="30">
        <v>1</v>
      </c>
      <c r="AP1395" s="30">
        <v>1</v>
      </c>
      <c r="AQ1395" s="30">
        <v>1</v>
      </c>
      <c r="AR1395" s="50">
        <v>7.2186152540827803E-2</v>
      </c>
      <c r="AS1395" s="34">
        <v>0</v>
      </c>
      <c r="AT1395" s="34">
        <v>6.25E-2</v>
      </c>
      <c r="AU1395" s="34">
        <v>0</v>
      </c>
      <c r="AV1395" s="34">
        <v>7.8740157480314994E-3</v>
      </c>
      <c r="AW1395" s="10"/>
      <c r="AX1395" s="8"/>
    </row>
    <row r="1396" spans="1:50">
      <c r="A1396" s="7"/>
      <c r="B1396" s="10"/>
      <c r="C1396" s="45" t="s">
        <v>1100</v>
      </c>
      <c r="D1396" s="23" t="s">
        <v>25</v>
      </c>
      <c r="E1396" s="83" t="s">
        <v>1440</v>
      </c>
      <c r="F1396" s="83" t="s">
        <v>1440</v>
      </c>
      <c r="G1396" s="83" t="s">
        <v>1440</v>
      </c>
      <c r="H1396" s="83" t="s">
        <v>1440</v>
      </c>
      <c r="I1396" s="25">
        <v>0.9</v>
      </c>
      <c r="J1396" s="26">
        <v>1</v>
      </c>
      <c r="K1396" s="26">
        <v>0.95121951219512202</v>
      </c>
      <c r="L1396" s="27">
        <v>0.939393939393939</v>
      </c>
      <c r="M1396" s="26">
        <v>0.96536796536796499</v>
      </c>
      <c r="N1396" s="28">
        <v>0.9</v>
      </c>
      <c r="O1396" s="26">
        <v>0.97952086553323003</v>
      </c>
      <c r="P1396" s="26">
        <v>0.88199697428139201</v>
      </c>
      <c r="Q1396" s="26">
        <v>0.99020737327188901</v>
      </c>
      <c r="R1396" s="26">
        <v>0.95999698659032695</v>
      </c>
      <c r="S1396" s="28">
        <v>0.9</v>
      </c>
      <c r="T1396" s="26">
        <v>0.94126738794435905</v>
      </c>
      <c r="U1396" s="26">
        <v>0.923600605143722</v>
      </c>
      <c r="V1396" s="26">
        <v>0.90610599078341003</v>
      </c>
      <c r="W1396" s="26">
        <v>0.926246798252222</v>
      </c>
      <c r="X1396" s="28">
        <v>0.92</v>
      </c>
      <c r="Y1396" s="28">
        <v>0.94231974921630102</v>
      </c>
      <c r="Z1396" s="28">
        <v>0.95484151107251403</v>
      </c>
      <c r="AA1396" s="28">
        <v>0.96583850931676996</v>
      </c>
      <c r="AB1396" s="28">
        <v>0.95390394963955705</v>
      </c>
      <c r="AC1396" s="28">
        <v>0.92</v>
      </c>
      <c r="AD1396" s="26">
        <v>1</v>
      </c>
      <c r="AE1396" s="26">
        <v>1</v>
      </c>
      <c r="AF1396" s="26">
        <v>1</v>
      </c>
      <c r="AG1396" s="26">
        <v>0.99880023995200995</v>
      </c>
      <c r="AH1396" s="28">
        <v>0.92</v>
      </c>
      <c r="AI1396" s="26">
        <v>0.96294525460196001</v>
      </c>
      <c r="AJ1396" s="26">
        <v>0.96240145542753197</v>
      </c>
      <c r="AK1396" s="26">
        <v>0.97742413027387098</v>
      </c>
      <c r="AL1396" s="26">
        <v>0.96912298910223105</v>
      </c>
      <c r="AM1396" s="25">
        <v>0.99</v>
      </c>
      <c r="AN1396" s="30">
        <v>1</v>
      </c>
      <c r="AO1396" s="30">
        <v>1</v>
      </c>
      <c r="AP1396" s="30">
        <v>1</v>
      </c>
      <c r="AQ1396" s="30">
        <v>1</v>
      </c>
      <c r="AR1396" s="50">
        <v>7.2186152540827803E-2</v>
      </c>
      <c r="AS1396" s="34">
        <v>5.2631578947368397E-2</v>
      </c>
      <c r="AT1396" s="34">
        <v>0</v>
      </c>
      <c r="AU1396" s="34">
        <v>0.2</v>
      </c>
      <c r="AV1396" s="34">
        <v>9.375E-2</v>
      </c>
      <c r="AW1396" s="10"/>
      <c r="AX1396" s="8"/>
    </row>
    <row r="1397" spans="1:50">
      <c r="A1397" s="7"/>
      <c r="B1397" s="10"/>
      <c r="C1397" s="45" t="s">
        <v>1100</v>
      </c>
      <c r="D1397" s="23" t="s">
        <v>25</v>
      </c>
      <c r="E1397" s="83" t="s">
        <v>1441</v>
      </c>
      <c r="F1397" s="83" t="s">
        <v>1441</v>
      </c>
      <c r="G1397" s="83" t="s">
        <v>1441</v>
      </c>
      <c r="H1397" s="83" t="s">
        <v>1441</v>
      </c>
      <c r="I1397" s="25">
        <v>0.9</v>
      </c>
      <c r="J1397" s="26">
        <v>1</v>
      </c>
      <c r="K1397" s="26">
        <v>0.92727272727272703</v>
      </c>
      <c r="L1397" s="27">
        <v>0.94</v>
      </c>
      <c r="M1397" s="26">
        <v>0.92789968652037602</v>
      </c>
      <c r="N1397" s="28">
        <v>0.9</v>
      </c>
      <c r="O1397" s="26">
        <v>0.94200868468973198</v>
      </c>
      <c r="P1397" s="26">
        <v>0.98260347930413905</v>
      </c>
      <c r="Q1397" s="26">
        <v>0.98067748091603102</v>
      </c>
      <c r="R1397" s="26">
        <v>0.96419733750978898</v>
      </c>
      <c r="S1397" s="28">
        <v>0.9</v>
      </c>
      <c r="T1397" s="26">
        <v>0.70738198627258697</v>
      </c>
      <c r="U1397" s="26">
        <v>0.83123375324935</v>
      </c>
      <c r="V1397" s="26">
        <v>0.87977099236641199</v>
      </c>
      <c r="W1397" s="26">
        <v>0.79749412685982801</v>
      </c>
      <c r="X1397" s="28">
        <v>0.92</v>
      </c>
      <c r="Y1397" s="28">
        <v>0</v>
      </c>
      <c r="Z1397" s="28">
        <v>0</v>
      </c>
      <c r="AA1397" s="28">
        <v>0</v>
      </c>
      <c r="AB1397" s="28">
        <v>0</v>
      </c>
      <c r="AC1397" s="28">
        <v>0.92</v>
      </c>
      <c r="AD1397" s="26">
        <v>1</v>
      </c>
      <c r="AE1397" s="26">
        <v>0.99740259740259696</v>
      </c>
      <c r="AF1397" s="26">
        <v>0.99852561739771495</v>
      </c>
      <c r="AG1397" s="26">
        <v>0.99827929722876296</v>
      </c>
      <c r="AH1397" s="28">
        <v>0.92</v>
      </c>
      <c r="AI1397" s="26">
        <v>0.94425770308123202</v>
      </c>
      <c r="AJ1397" s="26">
        <v>0.96080783843231399</v>
      </c>
      <c r="AK1397" s="26">
        <v>0.96421755725190805</v>
      </c>
      <c r="AL1397" s="26">
        <v>0.95887364530476704</v>
      </c>
      <c r="AM1397" s="25">
        <v>0.99</v>
      </c>
      <c r="AN1397" s="30">
        <v>1</v>
      </c>
      <c r="AO1397" s="30">
        <v>1</v>
      </c>
      <c r="AP1397" s="30">
        <v>1</v>
      </c>
      <c r="AQ1397" s="30">
        <v>1</v>
      </c>
      <c r="AR1397" s="50">
        <v>7.2186152540827803E-2</v>
      </c>
      <c r="AS1397" s="34">
        <v>0</v>
      </c>
      <c r="AT1397" s="34">
        <v>0</v>
      </c>
      <c r="AU1397" s="34">
        <v>0</v>
      </c>
      <c r="AV1397" s="34">
        <v>4.47761194029851E-2</v>
      </c>
      <c r="AW1397" s="10"/>
      <c r="AX1397" s="8"/>
    </row>
    <row r="1398" spans="1:50">
      <c r="A1398" s="7"/>
      <c r="B1398" s="10"/>
      <c r="C1398" s="45" t="s">
        <v>1100</v>
      </c>
      <c r="D1398" s="23" t="s">
        <v>25</v>
      </c>
      <c r="E1398" s="83" t="s">
        <v>1442</v>
      </c>
      <c r="F1398" s="83" t="s">
        <v>1442</v>
      </c>
      <c r="G1398" s="83" t="s">
        <v>1442</v>
      </c>
      <c r="H1398" s="83" t="s">
        <v>1442</v>
      </c>
      <c r="I1398" s="25">
        <v>0.9</v>
      </c>
      <c r="J1398" s="26">
        <v>0.95121951219512202</v>
      </c>
      <c r="K1398" s="26">
        <v>0.97368421052631604</v>
      </c>
      <c r="L1398" s="27">
        <v>0.94594594594594605</v>
      </c>
      <c r="M1398" s="26">
        <v>0.935622317596567</v>
      </c>
      <c r="N1398" s="28">
        <v>0.9</v>
      </c>
      <c r="O1398" s="26">
        <v>0.95809881175734801</v>
      </c>
      <c r="P1398" s="26">
        <v>0.98345864661654103</v>
      </c>
      <c r="Q1398" s="26">
        <v>0.98616412213740501</v>
      </c>
      <c r="R1398" s="26">
        <v>0.981213232968562</v>
      </c>
      <c r="S1398" s="28">
        <v>0.9</v>
      </c>
      <c r="T1398" s="26">
        <v>0.94840525328330205</v>
      </c>
      <c r="U1398" s="26">
        <v>0.94406015037594004</v>
      </c>
      <c r="V1398" s="26">
        <v>0.96374045801526698</v>
      </c>
      <c r="W1398" s="26">
        <v>0.95654374090707806</v>
      </c>
      <c r="X1398" s="28">
        <v>0.92</v>
      </c>
      <c r="Y1398" s="28">
        <v>0.97384196185286098</v>
      </c>
      <c r="Z1398" s="28">
        <v>0.95318646734854495</v>
      </c>
      <c r="AA1398" s="28">
        <v>0.9736328125</v>
      </c>
      <c r="AB1398" s="28">
        <v>0.959746928296351</v>
      </c>
      <c r="AC1398" s="28">
        <v>0.92</v>
      </c>
      <c r="AD1398" s="26">
        <v>0.99963596650891895</v>
      </c>
      <c r="AE1398" s="26">
        <v>0.99812617114303603</v>
      </c>
      <c r="AF1398" s="26">
        <v>0.94550287992910897</v>
      </c>
      <c r="AG1398" s="26">
        <v>0.98297458348534605</v>
      </c>
      <c r="AH1398" s="28">
        <v>0.92</v>
      </c>
      <c r="AI1398" s="26">
        <v>0.97695211603417398</v>
      </c>
      <c r="AJ1398" s="26">
        <v>0.96949556918882096</v>
      </c>
      <c r="AK1398" s="26">
        <v>0.98653846153846203</v>
      </c>
      <c r="AL1398" s="26">
        <v>0.97469681089983495</v>
      </c>
      <c r="AM1398" s="25">
        <v>0.99</v>
      </c>
      <c r="AN1398" s="30">
        <v>1</v>
      </c>
      <c r="AO1398" s="30">
        <v>1</v>
      </c>
      <c r="AP1398" s="30">
        <v>1</v>
      </c>
      <c r="AQ1398" s="30">
        <v>1</v>
      </c>
      <c r="AR1398" s="50">
        <v>7.2186152540827803E-2</v>
      </c>
      <c r="AS1398" s="34">
        <v>0</v>
      </c>
      <c r="AT1398" s="34">
        <v>2.6315789473684199E-2</v>
      </c>
      <c r="AU1398" s="34">
        <v>0</v>
      </c>
      <c r="AV1398" s="34">
        <v>2.74725274725275E-2</v>
      </c>
      <c r="AW1398" s="10"/>
      <c r="AX1398" s="8"/>
    </row>
    <row r="1399" spans="1:50">
      <c r="A1399" s="7"/>
      <c r="B1399" s="10"/>
      <c r="C1399" s="45" t="s">
        <v>1100</v>
      </c>
      <c r="D1399" s="23" t="s">
        <v>25</v>
      </c>
      <c r="E1399" s="83" t="s">
        <v>1443</v>
      </c>
      <c r="F1399" s="83" t="s">
        <v>1443</v>
      </c>
      <c r="G1399" s="83" t="s">
        <v>1443</v>
      </c>
      <c r="H1399" s="83" t="s">
        <v>1443</v>
      </c>
      <c r="I1399" s="25">
        <v>0.9</v>
      </c>
      <c r="J1399" s="26">
        <v>0.962025316455696</v>
      </c>
      <c r="K1399" s="26">
        <v>0.94805194805194803</v>
      </c>
      <c r="L1399" s="27">
        <v>0.952380952380952</v>
      </c>
      <c r="M1399" s="26">
        <v>0.94823529411764695</v>
      </c>
      <c r="N1399" s="28">
        <v>0.9</v>
      </c>
      <c r="O1399" s="26">
        <v>0.96686013855083297</v>
      </c>
      <c r="P1399" s="26">
        <v>0.96850685439051498</v>
      </c>
      <c r="Q1399" s="26">
        <v>0.96217292377701902</v>
      </c>
      <c r="R1399" s="26">
        <v>0.96818181818181803</v>
      </c>
      <c r="S1399" s="28">
        <v>0.9</v>
      </c>
      <c r="T1399" s="26">
        <v>0.92323534918554595</v>
      </c>
      <c r="U1399" s="26">
        <v>0.94683216005928095</v>
      </c>
      <c r="V1399" s="26">
        <v>0.94709897610921501</v>
      </c>
      <c r="W1399" s="26">
        <v>0.94637841832963798</v>
      </c>
      <c r="X1399" s="28">
        <v>0.92</v>
      </c>
      <c r="Y1399" s="28">
        <v>0.95017793594306099</v>
      </c>
      <c r="Z1399" s="28">
        <v>0.95996421382241104</v>
      </c>
      <c r="AA1399" s="28">
        <v>0.94429847609038398</v>
      </c>
      <c r="AB1399" s="28">
        <v>0.95643316094655995</v>
      </c>
      <c r="AC1399" s="28">
        <v>0.92</v>
      </c>
      <c r="AD1399" s="26">
        <v>0.99813432835820903</v>
      </c>
      <c r="AE1399" s="26">
        <v>0.99318955732122605</v>
      </c>
      <c r="AF1399" s="26">
        <v>0.74659606656580901</v>
      </c>
      <c r="AG1399" s="26">
        <v>0.93206980671795803</v>
      </c>
      <c r="AH1399" s="28">
        <v>0.92</v>
      </c>
      <c r="AI1399" s="26">
        <v>0.967741935483871</v>
      </c>
      <c r="AJ1399" s="26">
        <v>0.97466815280170205</v>
      </c>
      <c r="AK1399" s="26">
        <v>0.96660516605166003</v>
      </c>
      <c r="AL1399" s="26">
        <v>0.97236110209293802</v>
      </c>
      <c r="AM1399" s="25">
        <v>0.99</v>
      </c>
      <c r="AN1399" s="30">
        <v>1</v>
      </c>
      <c r="AO1399" s="30">
        <v>1</v>
      </c>
      <c r="AP1399" s="30">
        <v>1</v>
      </c>
      <c r="AQ1399" s="30">
        <v>1</v>
      </c>
      <c r="AR1399" s="50">
        <v>7.2186152540827803E-2</v>
      </c>
      <c r="AS1399" s="34">
        <v>6.6666666666666693E-2</v>
      </c>
      <c r="AT1399" s="34">
        <v>0</v>
      </c>
      <c r="AU1399" s="34">
        <v>0.133333333333333</v>
      </c>
      <c r="AV1399" s="34">
        <v>6.3157894736842093E-2</v>
      </c>
      <c r="AW1399" s="10"/>
      <c r="AX1399" s="8"/>
    </row>
    <row r="1400" spans="1:50">
      <c r="A1400" s="7"/>
      <c r="B1400" s="10"/>
      <c r="C1400" s="45" t="s">
        <v>1100</v>
      </c>
      <c r="D1400" s="23" t="s">
        <v>25</v>
      </c>
      <c r="E1400" s="83" t="s">
        <v>1444</v>
      </c>
      <c r="F1400" s="83" t="s">
        <v>1444</v>
      </c>
      <c r="G1400" s="83" t="s">
        <v>1444</v>
      </c>
      <c r="H1400" s="83" t="s">
        <v>1444</v>
      </c>
      <c r="I1400" s="25">
        <v>0.9</v>
      </c>
      <c r="J1400" s="26">
        <v>0.89473684210526305</v>
      </c>
      <c r="K1400" s="26">
        <v>0.8125</v>
      </c>
      <c r="L1400" s="27">
        <v>0.73333333333333295</v>
      </c>
      <c r="M1400" s="26">
        <v>0.79411764705882304</v>
      </c>
      <c r="N1400" s="28">
        <v>0.9</v>
      </c>
      <c r="O1400" s="26">
        <v>0.98401162790697705</v>
      </c>
      <c r="P1400" s="26">
        <v>0.94572025052192099</v>
      </c>
      <c r="Q1400" s="26">
        <v>0.96022727272727304</v>
      </c>
      <c r="R1400" s="26">
        <v>0.973928157589803</v>
      </c>
      <c r="S1400" s="28">
        <v>0.9</v>
      </c>
      <c r="T1400" s="26">
        <v>0.69622093023255804</v>
      </c>
      <c r="U1400" s="26">
        <v>0.62317327766179498</v>
      </c>
      <c r="V1400" s="26">
        <v>0.62159090909090897</v>
      </c>
      <c r="W1400" s="26">
        <v>0.65469293163383502</v>
      </c>
      <c r="X1400" s="28">
        <v>0.92</v>
      </c>
      <c r="Y1400" s="28">
        <v>0</v>
      </c>
      <c r="Z1400" s="28">
        <v>0</v>
      </c>
      <c r="AA1400" s="28">
        <v>0</v>
      </c>
      <c r="AB1400" s="28">
        <v>0</v>
      </c>
      <c r="AC1400" s="28">
        <v>0.92</v>
      </c>
      <c r="AD1400" s="26">
        <v>1</v>
      </c>
      <c r="AE1400" s="26">
        <v>0.83333333333333304</v>
      </c>
      <c r="AF1400" s="26">
        <v>0.5</v>
      </c>
      <c r="AG1400" s="26">
        <v>0.81132075471698095</v>
      </c>
      <c r="AH1400" s="28">
        <v>0.92</v>
      </c>
      <c r="AI1400" s="26">
        <v>0.88816267247639802</v>
      </c>
      <c r="AJ1400" s="26">
        <v>0.79227557411273497</v>
      </c>
      <c r="AK1400" s="26">
        <v>0.85227272727272696</v>
      </c>
      <c r="AL1400" s="26">
        <v>0.883869099333913</v>
      </c>
      <c r="AM1400" s="25">
        <v>0.99</v>
      </c>
      <c r="AN1400" s="30">
        <v>1</v>
      </c>
      <c r="AO1400" s="30">
        <v>1</v>
      </c>
      <c r="AP1400" s="30">
        <v>1</v>
      </c>
      <c r="AQ1400" s="30">
        <v>1</v>
      </c>
      <c r="AR1400" s="50">
        <v>7.2186152540827803E-2</v>
      </c>
      <c r="AS1400" s="34">
        <v>0.125</v>
      </c>
      <c r="AT1400" s="34">
        <v>0.2</v>
      </c>
      <c r="AU1400" s="34">
        <v>0.3</v>
      </c>
      <c r="AV1400" s="34">
        <v>9.0909090909090898E-2</v>
      </c>
      <c r="AW1400" s="10"/>
      <c r="AX1400" s="8"/>
    </row>
    <row r="1401" spans="1:50">
      <c r="A1401" s="7"/>
      <c r="B1401" s="10"/>
      <c r="C1401" s="45" t="s">
        <v>1100</v>
      </c>
      <c r="D1401" s="23" t="s">
        <v>25</v>
      </c>
      <c r="E1401" s="83" t="s">
        <v>1445</v>
      </c>
      <c r="F1401" s="83" t="s">
        <v>1445</v>
      </c>
      <c r="G1401" s="83" t="s">
        <v>1445</v>
      </c>
      <c r="H1401" s="83" t="s">
        <v>1445</v>
      </c>
      <c r="I1401" s="25">
        <v>0.9</v>
      </c>
      <c r="J1401" s="26">
        <v>0.97499999999999998</v>
      </c>
      <c r="K1401" s="26">
        <v>0.94736842105263197</v>
      </c>
      <c r="L1401" s="27">
        <v>0.94285714285714295</v>
      </c>
      <c r="M1401" s="26">
        <v>0.94090909090909103</v>
      </c>
      <c r="N1401" s="28">
        <v>0.9</v>
      </c>
      <c r="O1401" s="26">
        <v>0.98328690807799402</v>
      </c>
      <c r="P1401" s="26">
        <v>0.97547380156075802</v>
      </c>
      <c r="Q1401" s="26">
        <v>0.98453608247422697</v>
      </c>
      <c r="R1401" s="26">
        <v>0.97084811799902604</v>
      </c>
      <c r="S1401" s="28">
        <v>0.9</v>
      </c>
      <c r="T1401" s="26">
        <v>0.95543175487465204</v>
      </c>
      <c r="U1401" s="26">
        <v>0.95392047565960603</v>
      </c>
      <c r="V1401" s="26">
        <v>0.97371134020618599</v>
      </c>
      <c r="W1401" s="26">
        <v>0.95164544632296699</v>
      </c>
      <c r="X1401" s="28">
        <v>0.92</v>
      </c>
      <c r="Y1401" s="28">
        <v>0.97811550151975701</v>
      </c>
      <c r="Z1401" s="28">
        <v>0.961300309597523</v>
      </c>
      <c r="AA1401" s="28">
        <v>0.98142414860681104</v>
      </c>
      <c r="AB1401" s="28">
        <v>0.96656796255611799</v>
      </c>
      <c r="AC1401" s="28">
        <v>0.92</v>
      </c>
      <c r="AD1401" s="26">
        <v>0.99792602834427901</v>
      </c>
      <c r="AE1401" s="26">
        <v>0.998917358354385</v>
      </c>
      <c r="AF1401" s="26">
        <v>0.99696969696969695</v>
      </c>
      <c r="AG1401" s="26">
        <v>0.99714740612976005</v>
      </c>
      <c r="AH1401" s="28">
        <v>0.92</v>
      </c>
      <c r="AI1401" s="26">
        <v>0.98450298870931996</v>
      </c>
      <c r="AJ1401" s="26">
        <v>0.97383886255924201</v>
      </c>
      <c r="AK1401" s="26">
        <v>0.98865589549673405</v>
      </c>
      <c r="AL1401" s="26">
        <v>0.97862490942758196</v>
      </c>
      <c r="AM1401" s="25">
        <v>0.99</v>
      </c>
      <c r="AN1401" s="30">
        <v>1</v>
      </c>
      <c r="AO1401" s="30">
        <v>1</v>
      </c>
      <c r="AP1401" s="30">
        <v>1</v>
      </c>
      <c r="AQ1401" s="30">
        <v>1</v>
      </c>
      <c r="AR1401" s="50">
        <v>7.2186152540827803E-2</v>
      </c>
      <c r="AS1401" s="34">
        <v>7.69230769230769E-2</v>
      </c>
      <c r="AT1401" s="34">
        <v>0</v>
      </c>
      <c r="AU1401" s="34">
        <v>0</v>
      </c>
      <c r="AV1401" s="34">
        <v>-4.49438202247191E-2</v>
      </c>
      <c r="AW1401" s="10"/>
      <c r="AX1401" s="8"/>
    </row>
    <row r="1402" spans="1:50">
      <c r="A1402" s="7"/>
      <c r="B1402" s="10"/>
      <c r="C1402" s="45" t="s">
        <v>1100</v>
      </c>
      <c r="D1402" s="23" t="s">
        <v>25</v>
      </c>
      <c r="E1402" s="83" t="s">
        <v>1446</v>
      </c>
      <c r="F1402" s="83" t="s">
        <v>1446</v>
      </c>
      <c r="G1402" s="83" t="s">
        <v>1446</v>
      </c>
      <c r="H1402" s="83" t="s">
        <v>1446</v>
      </c>
      <c r="I1402" s="25">
        <v>0.9</v>
      </c>
      <c r="J1402" s="26">
        <v>1</v>
      </c>
      <c r="K1402" s="26">
        <v>0.95121951219512202</v>
      </c>
      <c r="L1402" s="27">
        <v>0.92105263157894701</v>
      </c>
      <c r="M1402" s="26">
        <v>0.94214876033057804</v>
      </c>
      <c r="N1402" s="28">
        <v>0.9</v>
      </c>
      <c r="O1402" s="26">
        <v>0.99127704117236604</v>
      </c>
      <c r="P1402" s="26">
        <v>0.99051094890510905</v>
      </c>
      <c r="Q1402" s="26">
        <v>0.96860986547085204</v>
      </c>
      <c r="R1402" s="26">
        <v>0.98765872449707504</v>
      </c>
      <c r="S1402" s="28">
        <v>0.9</v>
      </c>
      <c r="T1402" s="26">
        <v>0.92463363572923896</v>
      </c>
      <c r="U1402" s="26">
        <v>0.94124087591240901</v>
      </c>
      <c r="V1402" s="26">
        <v>0.92096412556053797</v>
      </c>
      <c r="W1402" s="26">
        <v>0.93815094878014005</v>
      </c>
      <c r="X1402" s="28">
        <v>0.92</v>
      </c>
      <c r="Y1402" s="28">
        <v>0.95816146140247505</v>
      </c>
      <c r="Z1402" s="28">
        <v>0.96943231441047995</v>
      </c>
      <c r="AA1402" s="28">
        <v>0.957618567103935</v>
      </c>
      <c r="AB1402" s="28">
        <v>0.965630114566285</v>
      </c>
      <c r="AC1402" s="28">
        <v>0.92</v>
      </c>
      <c r="AD1402" s="26">
        <v>0.99867197875166003</v>
      </c>
      <c r="AE1402" s="26">
        <v>1</v>
      </c>
      <c r="AF1402" s="26">
        <v>0.99903660886319801</v>
      </c>
      <c r="AG1402" s="26">
        <v>0.99908003679852797</v>
      </c>
      <c r="AH1402" s="28">
        <v>0.92</v>
      </c>
      <c r="AI1402" s="26">
        <v>0.96449704142011805</v>
      </c>
      <c r="AJ1402" s="26">
        <v>0.97471002091652403</v>
      </c>
      <c r="AK1402" s="26">
        <v>0.97045045045044998</v>
      </c>
      <c r="AL1402" s="26">
        <v>0.97320111457138203</v>
      </c>
      <c r="AM1402" s="25">
        <v>0.99</v>
      </c>
      <c r="AN1402" s="30">
        <v>1</v>
      </c>
      <c r="AO1402" s="30">
        <v>1</v>
      </c>
      <c r="AP1402" s="30">
        <v>1</v>
      </c>
      <c r="AQ1402" s="30">
        <v>1</v>
      </c>
      <c r="AR1402" s="50">
        <v>7.2186152540827803E-2</v>
      </c>
      <c r="AS1402" s="34">
        <v>0</v>
      </c>
      <c r="AT1402" s="34">
        <v>0</v>
      </c>
      <c r="AU1402" s="34">
        <v>0</v>
      </c>
      <c r="AV1402" s="34">
        <v>2.9850746268656699E-2</v>
      </c>
      <c r="AW1402" s="10"/>
      <c r="AX1402" s="8"/>
    </row>
    <row r="1403" spans="1:50">
      <c r="A1403" s="7"/>
      <c r="B1403" s="10"/>
      <c r="C1403" s="45" t="s">
        <v>1100</v>
      </c>
      <c r="D1403" s="23" t="s">
        <v>25</v>
      </c>
      <c r="E1403" s="83" t="s">
        <v>1447</v>
      </c>
      <c r="F1403" s="83" t="s">
        <v>1447</v>
      </c>
      <c r="G1403" s="83" t="s">
        <v>1447</v>
      </c>
      <c r="H1403" s="83" t="s">
        <v>1447</v>
      </c>
      <c r="I1403" s="25">
        <v>0.9</v>
      </c>
      <c r="J1403" s="26">
        <v>1</v>
      </c>
      <c r="K1403" s="26">
        <v>1</v>
      </c>
      <c r="L1403" s="27">
        <v>1</v>
      </c>
      <c r="M1403" s="26">
        <v>0.992932862190813</v>
      </c>
      <c r="N1403" s="28">
        <v>0.9</v>
      </c>
      <c r="O1403" s="26">
        <v>0.99071207430340602</v>
      </c>
      <c r="P1403" s="26">
        <v>0.99126552795031098</v>
      </c>
      <c r="Q1403" s="26">
        <v>0.987939352170917</v>
      </c>
      <c r="R1403" s="26">
        <v>0.987917758846658</v>
      </c>
      <c r="S1403" s="28">
        <v>0.9</v>
      </c>
      <c r="T1403" s="26">
        <v>0.950685537372844</v>
      </c>
      <c r="U1403" s="26">
        <v>0.95399844720496896</v>
      </c>
      <c r="V1403" s="26">
        <v>0.955892487939352</v>
      </c>
      <c r="W1403" s="26">
        <v>0.94917267365661895</v>
      </c>
      <c r="X1403" s="28">
        <v>0.92</v>
      </c>
      <c r="Y1403" s="28">
        <v>0.97308209959623104</v>
      </c>
      <c r="Z1403" s="28">
        <v>0.96840307429547401</v>
      </c>
      <c r="AA1403" s="28">
        <v>0.966159052453469</v>
      </c>
      <c r="AB1403" s="28">
        <v>0.96697181834500101</v>
      </c>
      <c r="AC1403" s="28">
        <v>0.92</v>
      </c>
      <c r="AD1403" s="26">
        <v>0.99986087924318301</v>
      </c>
      <c r="AE1403" s="26">
        <v>0.99864919627178195</v>
      </c>
      <c r="AF1403" s="26">
        <v>0.99902379499694904</v>
      </c>
      <c r="AG1403" s="26">
        <v>0.99749395865031798</v>
      </c>
      <c r="AH1403" s="28">
        <v>0.92</v>
      </c>
      <c r="AI1403" s="26">
        <v>0.98727445394112101</v>
      </c>
      <c r="AJ1403" s="26">
        <v>0.98718962517792197</v>
      </c>
      <c r="AK1403" s="26">
        <v>0.98261508325171398</v>
      </c>
      <c r="AL1403" s="26">
        <v>0.98502834278092699</v>
      </c>
      <c r="AM1403" s="25">
        <v>0.99</v>
      </c>
      <c r="AN1403" s="30">
        <v>1</v>
      </c>
      <c r="AO1403" s="30">
        <v>1</v>
      </c>
      <c r="AP1403" s="30">
        <v>1</v>
      </c>
      <c r="AQ1403" s="30">
        <v>1</v>
      </c>
      <c r="AR1403" s="50">
        <v>7.2186152540827803E-2</v>
      </c>
      <c r="AS1403" s="34">
        <v>0</v>
      </c>
      <c r="AT1403" s="34">
        <v>0</v>
      </c>
      <c r="AU1403" s="34">
        <v>0</v>
      </c>
      <c r="AV1403" s="34">
        <v>3.3333333333333298E-2</v>
      </c>
      <c r="AW1403" s="10"/>
      <c r="AX1403" s="8"/>
    </row>
    <row r="1404" spans="1:50">
      <c r="A1404" s="7"/>
      <c r="B1404" s="10"/>
      <c r="C1404" s="45" t="s">
        <v>1100</v>
      </c>
      <c r="D1404" s="23" t="s">
        <v>25</v>
      </c>
      <c r="E1404" s="83" t="s">
        <v>1448</v>
      </c>
      <c r="F1404" s="83" t="s">
        <v>1448</v>
      </c>
      <c r="G1404" s="83" t="s">
        <v>1448</v>
      </c>
      <c r="H1404" s="83" t="s">
        <v>1448</v>
      </c>
      <c r="I1404" s="25">
        <v>0.9</v>
      </c>
      <c r="J1404" s="26">
        <v>1</v>
      </c>
      <c r="K1404" s="26">
        <v>1</v>
      </c>
      <c r="L1404" s="27">
        <v>1</v>
      </c>
      <c r="M1404" s="26">
        <v>0.99549549549549599</v>
      </c>
      <c r="N1404" s="28">
        <v>0.9</v>
      </c>
      <c r="O1404" s="26">
        <v>0.99439077594266101</v>
      </c>
      <c r="P1404" s="26">
        <v>0.99429223744292194</v>
      </c>
      <c r="Q1404" s="26">
        <v>0.99688473520249199</v>
      </c>
      <c r="R1404" s="26">
        <v>0.99567638000473802</v>
      </c>
      <c r="S1404" s="28">
        <v>0.9</v>
      </c>
      <c r="T1404" s="26">
        <v>0.94733561857276405</v>
      </c>
      <c r="U1404" s="26">
        <v>0.96261415525114202</v>
      </c>
      <c r="V1404" s="26">
        <v>0.96728971962616805</v>
      </c>
      <c r="W1404" s="26">
        <v>0.96132433072731605</v>
      </c>
      <c r="X1404" s="28">
        <v>0.92</v>
      </c>
      <c r="Y1404" s="28">
        <v>0.96539162112932597</v>
      </c>
      <c r="Z1404" s="28">
        <v>0.98435462842242505</v>
      </c>
      <c r="AA1404" s="28">
        <v>0.98612862547288804</v>
      </c>
      <c r="AB1404" s="28">
        <v>0.98076923076923095</v>
      </c>
      <c r="AC1404" s="28">
        <v>0.92</v>
      </c>
      <c r="AD1404" s="26">
        <v>0.99962455415806295</v>
      </c>
      <c r="AE1404" s="26">
        <v>1</v>
      </c>
      <c r="AF1404" s="26">
        <v>0.99971056439942096</v>
      </c>
      <c r="AG1404" s="26">
        <v>0.99952623475068103</v>
      </c>
      <c r="AH1404" s="28">
        <v>0.92</v>
      </c>
      <c r="AI1404" s="26">
        <v>0.98004257583821197</v>
      </c>
      <c r="AJ1404" s="26">
        <v>0.991571060641536</v>
      </c>
      <c r="AK1404" s="26">
        <v>0.99227657226921695</v>
      </c>
      <c r="AL1404" s="26">
        <v>0.98914149983033595</v>
      </c>
      <c r="AM1404" s="25">
        <v>0.99</v>
      </c>
      <c r="AN1404" s="30">
        <v>1</v>
      </c>
      <c r="AO1404" s="30">
        <v>1</v>
      </c>
      <c r="AP1404" s="30">
        <v>1</v>
      </c>
      <c r="AQ1404" s="30">
        <v>1</v>
      </c>
      <c r="AR1404" s="50">
        <v>7.2186152540827803E-2</v>
      </c>
      <c r="AS1404" s="34">
        <v>0</v>
      </c>
      <c r="AT1404" s="34">
        <v>0</v>
      </c>
      <c r="AU1404" s="34">
        <v>0</v>
      </c>
      <c r="AV1404" s="34">
        <v>-1.2820512820512799E-2</v>
      </c>
      <c r="AW1404" s="10"/>
      <c r="AX1404" s="8"/>
    </row>
    <row r="1405" spans="1:50">
      <c r="A1405" s="7"/>
      <c r="B1405" s="10"/>
      <c r="C1405" s="45" t="s">
        <v>1100</v>
      </c>
      <c r="D1405" s="23" t="s">
        <v>25</v>
      </c>
      <c r="E1405" s="83" t="s">
        <v>1449</v>
      </c>
      <c r="F1405" s="83" t="s">
        <v>1449</v>
      </c>
      <c r="G1405" s="83" t="s">
        <v>1449</v>
      </c>
      <c r="H1405" s="83" t="s">
        <v>1449</v>
      </c>
      <c r="I1405" s="25">
        <v>0.9</v>
      </c>
      <c r="J1405" s="26">
        <v>0.94444444444444398</v>
      </c>
      <c r="K1405" s="26">
        <v>0.92307692307692302</v>
      </c>
      <c r="L1405" s="27">
        <v>0.88235294117647101</v>
      </c>
      <c r="M1405" s="26">
        <v>0.90521327014218</v>
      </c>
      <c r="N1405" s="28">
        <v>0.9</v>
      </c>
      <c r="O1405" s="26">
        <v>0.88985594237695098</v>
      </c>
      <c r="P1405" s="26">
        <v>0.71688093907210704</v>
      </c>
      <c r="Q1405" s="26">
        <v>0.95437665782493397</v>
      </c>
      <c r="R1405" s="26">
        <v>0.86777305134503602</v>
      </c>
      <c r="S1405" s="28">
        <v>0.9</v>
      </c>
      <c r="T1405" s="26">
        <v>0.89105642256902795</v>
      </c>
      <c r="U1405" s="26">
        <v>0.89659027389603096</v>
      </c>
      <c r="V1405" s="26">
        <v>0.927851458885942</v>
      </c>
      <c r="W1405" s="26">
        <v>0.90096459169612397</v>
      </c>
      <c r="X1405" s="28">
        <v>0.92</v>
      </c>
      <c r="Y1405" s="28">
        <v>0.92896174863388004</v>
      </c>
      <c r="Z1405" s="28">
        <v>0.94638069705093797</v>
      </c>
      <c r="AA1405" s="28">
        <v>0.95006090133982901</v>
      </c>
      <c r="AB1405" s="28">
        <v>0.936541512427287</v>
      </c>
      <c r="AC1405" s="28">
        <v>0.92</v>
      </c>
      <c r="AD1405" s="26">
        <v>0.99766060824185698</v>
      </c>
      <c r="AE1405" s="26">
        <v>0.99556587837837796</v>
      </c>
      <c r="AF1405" s="26">
        <v>0.98602894902454397</v>
      </c>
      <c r="AG1405" s="26">
        <v>0.99431781906403605</v>
      </c>
      <c r="AH1405" s="28">
        <v>0.92</v>
      </c>
      <c r="AI1405" s="26">
        <v>0.95645452203040404</v>
      </c>
      <c r="AJ1405" s="26">
        <v>0.96022201665124896</v>
      </c>
      <c r="AK1405" s="26">
        <v>0.96416697451052802</v>
      </c>
      <c r="AL1405" s="26">
        <v>0.95936507936507898</v>
      </c>
      <c r="AM1405" s="25">
        <v>0.99</v>
      </c>
      <c r="AN1405" s="30">
        <v>1</v>
      </c>
      <c r="AO1405" s="30">
        <v>1</v>
      </c>
      <c r="AP1405" s="30">
        <v>1</v>
      </c>
      <c r="AQ1405" s="30">
        <v>1</v>
      </c>
      <c r="AR1405" s="50">
        <v>7.2186152540827803E-2</v>
      </c>
      <c r="AS1405" s="34">
        <v>5.8823529411764698E-2</v>
      </c>
      <c r="AT1405" s="34">
        <v>0.133333333333333</v>
      </c>
      <c r="AU1405" s="34">
        <v>0</v>
      </c>
      <c r="AV1405" s="34">
        <v>5.6818181818181802E-2</v>
      </c>
      <c r="AW1405" s="10"/>
      <c r="AX1405" s="8"/>
    </row>
    <row r="1406" spans="1:50">
      <c r="A1406" s="7"/>
      <c r="B1406" s="10"/>
      <c r="C1406" s="45" t="s">
        <v>1100</v>
      </c>
      <c r="D1406" s="23" t="s">
        <v>25</v>
      </c>
      <c r="E1406" s="83" t="s">
        <v>1450</v>
      </c>
      <c r="F1406" s="83" t="s">
        <v>1450</v>
      </c>
      <c r="G1406" s="83" t="s">
        <v>1450</v>
      </c>
      <c r="H1406" s="83" t="s">
        <v>1450</v>
      </c>
      <c r="I1406" s="25">
        <v>0.9</v>
      </c>
      <c r="J1406" s="26">
        <v>0.952380952380952</v>
      </c>
      <c r="K1406" s="26">
        <v>1</v>
      </c>
      <c r="L1406" s="27">
        <v>0.91891891891891897</v>
      </c>
      <c r="M1406" s="26">
        <v>0.95132743362831895</v>
      </c>
      <c r="N1406" s="28">
        <v>0.9</v>
      </c>
      <c r="O1406" s="26">
        <v>0.99296556830803395</v>
      </c>
      <c r="P1406" s="26">
        <v>0.91223491027732495</v>
      </c>
      <c r="Q1406" s="26">
        <v>0.99940155595451796</v>
      </c>
      <c r="R1406" s="26">
        <v>0.97355567959810196</v>
      </c>
      <c r="S1406" s="28">
        <v>0.9</v>
      </c>
      <c r="T1406" s="26">
        <v>0.96630877452795305</v>
      </c>
      <c r="U1406" s="26">
        <v>0.87699836867863001</v>
      </c>
      <c r="V1406" s="26">
        <v>0.97845601436265695</v>
      </c>
      <c r="W1406" s="26">
        <v>0.94229695785654499</v>
      </c>
      <c r="X1406" s="28">
        <v>0.92</v>
      </c>
      <c r="Y1406" s="28">
        <v>0.95842450765864295</v>
      </c>
      <c r="Z1406" s="28">
        <v>0.96808510638297895</v>
      </c>
      <c r="AA1406" s="28">
        <v>0.98585572842998603</v>
      </c>
      <c r="AB1406" s="28">
        <v>0.96430750457596104</v>
      </c>
      <c r="AC1406" s="28">
        <v>0.92</v>
      </c>
      <c r="AD1406" s="26">
        <v>0.90380952380952395</v>
      </c>
      <c r="AE1406" s="26">
        <v>0.93250747543784696</v>
      </c>
      <c r="AF1406" s="26">
        <v>0.96513933827366705</v>
      </c>
      <c r="AG1406" s="26">
        <v>0.77925120452636698</v>
      </c>
      <c r="AH1406" s="28">
        <v>0.92</v>
      </c>
      <c r="AI1406" s="26">
        <v>0.98480531813865102</v>
      </c>
      <c r="AJ1406" s="26">
        <v>0.98656997045393502</v>
      </c>
      <c r="AK1406" s="26">
        <v>0.99201009251471794</v>
      </c>
      <c r="AL1406" s="26">
        <v>0.98654402997785695</v>
      </c>
      <c r="AM1406" s="25">
        <v>0.99</v>
      </c>
      <c r="AN1406" s="30">
        <v>1</v>
      </c>
      <c r="AO1406" s="30">
        <v>1</v>
      </c>
      <c r="AP1406" s="30">
        <v>1</v>
      </c>
      <c r="AQ1406" s="30">
        <v>1</v>
      </c>
      <c r="AR1406" s="50">
        <v>7.2186152540827803E-2</v>
      </c>
      <c r="AS1406" s="34">
        <v>6.6666666666666693E-2</v>
      </c>
      <c r="AT1406" s="34">
        <v>0</v>
      </c>
      <c r="AU1406" s="34">
        <v>0.125</v>
      </c>
      <c r="AV1406" s="34">
        <v>4.5454545454545497E-2</v>
      </c>
      <c r="AW1406" s="10"/>
      <c r="AX1406" s="8"/>
    </row>
    <row r="1407" spans="1:50">
      <c r="A1407" s="7"/>
      <c r="B1407" s="10"/>
      <c r="C1407" s="45" t="s">
        <v>1100</v>
      </c>
      <c r="D1407" s="23" t="s">
        <v>25</v>
      </c>
      <c r="E1407" s="83" t="s">
        <v>1451</v>
      </c>
      <c r="F1407" s="83" t="s">
        <v>1451</v>
      </c>
      <c r="G1407" s="83" t="s">
        <v>1451</v>
      </c>
      <c r="H1407" s="83" t="s">
        <v>1451</v>
      </c>
      <c r="I1407" s="25">
        <v>0.9</v>
      </c>
      <c r="J1407" s="26">
        <v>0.96842105263157896</v>
      </c>
      <c r="K1407" s="26">
        <v>0.95789473684210502</v>
      </c>
      <c r="L1407" s="27">
        <v>0.82857142857142896</v>
      </c>
      <c r="M1407" s="26">
        <v>0.91313131313131302</v>
      </c>
      <c r="N1407" s="28">
        <v>0.9</v>
      </c>
      <c r="O1407" s="26">
        <v>0.95350302419354804</v>
      </c>
      <c r="P1407" s="26">
        <v>0.90936075479698897</v>
      </c>
      <c r="Q1407" s="26">
        <v>0.97388509441542803</v>
      </c>
      <c r="R1407" s="26">
        <v>0.94769561559315696</v>
      </c>
      <c r="S1407" s="28">
        <v>0.9</v>
      </c>
      <c r="T1407" s="26">
        <v>0.92174899193548399</v>
      </c>
      <c r="U1407" s="26">
        <v>0.90289409519771002</v>
      </c>
      <c r="V1407" s="26">
        <v>0.92507030936118895</v>
      </c>
      <c r="W1407" s="26">
        <v>0.90950733850612298</v>
      </c>
      <c r="X1407" s="28">
        <v>0.92</v>
      </c>
      <c r="Y1407" s="28">
        <v>0.93604651162790697</v>
      </c>
      <c r="Z1407" s="28">
        <v>0.90580704160951098</v>
      </c>
      <c r="AA1407" s="28">
        <v>0.92367105860972298</v>
      </c>
      <c r="AB1407" s="28">
        <v>0.91824666791815301</v>
      </c>
      <c r="AC1407" s="28">
        <v>0.92</v>
      </c>
      <c r="AD1407" s="26">
        <v>0.95293427230046901</v>
      </c>
      <c r="AE1407" s="26">
        <v>0.96866197183098601</v>
      </c>
      <c r="AF1407" s="26">
        <v>0.98183001893939403</v>
      </c>
      <c r="AG1407" s="26">
        <v>0.89710739491708102</v>
      </c>
      <c r="AH1407" s="28">
        <v>0.92</v>
      </c>
      <c r="AI1407" s="26">
        <v>0.96302816901408494</v>
      </c>
      <c r="AJ1407" s="26">
        <v>0.96161790017211701</v>
      </c>
      <c r="AK1407" s="26">
        <v>0.961554534057668</v>
      </c>
      <c r="AL1407" s="26">
        <v>0.96104333507970996</v>
      </c>
      <c r="AM1407" s="25">
        <v>0.99</v>
      </c>
      <c r="AN1407" s="30">
        <v>1</v>
      </c>
      <c r="AO1407" s="30">
        <v>1</v>
      </c>
      <c r="AP1407" s="30">
        <v>1</v>
      </c>
      <c r="AQ1407" s="30">
        <v>1</v>
      </c>
      <c r="AR1407" s="50">
        <v>7.2186152540827803E-2</v>
      </c>
      <c r="AS1407" s="34">
        <v>0</v>
      </c>
      <c r="AT1407" s="34">
        <v>6.3829787234042507E-2</v>
      </c>
      <c r="AU1407" s="34">
        <v>3.2258064516128997E-2</v>
      </c>
      <c r="AV1407" s="34">
        <v>3.7313432835820899E-2</v>
      </c>
      <c r="AW1407" s="10"/>
      <c r="AX1407" s="8"/>
    </row>
    <row r="1408" spans="1:50">
      <c r="A1408" s="7"/>
      <c r="B1408" s="10"/>
      <c r="C1408" s="45" t="s">
        <v>1100</v>
      </c>
      <c r="D1408" s="23" t="s">
        <v>25</v>
      </c>
      <c r="E1408" s="83" t="s">
        <v>1452</v>
      </c>
      <c r="F1408" s="83" t="s">
        <v>1452</v>
      </c>
      <c r="G1408" s="83" t="s">
        <v>1452</v>
      </c>
      <c r="H1408" s="83" t="s">
        <v>1452</v>
      </c>
      <c r="I1408" s="25">
        <v>0.9</v>
      </c>
      <c r="J1408" s="26">
        <v>1</v>
      </c>
      <c r="K1408" s="26">
        <v>1</v>
      </c>
      <c r="L1408" s="27">
        <v>1</v>
      </c>
      <c r="M1408" s="26">
        <v>1</v>
      </c>
      <c r="N1408" s="28">
        <v>0.9</v>
      </c>
      <c r="O1408" s="26">
        <v>0.984520123839009</v>
      </c>
      <c r="P1408" s="26">
        <v>0.96499999999999997</v>
      </c>
      <c r="Q1408" s="26">
        <v>0.99031476997578705</v>
      </c>
      <c r="R1408" s="26">
        <v>0.98166392993979201</v>
      </c>
      <c r="S1408" s="28">
        <v>0.9</v>
      </c>
      <c r="T1408" s="26">
        <v>0.93911248710010298</v>
      </c>
      <c r="U1408" s="26">
        <v>0.93625000000000003</v>
      </c>
      <c r="V1408" s="26">
        <v>0.94592413236480999</v>
      </c>
      <c r="W1408" s="26">
        <v>0.94189016602809705</v>
      </c>
      <c r="X1408" s="28">
        <v>0.92</v>
      </c>
      <c r="Y1408" s="28">
        <v>0.95867768595041303</v>
      </c>
      <c r="Z1408" s="28">
        <v>0.955165692007797</v>
      </c>
      <c r="AA1408" s="28">
        <v>0.94557823129251695</v>
      </c>
      <c r="AB1408" s="28">
        <v>0.94780417566594699</v>
      </c>
      <c r="AC1408" s="28">
        <v>0.92</v>
      </c>
      <c r="AD1408" s="26">
        <v>0.99939637826961802</v>
      </c>
      <c r="AE1408" s="26">
        <v>0.99503649635036495</v>
      </c>
      <c r="AF1408" s="26">
        <v>0.99429932783119201</v>
      </c>
      <c r="AG1408" s="26">
        <v>0.99129925541705</v>
      </c>
      <c r="AH1408" s="28">
        <v>0.92</v>
      </c>
      <c r="AI1408" s="26">
        <v>0.96872284969591704</v>
      </c>
      <c r="AJ1408" s="26">
        <v>0.97940974605353504</v>
      </c>
      <c r="AK1408" s="26">
        <v>0.97263273125342098</v>
      </c>
      <c r="AL1408" s="26">
        <v>0.97416866768536703</v>
      </c>
      <c r="AM1408" s="25">
        <v>0.99</v>
      </c>
      <c r="AN1408" s="30">
        <v>1</v>
      </c>
      <c r="AO1408" s="30">
        <v>1</v>
      </c>
      <c r="AP1408" s="30">
        <v>1</v>
      </c>
      <c r="AQ1408" s="30">
        <v>1</v>
      </c>
      <c r="AR1408" s="50">
        <v>7.2186152540827803E-2</v>
      </c>
      <c r="AS1408" s="34">
        <v>0</v>
      </c>
      <c r="AT1408" s="34">
        <v>0</v>
      </c>
      <c r="AU1408" s="34">
        <v>0.2</v>
      </c>
      <c r="AV1408" s="34">
        <v>2.2222222222222199E-2</v>
      </c>
      <c r="AW1408" s="10"/>
      <c r="AX1408" s="8"/>
    </row>
    <row r="1409" spans="1:50">
      <c r="A1409" s="7"/>
      <c r="B1409" s="10"/>
      <c r="C1409" s="45" t="s">
        <v>1100</v>
      </c>
      <c r="D1409" s="23" t="s">
        <v>25</v>
      </c>
      <c r="E1409" s="83" t="s">
        <v>1453</v>
      </c>
      <c r="F1409" s="83" t="s">
        <v>1453</v>
      </c>
      <c r="G1409" s="83" t="s">
        <v>1453</v>
      </c>
      <c r="H1409" s="83" t="s">
        <v>1453</v>
      </c>
      <c r="I1409" s="25">
        <v>0.9</v>
      </c>
      <c r="J1409" s="26">
        <v>1</v>
      </c>
      <c r="K1409" s="26">
        <v>0.98571428571428599</v>
      </c>
      <c r="L1409" s="27">
        <v>0.98333333333333295</v>
      </c>
      <c r="M1409" s="26">
        <v>0.97606382978723405</v>
      </c>
      <c r="N1409" s="28">
        <v>0.9</v>
      </c>
      <c r="O1409" s="26">
        <v>0.95291443416138999</v>
      </c>
      <c r="P1409" s="26">
        <v>0.96021568055960405</v>
      </c>
      <c r="Q1409" s="26">
        <v>0.989304812834225</v>
      </c>
      <c r="R1409" s="26">
        <v>0.970871956009427</v>
      </c>
      <c r="S1409" s="28">
        <v>0.9</v>
      </c>
      <c r="T1409" s="26">
        <v>0.92677382691995502</v>
      </c>
      <c r="U1409" s="26">
        <v>0.92626056543281798</v>
      </c>
      <c r="V1409" s="26">
        <v>0.94385026737967903</v>
      </c>
      <c r="W1409" s="26">
        <v>0.92754124116260805</v>
      </c>
      <c r="X1409" s="28">
        <v>0.92</v>
      </c>
      <c r="Y1409" s="28">
        <v>0.93889347646573096</v>
      </c>
      <c r="Z1409" s="28">
        <v>0.94033898305084795</v>
      </c>
      <c r="AA1409" s="28">
        <v>0.93438639125151901</v>
      </c>
      <c r="AB1409" s="28">
        <v>0.93756490134994797</v>
      </c>
      <c r="AC1409" s="28">
        <v>0.92</v>
      </c>
      <c r="AD1409" s="26">
        <v>0.99688352162056904</v>
      </c>
      <c r="AE1409" s="26">
        <v>0.99875724937862498</v>
      </c>
      <c r="AF1409" s="26">
        <v>0.99682623644538504</v>
      </c>
      <c r="AG1409" s="26">
        <v>0.99750236121313895</v>
      </c>
      <c r="AH1409" s="28">
        <v>0.92</v>
      </c>
      <c r="AI1409" s="26">
        <v>0.96689280868385297</v>
      </c>
      <c r="AJ1409" s="26">
        <v>0.969773299748111</v>
      </c>
      <c r="AK1409" s="26">
        <v>0.96472990532764102</v>
      </c>
      <c r="AL1409" s="26">
        <v>0.97009865924614203</v>
      </c>
      <c r="AM1409" s="25">
        <v>0.99</v>
      </c>
      <c r="AN1409" s="30">
        <v>1</v>
      </c>
      <c r="AO1409" s="30">
        <v>1</v>
      </c>
      <c r="AP1409" s="30">
        <v>1</v>
      </c>
      <c r="AQ1409" s="30">
        <v>1</v>
      </c>
      <c r="AR1409" s="50">
        <v>7.2186152540827803E-2</v>
      </c>
      <c r="AS1409" s="34">
        <v>2.6315789473684199E-2</v>
      </c>
      <c r="AT1409" s="34">
        <v>5.4054054054054099E-2</v>
      </c>
      <c r="AU1409" s="34">
        <v>0.125</v>
      </c>
      <c r="AV1409" s="34">
        <v>6.6326530612244902E-2</v>
      </c>
      <c r="AW1409" s="10"/>
      <c r="AX1409" s="8"/>
    </row>
    <row r="1410" spans="1:50">
      <c r="A1410" s="7"/>
      <c r="B1410" s="10"/>
      <c r="C1410" s="45" t="s">
        <v>1100</v>
      </c>
      <c r="D1410" s="23" t="s">
        <v>25</v>
      </c>
      <c r="E1410" s="83" t="s">
        <v>1454</v>
      </c>
      <c r="F1410" s="83" t="s">
        <v>1454</v>
      </c>
      <c r="G1410" s="83" t="s">
        <v>1454</v>
      </c>
      <c r="H1410" s="83" t="s">
        <v>1454</v>
      </c>
      <c r="I1410" s="25">
        <v>0.9</v>
      </c>
      <c r="J1410" s="26">
        <v>0.94444444444444398</v>
      </c>
      <c r="K1410" s="26">
        <v>0.95505617977528101</v>
      </c>
      <c r="L1410" s="27">
        <v>0.94736842105263197</v>
      </c>
      <c r="M1410" s="26">
        <v>0.79466119096509202</v>
      </c>
      <c r="N1410" s="28">
        <v>0.9</v>
      </c>
      <c r="O1410" s="26">
        <v>0.92286672463048103</v>
      </c>
      <c r="P1410" s="26">
        <v>0.93384308510638303</v>
      </c>
      <c r="Q1410" s="26">
        <v>0.96410964306842795</v>
      </c>
      <c r="R1410" s="26">
        <v>0.91771178143503196</v>
      </c>
      <c r="S1410" s="28">
        <v>0.9</v>
      </c>
      <c r="T1410" s="26">
        <v>0.90373866600422303</v>
      </c>
      <c r="U1410" s="26">
        <v>0.91943705673758902</v>
      </c>
      <c r="V1410" s="26">
        <v>0.94320646815223796</v>
      </c>
      <c r="W1410" s="26">
        <v>0.91372558161219597</v>
      </c>
      <c r="X1410" s="28">
        <v>0.92</v>
      </c>
      <c r="Y1410" s="28">
        <v>0.88873812754409798</v>
      </c>
      <c r="Z1410" s="28">
        <v>0.93452958292919497</v>
      </c>
      <c r="AA1410" s="28">
        <v>0.92657856093979396</v>
      </c>
      <c r="AB1410" s="28">
        <v>0.91648328617835095</v>
      </c>
      <c r="AC1410" s="28">
        <v>0.92</v>
      </c>
      <c r="AD1410" s="26">
        <v>0.99915325994919602</v>
      </c>
      <c r="AE1410" s="26">
        <v>0.99737024221453296</v>
      </c>
      <c r="AF1410" s="26">
        <v>0.99571134020618601</v>
      </c>
      <c r="AG1410" s="26">
        <v>0.98175691627497697</v>
      </c>
      <c r="AH1410" s="28">
        <v>0.92</v>
      </c>
      <c r="AI1410" s="26">
        <v>0.95591014066764601</v>
      </c>
      <c r="AJ1410" s="26">
        <v>0.96707856047623297</v>
      </c>
      <c r="AK1410" s="26">
        <v>0.96050597329585397</v>
      </c>
      <c r="AL1410" s="26">
        <v>0.96136831668065004</v>
      </c>
      <c r="AM1410" s="25">
        <v>0.99</v>
      </c>
      <c r="AN1410" s="30">
        <v>1</v>
      </c>
      <c r="AO1410" s="30">
        <v>1</v>
      </c>
      <c r="AP1410" s="30">
        <v>1</v>
      </c>
      <c r="AQ1410" s="30">
        <v>1</v>
      </c>
      <c r="AR1410" s="50">
        <v>7.2186152540827803E-2</v>
      </c>
      <c r="AS1410" s="34">
        <v>1.8181818181818198E-2</v>
      </c>
      <c r="AT1410" s="34">
        <v>1.63934426229508E-2</v>
      </c>
      <c r="AU1410" s="34">
        <v>0</v>
      </c>
      <c r="AV1410" s="34">
        <v>2.2292993630573198E-2</v>
      </c>
      <c r="AW1410" s="10"/>
      <c r="AX1410" s="8"/>
    </row>
    <row r="1411" spans="1:50">
      <c r="A1411" s="7"/>
      <c r="B1411" s="10"/>
      <c r="C1411" s="45" t="s">
        <v>1100</v>
      </c>
      <c r="D1411" s="23" t="s">
        <v>25</v>
      </c>
      <c r="E1411" s="83" t="s">
        <v>1455</v>
      </c>
      <c r="F1411" s="83" t="s">
        <v>1455</v>
      </c>
      <c r="G1411" s="83" t="s">
        <v>1455</v>
      </c>
      <c r="H1411" s="83" t="s">
        <v>1455</v>
      </c>
      <c r="I1411" s="25">
        <v>0.9</v>
      </c>
      <c r="J1411" s="26">
        <v>0.93975903614457801</v>
      </c>
      <c r="K1411" s="26">
        <v>0.95121951219512202</v>
      </c>
      <c r="L1411" s="27">
        <v>0.91780821917808197</v>
      </c>
      <c r="M1411" s="26">
        <v>0.93512304250559297</v>
      </c>
      <c r="N1411" s="28">
        <v>0.9</v>
      </c>
      <c r="O1411" s="26">
        <v>0.94332748616920803</v>
      </c>
      <c r="P1411" s="26">
        <v>0.92536077596404098</v>
      </c>
      <c r="Q1411" s="26">
        <v>0.96579121606709295</v>
      </c>
      <c r="R1411" s="26">
        <v>0.94014583494370196</v>
      </c>
      <c r="S1411" s="28">
        <v>0.9</v>
      </c>
      <c r="T1411" s="26">
        <v>0.93685062744568903</v>
      </c>
      <c r="U1411" s="26">
        <v>0.93009226401703304</v>
      </c>
      <c r="V1411" s="26">
        <v>0.93599646877069098</v>
      </c>
      <c r="W1411" s="26">
        <v>0.92906650176496397</v>
      </c>
      <c r="X1411" s="28">
        <v>0.92</v>
      </c>
      <c r="Y1411" s="28">
        <v>0.92452830188679203</v>
      </c>
      <c r="Z1411" s="28">
        <v>0.93571428571428605</v>
      </c>
      <c r="AA1411" s="28">
        <v>0.92590559824368801</v>
      </c>
      <c r="AB1411" s="28">
        <v>0.91305361305361299</v>
      </c>
      <c r="AC1411" s="28">
        <v>0.92</v>
      </c>
      <c r="AD1411" s="26">
        <v>0.98782087314971001</v>
      </c>
      <c r="AE1411" s="26">
        <v>0.99050723942851704</v>
      </c>
      <c r="AF1411" s="26">
        <v>0.99215781388956303</v>
      </c>
      <c r="AG1411" s="26">
        <v>0.98199371208993602</v>
      </c>
      <c r="AH1411" s="28">
        <v>0.92</v>
      </c>
      <c r="AI1411" s="26">
        <v>0.96437457588780795</v>
      </c>
      <c r="AJ1411" s="26">
        <v>0.96808717649348097</v>
      </c>
      <c r="AK1411" s="26">
        <v>0.95924468922108597</v>
      </c>
      <c r="AL1411" s="26">
        <v>0.96181515157908104</v>
      </c>
      <c r="AM1411" s="25">
        <v>0.99</v>
      </c>
      <c r="AN1411" s="30">
        <v>1</v>
      </c>
      <c r="AO1411" s="30">
        <v>1</v>
      </c>
      <c r="AP1411" s="30">
        <v>1</v>
      </c>
      <c r="AQ1411" s="30">
        <v>1</v>
      </c>
      <c r="AR1411" s="50">
        <v>7.2186152540827803E-2</v>
      </c>
      <c r="AS1411" s="34">
        <v>0</v>
      </c>
      <c r="AT1411" s="34">
        <v>-1.4285714285714299E-2</v>
      </c>
      <c r="AU1411" s="34">
        <v>0.06</v>
      </c>
      <c r="AV1411" s="34">
        <v>2.81329923273657E-2</v>
      </c>
      <c r="AW1411" s="10"/>
      <c r="AX1411" s="8"/>
    </row>
    <row r="1412" spans="1:50">
      <c r="A1412" s="7"/>
      <c r="B1412" s="10"/>
      <c r="C1412" s="45" t="s">
        <v>1100</v>
      </c>
      <c r="D1412" s="23" t="s">
        <v>25</v>
      </c>
      <c r="E1412" s="83" t="s">
        <v>1456</v>
      </c>
      <c r="F1412" s="83" t="s">
        <v>1456</v>
      </c>
      <c r="G1412" s="83" t="s">
        <v>1456</v>
      </c>
      <c r="H1412" s="83" t="s">
        <v>1456</v>
      </c>
      <c r="I1412" s="25">
        <v>0.9</v>
      </c>
      <c r="J1412" s="26">
        <v>0.95833333333333304</v>
      </c>
      <c r="K1412" s="26">
        <v>0.95890410958904104</v>
      </c>
      <c r="L1412" s="27">
        <v>0.95522388059701502</v>
      </c>
      <c r="M1412" s="26">
        <v>0.92420537897310495</v>
      </c>
      <c r="N1412" s="28">
        <v>0.9</v>
      </c>
      <c r="O1412" s="26">
        <v>0.94126284875183597</v>
      </c>
      <c r="P1412" s="26">
        <v>0.81615374277650898</v>
      </c>
      <c r="Q1412" s="26">
        <v>0.96615231458437001</v>
      </c>
      <c r="R1412" s="26">
        <v>0.92327488687782799</v>
      </c>
      <c r="S1412" s="28">
        <v>0.9</v>
      </c>
      <c r="T1412" s="26">
        <v>0.87371512481644598</v>
      </c>
      <c r="U1412" s="26">
        <v>0.86211530708238104</v>
      </c>
      <c r="V1412" s="26">
        <v>0.94574415131906397</v>
      </c>
      <c r="W1412" s="26">
        <v>0.89408936651583704</v>
      </c>
      <c r="X1412" s="28">
        <v>0.92</v>
      </c>
      <c r="Y1412" s="28">
        <v>0.92772977219167296</v>
      </c>
      <c r="Z1412" s="28">
        <v>0.94560185185185197</v>
      </c>
      <c r="AA1412" s="28">
        <v>0.94316877152698098</v>
      </c>
      <c r="AB1412" s="28">
        <v>0.93060520152841097</v>
      </c>
      <c r="AC1412" s="28">
        <v>0.92</v>
      </c>
      <c r="AD1412" s="26">
        <v>0.99590478628103396</v>
      </c>
      <c r="AE1412" s="26">
        <v>0.99874634350188096</v>
      </c>
      <c r="AF1412" s="26">
        <v>0.99316363636363603</v>
      </c>
      <c r="AG1412" s="26">
        <v>0.99456898544025896</v>
      </c>
      <c r="AH1412" s="28">
        <v>0.92</v>
      </c>
      <c r="AI1412" s="26">
        <v>0.96548311270567899</v>
      </c>
      <c r="AJ1412" s="26">
        <v>0.96760824517395605</v>
      </c>
      <c r="AK1412" s="26">
        <v>0.96892900538101001</v>
      </c>
      <c r="AL1412" s="26">
        <v>0.96756682154851203</v>
      </c>
      <c r="AM1412" s="25">
        <v>0.99</v>
      </c>
      <c r="AN1412" s="30">
        <v>1</v>
      </c>
      <c r="AO1412" s="30">
        <v>1</v>
      </c>
      <c r="AP1412" s="30">
        <v>1</v>
      </c>
      <c r="AQ1412" s="30">
        <v>1</v>
      </c>
      <c r="AR1412" s="50">
        <v>7.2186152540827803E-2</v>
      </c>
      <c r="AS1412" s="34">
        <v>2.32558139534884E-2</v>
      </c>
      <c r="AT1412" s="34">
        <v>1.88679245283019E-2</v>
      </c>
      <c r="AU1412" s="34">
        <v>2.7777777777777801E-2</v>
      </c>
      <c r="AV1412" s="34">
        <v>2.5210084033613401E-2</v>
      </c>
      <c r="AW1412" s="10"/>
      <c r="AX1412" s="8"/>
    </row>
    <row r="1413" spans="1:50">
      <c r="A1413" s="7"/>
      <c r="B1413" s="10"/>
      <c r="C1413" s="45" t="s">
        <v>1100</v>
      </c>
      <c r="D1413" s="23" t="s">
        <v>25</v>
      </c>
      <c r="E1413" s="83" t="s">
        <v>1457</v>
      </c>
      <c r="F1413" s="83" t="s">
        <v>1457</v>
      </c>
      <c r="G1413" s="83" t="s">
        <v>1457</v>
      </c>
      <c r="H1413" s="83" t="s">
        <v>1457</v>
      </c>
      <c r="I1413" s="25">
        <v>0.9</v>
      </c>
      <c r="J1413" s="26">
        <v>0.92307692307692302</v>
      </c>
      <c r="K1413" s="26">
        <v>0.88461538461538503</v>
      </c>
      <c r="L1413" s="27">
        <v>1</v>
      </c>
      <c r="M1413" s="26">
        <v>0.95588235294117696</v>
      </c>
      <c r="N1413" s="28">
        <v>0.9</v>
      </c>
      <c r="O1413" s="26">
        <v>0.97882352941176498</v>
      </c>
      <c r="P1413" s="26">
        <v>0.976090604026846</v>
      </c>
      <c r="Q1413" s="26">
        <v>0.97859327217125402</v>
      </c>
      <c r="R1413" s="26">
        <v>0.97807017543859698</v>
      </c>
      <c r="S1413" s="28">
        <v>0.9</v>
      </c>
      <c r="T1413" s="26">
        <v>0.94305882352941195</v>
      </c>
      <c r="U1413" s="26">
        <v>0.93204697986577201</v>
      </c>
      <c r="V1413" s="26">
        <v>0.951834862385321</v>
      </c>
      <c r="W1413" s="26">
        <v>0.94051535087719296</v>
      </c>
      <c r="X1413" s="28">
        <v>0.92</v>
      </c>
      <c r="Y1413" s="28">
        <v>0.94366197183098599</v>
      </c>
      <c r="Z1413" s="28">
        <v>0.95390781563126203</v>
      </c>
      <c r="AA1413" s="28">
        <v>0.95674740484429099</v>
      </c>
      <c r="AB1413" s="28">
        <v>0.95204402515723296</v>
      </c>
      <c r="AC1413" s="28">
        <v>0.92</v>
      </c>
      <c r="AD1413" s="26">
        <v>1</v>
      </c>
      <c r="AE1413" s="26">
        <v>0.99952244508118404</v>
      </c>
      <c r="AF1413" s="26">
        <v>0.99823147966201597</v>
      </c>
      <c r="AG1413" s="26">
        <v>0.99948625738505004</v>
      </c>
      <c r="AH1413" s="28">
        <v>0.92</v>
      </c>
      <c r="AI1413" s="26">
        <v>0.96411290322580601</v>
      </c>
      <c r="AJ1413" s="26">
        <v>0.97329171002428005</v>
      </c>
      <c r="AK1413" s="26">
        <v>0.97401908801696702</v>
      </c>
      <c r="AL1413" s="26">
        <v>0.97227370449996298</v>
      </c>
      <c r="AM1413" s="25">
        <v>0.99</v>
      </c>
      <c r="AN1413" s="30">
        <v>1</v>
      </c>
      <c r="AO1413" s="30">
        <v>1</v>
      </c>
      <c r="AP1413" s="30">
        <v>1</v>
      </c>
      <c r="AQ1413" s="30">
        <v>1</v>
      </c>
      <c r="AR1413" s="50">
        <v>7.2186152540827803E-2</v>
      </c>
      <c r="AS1413" s="34">
        <v>7.1428571428571397E-2</v>
      </c>
      <c r="AT1413" s="34">
        <v>0</v>
      </c>
      <c r="AU1413" s="34">
        <v>0</v>
      </c>
      <c r="AV1413" s="34">
        <v>4.5454545454545497E-2</v>
      </c>
      <c r="AW1413" s="10"/>
      <c r="AX1413" s="8"/>
    </row>
    <row r="1414" spans="1:50">
      <c r="A1414" s="7"/>
      <c r="B1414" s="10"/>
      <c r="C1414" s="45" t="s">
        <v>1100</v>
      </c>
      <c r="D1414" s="23" t="s">
        <v>25</v>
      </c>
      <c r="E1414" s="83" t="s">
        <v>1458</v>
      </c>
      <c r="F1414" s="83" t="s">
        <v>1458</v>
      </c>
      <c r="G1414" s="83" t="s">
        <v>1458</v>
      </c>
      <c r="H1414" s="83" t="s">
        <v>1458</v>
      </c>
      <c r="I1414" s="25">
        <v>0.9</v>
      </c>
      <c r="J1414" s="26">
        <v>1</v>
      </c>
      <c r="K1414" s="26">
        <v>1</v>
      </c>
      <c r="L1414" s="27">
        <v>1</v>
      </c>
      <c r="M1414" s="26">
        <v>0.99425287356321801</v>
      </c>
      <c r="N1414" s="28">
        <v>0.9</v>
      </c>
      <c r="O1414" s="26">
        <v>0.99232736572890001</v>
      </c>
      <c r="P1414" s="26">
        <v>0.99439868204283399</v>
      </c>
      <c r="Q1414" s="26">
        <v>0.99405469678953595</v>
      </c>
      <c r="R1414" s="26">
        <v>0.99046449469045705</v>
      </c>
      <c r="S1414" s="28">
        <v>0.9</v>
      </c>
      <c r="T1414" s="26">
        <v>0.93204238217025903</v>
      </c>
      <c r="U1414" s="26">
        <v>0.95485996705107101</v>
      </c>
      <c r="V1414" s="26">
        <v>0.93816884661117705</v>
      </c>
      <c r="W1414" s="26">
        <v>0.94033085313877096</v>
      </c>
      <c r="X1414" s="28">
        <v>0.92</v>
      </c>
      <c r="Y1414" s="28">
        <v>0.96475770925110105</v>
      </c>
      <c r="Z1414" s="28">
        <v>0.96457326892109496</v>
      </c>
      <c r="AA1414" s="28">
        <v>0.97446808510638305</v>
      </c>
      <c r="AB1414" s="28">
        <v>0.96821360457724104</v>
      </c>
      <c r="AC1414" s="28">
        <v>0.92</v>
      </c>
      <c r="AD1414" s="26">
        <v>1</v>
      </c>
      <c r="AE1414" s="26">
        <v>1</v>
      </c>
      <c r="AF1414" s="26">
        <v>1</v>
      </c>
      <c r="AG1414" s="26">
        <v>1</v>
      </c>
      <c r="AH1414" s="28">
        <v>0.92</v>
      </c>
      <c r="AI1414" s="26">
        <v>0.97555625195863405</v>
      </c>
      <c r="AJ1414" s="26">
        <v>0.98276805251641097</v>
      </c>
      <c r="AK1414" s="26">
        <v>0.98449937159614598</v>
      </c>
      <c r="AL1414" s="26">
        <v>0.98116539140671</v>
      </c>
      <c r="AM1414" s="25">
        <v>0.99</v>
      </c>
      <c r="AN1414" s="30">
        <v>1</v>
      </c>
      <c r="AO1414" s="30">
        <v>1</v>
      </c>
      <c r="AP1414" s="30">
        <v>1</v>
      </c>
      <c r="AQ1414" s="30">
        <v>1</v>
      </c>
      <c r="AR1414" s="50">
        <v>7.2186152540827803E-2</v>
      </c>
      <c r="AS1414" s="34">
        <v>7.69230769230769E-2</v>
      </c>
      <c r="AT1414" s="34">
        <v>-0.125</v>
      </c>
      <c r="AU1414" s="34">
        <v>0</v>
      </c>
      <c r="AV1414" s="34">
        <v>2.8985507246376802E-2</v>
      </c>
      <c r="AW1414" s="10"/>
      <c r="AX1414" s="8"/>
    </row>
    <row r="1415" spans="1:50">
      <c r="A1415" s="7"/>
      <c r="B1415" s="10"/>
      <c r="C1415" s="45" t="s">
        <v>1100</v>
      </c>
      <c r="D1415" s="23" t="s">
        <v>25</v>
      </c>
      <c r="E1415" s="83" t="s">
        <v>1459</v>
      </c>
      <c r="F1415" s="83" t="s">
        <v>1459</v>
      </c>
      <c r="G1415" s="83" t="s">
        <v>1459</v>
      </c>
      <c r="H1415" s="83" t="s">
        <v>1459</v>
      </c>
      <c r="I1415" s="25">
        <v>0.9</v>
      </c>
      <c r="J1415" s="26">
        <v>0.92</v>
      </c>
      <c r="K1415" s="26">
        <v>0.94230769230769196</v>
      </c>
      <c r="L1415" s="27">
        <v>0.88888888888888895</v>
      </c>
      <c r="M1415" s="26">
        <v>0.91304347826086996</v>
      </c>
      <c r="N1415" s="28">
        <v>0.9</v>
      </c>
      <c r="O1415" s="26">
        <v>0.97495141438134303</v>
      </c>
      <c r="P1415" s="26">
        <v>0.95096899224806197</v>
      </c>
      <c r="Q1415" s="26">
        <v>0.96662078458362</v>
      </c>
      <c r="R1415" s="26">
        <v>0.963906230619754</v>
      </c>
      <c r="S1415" s="28">
        <v>0.9</v>
      </c>
      <c r="T1415" s="26">
        <v>0.94860721226516997</v>
      </c>
      <c r="U1415" s="26">
        <v>0.93468992248061999</v>
      </c>
      <c r="V1415" s="26">
        <v>0.96077081899518202</v>
      </c>
      <c r="W1415" s="26">
        <v>0.94079464174969996</v>
      </c>
      <c r="X1415" s="28">
        <v>0.92</v>
      </c>
      <c r="Y1415" s="28">
        <v>0.89814814814814803</v>
      </c>
      <c r="Z1415" s="28">
        <v>0.929219600725953</v>
      </c>
      <c r="AA1415" s="28">
        <v>0.95212765957446799</v>
      </c>
      <c r="AB1415" s="28">
        <v>0.913141567963903</v>
      </c>
      <c r="AC1415" s="28">
        <v>0.92</v>
      </c>
      <c r="AD1415" s="26">
        <v>0.99569812026559401</v>
      </c>
      <c r="AE1415" s="26">
        <v>0.98403886190145695</v>
      </c>
      <c r="AF1415" s="26">
        <v>0.99374217772215301</v>
      </c>
      <c r="AG1415" s="26">
        <v>0.96294980008884901</v>
      </c>
      <c r="AH1415" s="28">
        <v>0.92</v>
      </c>
      <c r="AI1415" s="26">
        <v>0.96142433234421398</v>
      </c>
      <c r="AJ1415" s="26">
        <v>0.96936821952775998</v>
      </c>
      <c r="AK1415" s="26">
        <v>0.97376886909180904</v>
      </c>
      <c r="AL1415" s="26">
        <v>0.96367391157153504</v>
      </c>
      <c r="AM1415" s="25">
        <v>0.99</v>
      </c>
      <c r="AN1415" s="30">
        <v>1</v>
      </c>
      <c r="AO1415" s="30">
        <v>1</v>
      </c>
      <c r="AP1415" s="30">
        <v>1</v>
      </c>
      <c r="AQ1415" s="30">
        <v>1</v>
      </c>
      <c r="AR1415" s="50">
        <v>7.2186152540827803E-2</v>
      </c>
      <c r="AS1415" s="34">
        <v>-6.25E-2</v>
      </c>
      <c r="AT1415" s="34">
        <v>0</v>
      </c>
      <c r="AU1415" s="34">
        <v>0</v>
      </c>
      <c r="AV1415" s="34">
        <v>-1.5503875968992199E-2</v>
      </c>
      <c r="AW1415" s="10"/>
      <c r="AX1415" s="8"/>
    </row>
    <row r="1416" spans="1:50">
      <c r="A1416" s="7"/>
      <c r="B1416" s="10"/>
      <c r="C1416" s="45" t="s">
        <v>1100</v>
      </c>
      <c r="D1416" s="23" t="s">
        <v>25</v>
      </c>
      <c r="E1416" s="83" t="s">
        <v>1460</v>
      </c>
      <c r="F1416" s="83" t="s">
        <v>1460</v>
      </c>
      <c r="G1416" s="83" t="s">
        <v>1460</v>
      </c>
      <c r="H1416" s="83" t="s">
        <v>1460</v>
      </c>
      <c r="I1416" s="25">
        <v>0.9</v>
      </c>
      <c r="J1416" s="26">
        <v>0</v>
      </c>
      <c r="K1416" s="26">
        <v>0</v>
      </c>
      <c r="L1416" s="27">
        <v>0</v>
      </c>
      <c r="M1416" s="26">
        <v>0</v>
      </c>
      <c r="N1416" s="28">
        <v>0.9</v>
      </c>
      <c r="O1416" s="26">
        <v>0</v>
      </c>
      <c r="P1416" s="26">
        <v>0</v>
      </c>
      <c r="Q1416" s="26">
        <v>0</v>
      </c>
      <c r="R1416" s="26">
        <v>0</v>
      </c>
      <c r="S1416" s="28">
        <v>0.9</v>
      </c>
      <c r="T1416" s="26">
        <v>0</v>
      </c>
      <c r="U1416" s="26">
        <v>0</v>
      </c>
      <c r="V1416" s="26">
        <v>0</v>
      </c>
      <c r="W1416" s="26">
        <v>0</v>
      </c>
      <c r="X1416" s="28">
        <v>0.92</v>
      </c>
      <c r="Y1416" s="28">
        <v>0</v>
      </c>
      <c r="Z1416" s="28">
        <v>0</v>
      </c>
      <c r="AA1416" s="28">
        <v>0</v>
      </c>
      <c r="AB1416" s="28">
        <v>0</v>
      </c>
      <c r="AC1416" s="28">
        <v>0.92</v>
      </c>
      <c r="AD1416" s="26">
        <v>0.989989462592202</v>
      </c>
      <c r="AE1416" s="26">
        <v>1</v>
      </c>
      <c r="AF1416" s="26">
        <v>0.99968051118210899</v>
      </c>
      <c r="AG1416" s="26">
        <v>0.99820359281437099</v>
      </c>
      <c r="AH1416" s="28">
        <v>0.92</v>
      </c>
      <c r="AI1416" s="26">
        <v>0</v>
      </c>
      <c r="AJ1416" s="26">
        <v>0</v>
      </c>
      <c r="AK1416" s="26">
        <v>0</v>
      </c>
      <c r="AL1416" s="26">
        <v>0</v>
      </c>
      <c r="AM1416" s="25">
        <v>0.99</v>
      </c>
      <c r="AN1416" s="30">
        <v>1</v>
      </c>
      <c r="AO1416" s="30">
        <v>1</v>
      </c>
      <c r="AP1416" s="30">
        <v>1</v>
      </c>
      <c r="AQ1416" s="30">
        <v>1</v>
      </c>
      <c r="AR1416" s="50">
        <v>7.2186152540827803E-2</v>
      </c>
      <c r="AS1416" s="34">
        <v>0</v>
      </c>
      <c r="AT1416" s="34">
        <v>0</v>
      </c>
      <c r="AU1416" s="34">
        <v>0</v>
      </c>
      <c r="AV1416" s="34">
        <v>0</v>
      </c>
      <c r="AW1416" s="10"/>
      <c r="AX1416" s="8"/>
    </row>
    <row r="1417" spans="1:50">
      <c r="A1417" s="7"/>
      <c r="B1417" s="10"/>
      <c r="C1417" s="45" t="s">
        <v>1100</v>
      </c>
      <c r="D1417" s="23" t="s">
        <v>25</v>
      </c>
      <c r="E1417" s="83" t="s">
        <v>1461</v>
      </c>
      <c r="F1417" s="83" t="s">
        <v>1461</v>
      </c>
      <c r="G1417" s="83" t="s">
        <v>1461</v>
      </c>
      <c r="H1417" s="83" t="s">
        <v>1461</v>
      </c>
      <c r="I1417" s="25">
        <v>0.9</v>
      </c>
      <c r="J1417" s="26">
        <v>0.91549295774647899</v>
      </c>
      <c r="K1417" s="26">
        <v>0.90277777777777801</v>
      </c>
      <c r="L1417" s="27">
        <v>0.85245901639344301</v>
      </c>
      <c r="M1417" s="26">
        <v>0.86772486772486801</v>
      </c>
      <c r="N1417" s="28">
        <v>0.9</v>
      </c>
      <c r="O1417" s="26">
        <v>0.93256649892163901</v>
      </c>
      <c r="P1417" s="26">
        <v>0.88639916623241299</v>
      </c>
      <c r="Q1417" s="26">
        <v>0.97560449050086395</v>
      </c>
      <c r="R1417" s="26">
        <v>0.93223762485819395</v>
      </c>
      <c r="S1417" s="28">
        <v>0.9</v>
      </c>
      <c r="T1417" s="26">
        <v>0.89144500359453605</v>
      </c>
      <c r="U1417" s="26">
        <v>0.86789994788952596</v>
      </c>
      <c r="V1417" s="26">
        <v>0.93329015544041405</v>
      </c>
      <c r="W1417" s="26">
        <v>0.87839296090312902</v>
      </c>
      <c r="X1417" s="28">
        <v>0.92</v>
      </c>
      <c r="Y1417" s="28">
        <v>0.95942028985507199</v>
      </c>
      <c r="Z1417" s="28">
        <v>0.93591814754981195</v>
      </c>
      <c r="AA1417" s="28">
        <v>0.94412229836584105</v>
      </c>
      <c r="AB1417" s="28">
        <v>0.92907959092930203</v>
      </c>
      <c r="AC1417" s="28">
        <v>0.92</v>
      </c>
      <c r="AD1417" s="26">
        <v>0.97748985198245097</v>
      </c>
      <c r="AE1417" s="26">
        <v>0.98098386410499805</v>
      </c>
      <c r="AF1417" s="26">
        <v>0.94417795334838195</v>
      </c>
      <c r="AG1417" s="26">
        <v>0.94336097792751905</v>
      </c>
      <c r="AH1417" s="28">
        <v>0.92</v>
      </c>
      <c r="AI1417" s="26">
        <v>0.97456508698260302</v>
      </c>
      <c r="AJ1417" s="26">
        <v>0.96958573675930804</v>
      </c>
      <c r="AK1417" s="26">
        <v>0.96860162352580803</v>
      </c>
      <c r="AL1417" s="26">
        <v>0.96190054269575798</v>
      </c>
      <c r="AM1417" s="25">
        <v>0.99</v>
      </c>
      <c r="AN1417" s="30">
        <v>1</v>
      </c>
      <c r="AO1417" s="30">
        <v>1</v>
      </c>
      <c r="AP1417" s="30">
        <v>1</v>
      </c>
      <c r="AQ1417" s="30">
        <v>1</v>
      </c>
      <c r="AR1417" s="50">
        <v>7.2186152540827803E-2</v>
      </c>
      <c r="AS1417" s="34">
        <v>-1.7543859649122799E-2</v>
      </c>
      <c r="AT1417" s="34">
        <v>2.27272727272727E-2</v>
      </c>
      <c r="AU1417" s="34">
        <v>0</v>
      </c>
      <c r="AV1417" s="34">
        <v>3.8759689922480598E-3</v>
      </c>
      <c r="AW1417" s="10"/>
      <c r="AX1417" s="8"/>
    </row>
    <row r="1418" spans="1:50">
      <c r="A1418" s="7"/>
      <c r="B1418" s="10"/>
      <c r="C1418" s="45" t="s">
        <v>1100</v>
      </c>
      <c r="D1418" s="23" t="s">
        <v>25</v>
      </c>
      <c r="E1418" s="83" t="s">
        <v>1462</v>
      </c>
      <c r="F1418" s="83" t="s">
        <v>1462</v>
      </c>
      <c r="G1418" s="83" t="s">
        <v>1462</v>
      </c>
      <c r="H1418" s="83" t="s">
        <v>1462</v>
      </c>
      <c r="I1418" s="25">
        <v>0.9</v>
      </c>
      <c r="J1418" s="26">
        <v>1</v>
      </c>
      <c r="K1418" s="26">
        <v>0.98113207547169801</v>
      </c>
      <c r="L1418" s="27">
        <v>0.95833333333333304</v>
      </c>
      <c r="M1418" s="26">
        <v>0.97945205479452102</v>
      </c>
      <c r="N1418" s="28">
        <v>0.9</v>
      </c>
      <c r="O1418" s="26">
        <v>0.96365579903794796</v>
      </c>
      <c r="P1418" s="26">
        <v>0.90438821268417702</v>
      </c>
      <c r="Q1418" s="26">
        <v>0.98175182481751799</v>
      </c>
      <c r="R1418" s="26">
        <v>0.95895432068882003</v>
      </c>
      <c r="S1418" s="28">
        <v>0.9</v>
      </c>
      <c r="T1418" s="26">
        <v>0.94049527881703199</v>
      </c>
      <c r="U1418" s="26">
        <v>0.90198590647021104</v>
      </c>
      <c r="V1418" s="26">
        <v>0.93655249859629397</v>
      </c>
      <c r="W1418" s="26">
        <v>0.93322729001694404</v>
      </c>
      <c r="X1418" s="28">
        <v>0.92</v>
      </c>
      <c r="Y1418" s="28">
        <v>0.93291404612159301</v>
      </c>
      <c r="Z1418" s="28">
        <v>0.953125</v>
      </c>
      <c r="AA1418" s="28">
        <v>0.93</v>
      </c>
      <c r="AB1418" s="28">
        <v>0.93551401869158901</v>
      </c>
      <c r="AC1418" s="28">
        <v>0.92</v>
      </c>
      <c r="AD1418" s="26">
        <v>0.98107325762636399</v>
      </c>
      <c r="AE1418" s="26">
        <v>0.98876303487953998</v>
      </c>
      <c r="AF1418" s="26">
        <v>0.97059149927865895</v>
      </c>
      <c r="AG1418" s="26">
        <v>0.98124605920144503</v>
      </c>
      <c r="AH1418" s="28">
        <v>0.92</v>
      </c>
      <c r="AI1418" s="26">
        <v>0.96529152077941804</v>
      </c>
      <c r="AJ1418" s="26">
        <v>0.963763341678746</v>
      </c>
      <c r="AK1418" s="26">
        <v>0.955779514603044</v>
      </c>
      <c r="AL1418" s="26">
        <v>0.963417739425661</v>
      </c>
      <c r="AM1418" s="25">
        <v>0.99</v>
      </c>
      <c r="AN1418" s="30">
        <v>1</v>
      </c>
      <c r="AO1418" s="30">
        <v>1</v>
      </c>
      <c r="AP1418" s="30">
        <v>1</v>
      </c>
      <c r="AQ1418" s="30">
        <v>1</v>
      </c>
      <c r="AR1418" s="50">
        <v>7.2186152540827803E-2</v>
      </c>
      <c r="AS1418" s="34">
        <v>4.1666666666666699E-2</v>
      </c>
      <c r="AT1418" s="34">
        <v>5.5555555555555601E-2</v>
      </c>
      <c r="AU1418" s="34">
        <v>7.1428571428571397E-2</v>
      </c>
      <c r="AV1418" s="34">
        <v>5.7017543859649099E-2</v>
      </c>
      <c r="AW1418" s="10"/>
      <c r="AX1418" s="8"/>
    </row>
    <row r="1419" spans="1:50">
      <c r="A1419" s="7"/>
      <c r="B1419" s="10"/>
      <c r="C1419" s="45" t="s">
        <v>1100</v>
      </c>
      <c r="D1419" s="23" t="s">
        <v>25</v>
      </c>
      <c r="E1419" s="83" t="s">
        <v>1463</v>
      </c>
      <c r="F1419" s="83" t="s">
        <v>1463</v>
      </c>
      <c r="G1419" s="83" t="s">
        <v>1463</v>
      </c>
      <c r="H1419" s="83" t="s">
        <v>1463</v>
      </c>
      <c r="I1419" s="25">
        <v>0.9</v>
      </c>
      <c r="J1419" s="26">
        <v>0.89393939393939403</v>
      </c>
      <c r="K1419" s="26">
        <v>0.89230769230769202</v>
      </c>
      <c r="L1419" s="27">
        <v>0.93220338983050799</v>
      </c>
      <c r="M1419" s="26">
        <v>0.93131868131868101</v>
      </c>
      <c r="N1419" s="28">
        <v>0.9</v>
      </c>
      <c r="O1419" s="26">
        <v>0.85578498852835105</v>
      </c>
      <c r="P1419" s="26">
        <v>0.684226015303119</v>
      </c>
      <c r="Q1419" s="26">
        <v>0.95324015247776395</v>
      </c>
      <c r="R1419" s="26">
        <v>0.87027572717521595</v>
      </c>
      <c r="S1419" s="28">
        <v>0.9</v>
      </c>
      <c r="T1419" s="26">
        <v>0.87561455260570298</v>
      </c>
      <c r="U1419" s="26">
        <v>0.82445556209534998</v>
      </c>
      <c r="V1419" s="26">
        <v>0.89987293519695</v>
      </c>
      <c r="W1419" s="26">
        <v>0.867688813174333</v>
      </c>
      <c r="X1419" s="28">
        <v>0.92</v>
      </c>
      <c r="Y1419" s="28">
        <v>0.92268041237113396</v>
      </c>
      <c r="Z1419" s="28">
        <v>0.87646652864044206</v>
      </c>
      <c r="AA1419" s="28">
        <v>0.92590559824368801</v>
      </c>
      <c r="AB1419" s="28">
        <v>0.91379310344827602</v>
      </c>
      <c r="AC1419" s="28">
        <v>0.92</v>
      </c>
      <c r="AD1419" s="26">
        <v>0.99679305791360096</v>
      </c>
      <c r="AE1419" s="26">
        <v>0.99077754809985696</v>
      </c>
      <c r="AF1419" s="26">
        <v>0.99437429678709799</v>
      </c>
      <c r="AG1419" s="26">
        <v>0.94940002274795299</v>
      </c>
      <c r="AH1419" s="28">
        <v>0.92</v>
      </c>
      <c r="AI1419" s="26">
        <v>0.96202009082152196</v>
      </c>
      <c r="AJ1419" s="26">
        <v>0.95330503335354799</v>
      </c>
      <c r="AK1419" s="26">
        <v>0.95797151788815604</v>
      </c>
      <c r="AL1419" s="26">
        <v>0.95942763528387898</v>
      </c>
      <c r="AM1419" s="25">
        <v>0.99</v>
      </c>
      <c r="AN1419" s="30">
        <v>1</v>
      </c>
      <c r="AO1419" s="30">
        <v>1</v>
      </c>
      <c r="AP1419" s="30">
        <v>1</v>
      </c>
      <c r="AQ1419" s="30">
        <v>1</v>
      </c>
      <c r="AR1419" s="50">
        <v>7.2186152540827803E-2</v>
      </c>
      <c r="AS1419" s="34">
        <v>3.7037037037037E-2</v>
      </c>
      <c r="AT1419" s="34">
        <v>0.11111111111111099</v>
      </c>
      <c r="AU1419" s="34">
        <v>4.3478260869565202E-2</v>
      </c>
      <c r="AV1419" s="34">
        <v>6.4102564102564097E-2</v>
      </c>
      <c r="AW1419" s="10"/>
      <c r="AX1419" s="8"/>
    </row>
    <row r="1420" spans="1:50">
      <c r="A1420" s="7"/>
      <c r="B1420" s="10"/>
      <c r="C1420" s="45" t="s">
        <v>1100</v>
      </c>
      <c r="D1420" s="23" t="s">
        <v>25</v>
      </c>
      <c r="E1420" s="83" t="s">
        <v>1464</v>
      </c>
      <c r="F1420" s="83" t="s">
        <v>1464</v>
      </c>
      <c r="G1420" s="83" t="s">
        <v>1464</v>
      </c>
      <c r="H1420" s="83" t="s">
        <v>1464</v>
      </c>
      <c r="I1420" s="25">
        <v>0.9</v>
      </c>
      <c r="J1420" s="26">
        <v>0.93333333333333302</v>
      </c>
      <c r="K1420" s="26">
        <v>0.98412698412698396</v>
      </c>
      <c r="L1420" s="27">
        <v>0.93333333333333302</v>
      </c>
      <c r="M1420" s="26">
        <v>0.93623188405797098</v>
      </c>
      <c r="N1420" s="28">
        <v>0.9</v>
      </c>
      <c r="O1420" s="26">
        <v>0.87921395900389598</v>
      </c>
      <c r="P1420" s="26">
        <v>0.79320418204181997</v>
      </c>
      <c r="Q1420" s="26">
        <v>0.97487437185929604</v>
      </c>
      <c r="R1420" s="26">
        <v>0.90388843314192002</v>
      </c>
      <c r="S1420" s="28">
        <v>0.9</v>
      </c>
      <c r="T1420" s="26">
        <v>0.90919871251905804</v>
      </c>
      <c r="U1420" s="26">
        <v>0.89237392373923696</v>
      </c>
      <c r="V1420" s="26">
        <v>0.95402010050251296</v>
      </c>
      <c r="W1420" s="26">
        <v>0.92357670221493005</v>
      </c>
      <c r="X1420" s="28">
        <v>0.92</v>
      </c>
      <c r="Y1420" s="28">
        <v>0.87303252885624305</v>
      </c>
      <c r="Z1420" s="28">
        <v>0.93661971830985902</v>
      </c>
      <c r="AA1420" s="28">
        <v>0.92852703542573001</v>
      </c>
      <c r="AB1420" s="28">
        <v>0.916499282639885</v>
      </c>
      <c r="AC1420" s="28">
        <v>0.92</v>
      </c>
      <c r="AD1420" s="26">
        <v>0.92943224424210003</v>
      </c>
      <c r="AE1420" s="26">
        <v>0.96172885112670903</v>
      </c>
      <c r="AF1420" s="26">
        <v>0.97936776613751797</v>
      </c>
      <c r="AG1420" s="26">
        <v>0.96804696248204403</v>
      </c>
      <c r="AH1420" s="28">
        <v>0.92</v>
      </c>
      <c r="AI1420" s="26">
        <v>0.95493656117835801</v>
      </c>
      <c r="AJ1420" s="26">
        <v>0.97009086320040405</v>
      </c>
      <c r="AK1420" s="26">
        <v>0.96261849400822797</v>
      </c>
      <c r="AL1420" s="26">
        <v>0.96336448598130797</v>
      </c>
      <c r="AM1420" s="25">
        <v>0.99</v>
      </c>
      <c r="AN1420" s="30">
        <v>1</v>
      </c>
      <c r="AO1420" s="30">
        <v>1</v>
      </c>
      <c r="AP1420" s="30">
        <v>1</v>
      </c>
      <c r="AQ1420" s="30">
        <v>1</v>
      </c>
      <c r="AR1420" s="50">
        <v>7.2186152540827803E-2</v>
      </c>
      <c r="AS1420" s="34">
        <v>3.5714285714285698E-2</v>
      </c>
      <c r="AT1420" s="34">
        <v>-6.25E-2</v>
      </c>
      <c r="AU1420" s="34">
        <v>6.25E-2</v>
      </c>
      <c r="AV1420" s="34">
        <v>2.8985507246376802E-2</v>
      </c>
      <c r="AW1420" s="10"/>
      <c r="AX1420" s="8"/>
    </row>
    <row r="1421" spans="1:50">
      <c r="A1421" s="7"/>
      <c r="B1421" s="10"/>
      <c r="C1421" s="45" t="s">
        <v>1100</v>
      </c>
      <c r="D1421" s="23" t="s">
        <v>25</v>
      </c>
      <c r="E1421" s="83" t="s">
        <v>1465</v>
      </c>
      <c r="F1421" s="83" t="s">
        <v>1465</v>
      </c>
      <c r="G1421" s="83" t="s">
        <v>1465</v>
      </c>
      <c r="H1421" s="83" t="s">
        <v>1465</v>
      </c>
      <c r="I1421" s="25">
        <v>0.9</v>
      </c>
      <c r="J1421" s="26">
        <v>1</v>
      </c>
      <c r="K1421" s="26">
        <v>0.98360655737704905</v>
      </c>
      <c r="L1421" s="27">
        <v>0.90196078431372595</v>
      </c>
      <c r="M1421" s="26">
        <v>0.95076923076923103</v>
      </c>
      <c r="N1421" s="28">
        <v>0.9</v>
      </c>
      <c r="O1421" s="26">
        <v>0.97631426920855002</v>
      </c>
      <c r="P1421" s="26">
        <v>0.98187258007743705</v>
      </c>
      <c r="Q1421" s="26">
        <v>0.97663834951456296</v>
      </c>
      <c r="R1421" s="26">
        <v>0.97501773777960299</v>
      </c>
      <c r="S1421" s="28">
        <v>0.9</v>
      </c>
      <c r="T1421" s="26">
        <v>0.93337184671673401</v>
      </c>
      <c r="U1421" s="26">
        <v>0.93611404435058099</v>
      </c>
      <c r="V1421" s="26">
        <v>0.93901699029126195</v>
      </c>
      <c r="W1421" s="26">
        <v>0.93808581351058695</v>
      </c>
      <c r="X1421" s="28">
        <v>0.92</v>
      </c>
      <c r="Y1421" s="28">
        <v>0.88744588744588704</v>
      </c>
      <c r="Z1421" s="28">
        <v>0.94790046656298599</v>
      </c>
      <c r="AA1421" s="28">
        <v>0.91823899371069195</v>
      </c>
      <c r="AB1421" s="28">
        <v>0.90476976398745701</v>
      </c>
      <c r="AC1421" s="28">
        <v>0.92</v>
      </c>
      <c r="AD1421" s="26">
        <v>0.97518165518542999</v>
      </c>
      <c r="AE1421" s="26">
        <v>0.96936512337122305</v>
      </c>
      <c r="AF1421" s="26">
        <v>0.96923471349826995</v>
      </c>
      <c r="AG1421" s="26">
        <v>0.97840496311367997</v>
      </c>
      <c r="AH1421" s="28">
        <v>0.92</v>
      </c>
      <c r="AI1421" s="26">
        <v>0.95913697286694999</v>
      </c>
      <c r="AJ1421" s="26">
        <v>0.96814006888633797</v>
      </c>
      <c r="AK1421" s="26">
        <v>0.95819654191289105</v>
      </c>
      <c r="AL1421" s="26">
        <v>0.95822422507764404</v>
      </c>
      <c r="AM1421" s="25">
        <v>0.99</v>
      </c>
      <c r="AN1421" s="30">
        <v>1</v>
      </c>
      <c r="AO1421" s="30">
        <v>1</v>
      </c>
      <c r="AP1421" s="30">
        <v>1</v>
      </c>
      <c r="AQ1421" s="30">
        <v>1</v>
      </c>
      <c r="AR1421" s="50">
        <v>7.2186152540827803E-2</v>
      </c>
      <c r="AS1421" s="34">
        <v>3.03030303030303E-2</v>
      </c>
      <c r="AT1421" s="34">
        <v>2.6315789473684199E-2</v>
      </c>
      <c r="AU1421" s="34">
        <v>0</v>
      </c>
      <c r="AV1421" s="34">
        <v>5.0761421319797002E-2</v>
      </c>
      <c r="AW1421" s="10"/>
      <c r="AX1421" s="8"/>
    </row>
    <row r="1422" spans="1:50">
      <c r="A1422" s="7"/>
      <c r="B1422" s="10"/>
      <c r="C1422" s="45" t="s">
        <v>1100</v>
      </c>
      <c r="D1422" s="23" t="s">
        <v>25</v>
      </c>
      <c r="E1422" s="83" t="s">
        <v>1466</v>
      </c>
      <c r="F1422" s="83" t="s">
        <v>1466</v>
      </c>
      <c r="G1422" s="83" t="s">
        <v>1466</v>
      </c>
      <c r="H1422" s="83" t="s">
        <v>1466</v>
      </c>
      <c r="I1422" s="25">
        <v>0.9</v>
      </c>
      <c r="J1422" s="26">
        <v>0</v>
      </c>
      <c r="K1422" s="26">
        <v>0</v>
      </c>
      <c r="L1422" s="27">
        <v>0</v>
      </c>
      <c r="M1422" s="26">
        <v>0</v>
      </c>
      <c r="N1422" s="28">
        <v>0.9</v>
      </c>
      <c r="O1422" s="26">
        <v>0</v>
      </c>
      <c r="P1422" s="26">
        <v>0</v>
      </c>
      <c r="Q1422" s="26">
        <v>0</v>
      </c>
      <c r="R1422" s="26">
        <v>0</v>
      </c>
      <c r="S1422" s="28">
        <v>0.9</v>
      </c>
      <c r="T1422" s="26">
        <v>0</v>
      </c>
      <c r="U1422" s="26">
        <v>0</v>
      </c>
      <c r="V1422" s="26">
        <v>0</v>
      </c>
      <c r="W1422" s="26">
        <v>0</v>
      </c>
      <c r="X1422" s="28">
        <v>0.92</v>
      </c>
      <c r="Y1422" s="28">
        <v>0</v>
      </c>
      <c r="Z1422" s="28">
        <v>0</v>
      </c>
      <c r="AA1422" s="28">
        <v>0</v>
      </c>
      <c r="AB1422" s="28">
        <v>0</v>
      </c>
      <c r="AC1422" s="28">
        <v>0.92</v>
      </c>
      <c r="AD1422" s="26">
        <v>0</v>
      </c>
      <c r="AE1422" s="26">
        <v>0</v>
      </c>
      <c r="AF1422" s="26">
        <v>0</v>
      </c>
      <c r="AG1422" s="26">
        <v>0</v>
      </c>
      <c r="AH1422" s="28">
        <v>0.92</v>
      </c>
      <c r="AI1422" s="26">
        <v>0</v>
      </c>
      <c r="AJ1422" s="26">
        <v>0</v>
      </c>
      <c r="AK1422" s="26">
        <v>0</v>
      </c>
      <c r="AL1422" s="26">
        <v>0</v>
      </c>
      <c r="AM1422" s="25">
        <v>0.99</v>
      </c>
      <c r="AN1422" s="30">
        <v>0</v>
      </c>
      <c r="AO1422" s="30">
        <v>0</v>
      </c>
      <c r="AP1422" s="30">
        <v>0</v>
      </c>
      <c r="AQ1422" s="30">
        <v>0</v>
      </c>
      <c r="AR1422" s="50">
        <v>7.2186152540827803E-2</v>
      </c>
      <c r="AS1422" s="34">
        <v>0</v>
      </c>
      <c r="AT1422" s="34">
        <v>0</v>
      </c>
      <c r="AU1422" s="34">
        <v>0</v>
      </c>
      <c r="AV1422" s="34">
        <v>0</v>
      </c>
      <c r="AW1422" s="10"/>
      <c r="AX1422" s="8"/>
    </row>
    <row r="1423" spans="1:50">
      <c r="A1423" s="7"/>
      <c r="B1423" s="10"/>
      <c r="C1423" s="45" t="s">
        <v>1100</v>
      </c>
      <c r="D1423" s="23" t="s">
        <v>25</v>
      </c>
      <c r="E1423" s="83" t="s">
        <v>1467</v>
      </c>
      <c r="F1423" s="83" t="s">
        <v>1467</v>
      </c>
      <c r="G1423" s="83" t="s">
        <v>1467</v>
      </c>
      <c r="H1423" s="83" t="s">
        <v>1467</v>
      </c>
      <c r="I1423" s="25">
        <v>0.9</v>
      </c>
      <c r="J1423" s="26">
        <v>0</v>
      </c>
      <c r="K1423" s="26">
        <v>0</v>
      </c>
      <c r="L1423" s="27">
        <v>0</v>
      </c>
      <c r="M1423" s="26">
        <v>0</v>
      </c>
      <c r="N1423" s="28">
        <v>0.9</v>
      </c>
      <c r="O1423" s="26">
        <v>0</v>
      </c>
      <c r="P1423" s="26">
        <v>0</v>
      </c>
      <c r="Q1423" s="26">
        <v>0</v>
      </c>
      <c r="R1423" s="26">
        <v>0</v>
      </c>
      <c r="S1423" s="28">
        <v>0.9</v>
      </c>
      <c r="T1423" s="26">
        <v>0</v>
      </c>
      <c r="U1423" s="26">
        <v>0</v>
      </c>
      <c r="V1423" s="26">
        <v>0</v>
      </c>
      <c r="W1423" s="26">
        <v>0</v>
      </c>
      <c r="X1423" s="28">
        <v>0.92</v>
      </c>
      <c r="Y1423" s="28">
        <v>0</v>
      </c>
      <c r="Z1423" s="28">
        <v>0</v>
      </c>
      <c r="AA1423" s="28">
        <v>0</v>
      </c>
      <c r="AB1423" s="28">
        <v>0</v>
      </c>
      <c r="AC1423" s="28">
        <v>0.92</v>
      </c>
      <c r="AD1423" s="26">
        <v>0</v>
      </c>
      <c r="AE1423" s="26">
        <v>0</v>
      </c>
      <c r="AF1423" s="26">
        <v>0</v>
      </c>
      <c r="AG1423" s="26">
        <v>0</v>
      </c>
      <c r="AH1423" s="28">
        <v>0.92</v>
      </c>
      <c r="AI1423" s="26">
        <v>0</v>
      </c>
      <c r="AJ1423" s="26">
        <v>0</v>
      </c>
      <c r="AK1423" s="26">
        <v>0</v>
      </c>
      <c r="AL1423" s="26">
        <v>0</v>
      </c>
      <c r="AM1423" s="25">
        <v>0.99</v>
      </c>
      <c r="AN1423" s="30">
        <v>0</v>
      </c>
      <c r="AO1423" s="30">
        <v>0</v>
      </c>
      <c r="AP1423" s="30">
        <v>0</v>
      </c>
      <c r="AQ1423" s="30">
        <v>0</v>
      </c>
      <c r="AR1423" s="50">
        <v>7.2186152540827803E-2</v>
      </c>
      <c r="AS1423" s="34">
        <v>0</v>
      </c>
      <c r="AT1423" s="34">
        <v>0</v>
      </c>
      <c r="AU1423" s="34">
        <v>0</v>
      </c>
      <c r="AV1423" s="34">
        <v>0</v>
      </c>
      <c r="AW1423" s="10"/>
      <c r="AX1423" s="8"/>
    </row>
    <row r="1424" spans="1:50">
      <c r="A1424" s="7"/>
      <c r="B1424" s="10"/>
      <c r="C1424" s="64"/>
      <c r="D1424" s="65"/>
      <c r="E1424" s="65"/>
      <c r="F1424" s="38"/>
      <c r="G1424" s="38"/>
      <c r="H1424" s="65"/>
      <c r="I1424" s="66"/>
      <c r="J1424" s="87"/>
      <c r="K1424" s="87"/>
      <c r="L1424" s="87"/>
      <c r="M1424" s="87"/>
      <c r="N1424" s="43"/>
      <c r="O1424" s="67"/>
      <c r="P1424" s="67"/>
      <c r="Q1424" s="26"/>
      <c r="R1424" s="67"/>
      <c r="S1424" s="43"/>
      <c r="T1424" s="67"/>
      <c r="U1424" s="67"/>
      <c r="V1424" s="26"/>
      <c r="W1424" s="67"/>
      <c r="X1424" s="43"/>
      <c r="Y1424" s="43"/>
      <c r="Z1424" s="43"/>
      <c r="AA1424" s="28"/>
      <c r="AB1424" s="43"/>
      <c r="AC1424" s="67"/>
      <c r="AD1424" s="67"/>
      <c r="AE1424" s="67"/>
      <c r="AF1424" s="26"/>
      <c r="AG1424" s="67"/>
      <c r="AH1424" s="67"/>
      <c r="AI1424" s="67"/>
      <c r="AJ1424" s="67"/>
      <c r="AK1424" s="26"/>
      <c r="AL1424" s="67"/>
      <c r="AM1424" s="66"/>
      <c r="AN1424" s="66"/>
      <c r="AO1424" s="66"/>
      <c r="AP1424" s="30"/>
      <c r="AQ1424" s="66"/>
      <c r="AR1424" s="67"/>
      <c r="AS1424" s="66"/>
      <c r="AT1424" s="66"/>
      <c r="AU1424" s="34"/>
      <c r="AV1424" s="66"/>
      <c r="AW1424" s="10"/>
      <c r="AX1424" s="8"/>
    </row>
    <row r="1425" spans="1:50">
      <c r="A1425" s="7"/>
      <c r="B1425" s="10"/>
      <c r="C1425" s="45" t="s">
        <v>1468</v>
      </c>
      <c r="D1425" s="23" t="s">
        <v>27</v>
      </c>
      <c r="E1425" s="88" t="s">
        <v>1469</v>
      </c>
      <c r="F1425" s="88" t="s">
        <v>1469</v>
      </c>
      <c r="G1425" s="88" t="s">
        <v>1469</v>
      </c>
      <c r="H1425" s="88" t="s">
        <v>1469</v>
      </c>
      <c r="I1425" s="25">
        <v>0.9</v>
      </c>
      <c r="J1425" s="26">
        <v>0</v>
      </c>
      <c r="K1425" s="26">
        <v>0</v>
      </c>
      <c r="L1425" s="27">
        <v>0</v>
      </c>
      <c r="M1425" s="26">
        <v>0</v>
      </c>
      <c r="N1425" s="28">
        <v>0.9</v>
      </c>
      <c r="O1425" s="26">
        <v>0</v>
      </c>
      <c r="P1425" s="26">
        <v>0</v>
      </c>
      <c r="Q1425" s="26">
        <v>0</v>
      </c>
      <c r="R1425" s="26">
        <v>0</v>
      </c>
      <c r="S1425" s="28">
        <v>0.9</v>
      </c>
      <c r="T1425" s="26">
        <v>1</v>
      </c>
      <c r="U1425" s="26">
        <v>0</v>
      </c>
      <c r="V1425" s="26">
        <v>1</v>
      </c>
      <c r="W1425" s="26">
        <v>1</v>
      </c>
      <c r="X1425" s="28">
        <v>0.92</v>
      </c>
      <c r="Y1425" s="28">
        <v>0</v>
      </c>
      <c r="Z1425" s="28">
        <v>0</v>
      </c>
      <c r="AA1425" s="28">
        <v>0</v>
      </c>
      <c r="AB1425" s="28">
        <v>0</v>
      </c>
      <c r="AC1425" s="28">
        <v>0.92</v>
      </c>
      <c r="AD1425" s="26">
        <v>0.99738219895288005</v>
      </c>
      <c r="AE1425" s="26">
        <v>1</v>
      </c>
      <c r="AF1425" s="26">
        <v>0.98121645796064405</v>
      </c>
      <c r="AG1425" s="26">
        <v>0.99079305293994602</v>
      </c>
      <c r="AH1425" s="28">
        <v>0.92</v>
      </c>
      <c r="AI1425" s="26">
        <v>1</v>
      </c>
      <c r="AJ1425" s="26">
        <v>0</v>
      </c>
      <c r="AK1425" s="26">
        <v>1</v>
      </c>
      <c r="AL1425" s="26">
        <v>1</v>
      </c>
      <c r="AM1425" s="25">
        <v>0.99</v>
      </c>
      <c r="AN1425" s="30">
        <v>1</v>
      </c>
      <c r="AO1425" s="30">
        <v>1</v>
      </c>
      <c r="AP1425" s="30">
        <v>1</v>
      </c>
      <c r="AQ1425" s="30">
        <v>1</v>
      </c>
      <c r="AR1425" s="50">
        <v>0.110069253262963</v>
      </c>
      <c r="AS1425" s="34">
        <v>0</v>
      </c>
      <c r="AT1425" s="34">
        <v>0</v>
      </c>
      <c r="AU1425" s="34">
        <v>0</v>
      </c>
      <c r="AV1425" s="34">
        <v>0</v>
      </c>
      <c r="AW1425" s="10"/>
      <c r="AX1425" s="8"/>
    </row>
    <row r="1426" spans="1:50">
      <c r="A1426" s="7"/>
      <c r="B1426" s="10"/>
      <c r="C1426" s="45" t="s">
        <v>1468</v>
      </c>
      <c r="D1426" s="23" t="s">
        <v>27</v>
      </c>
      <c r="E1426" s="89" t="s">
        <v>1470</v>
      </c>
      <c r="F1426" s="89" t="s">
        <v>1470</v>
      </c>
      <c r="G1426" s="89" t="s">
        <v>1470</v>
      </c>
      <c r="H1426" s="89" t="s">
        <v>1470</v>
      </c>
      <c r="I1426" s="25">
        <v>0.9</v>
      </c>
      <c r="J1426" s="26">
        <v>0</v>
      </c>
      <c r="K1426" s="26">
        <v>0</v>
      </c>
      <c r="L1426" s="27">
        <v>0</v>
      </c>
      <c r="M1426" s="26">
        <v>0</v>
      </c>
      <c r="N1426" s="28">
        <v>0.9</v>
      </c>
      <c r="O1426" s="26">
        <v>0</v>
      </c>
      <c r="P1426" s="26">
        <v>0</v>
      </c>
      <c r="Q1426" s="26">
        <v>0</v>
      </c>
      <c r="R1426" s="26">
        <v>0</v>
      </c>
      <c r="S1426" s="28">
        <v>0.9</v>
      </c>
      <c r="T1426" s="26">
        <v>0</v>
      </c>
      <c r="U1426" s="26">
        <v>0</v>
      </c>
      <c r="V1426" s="26">
        <v>0</v>
      </c>
      <c r="W1426" s="26">
        <v>0</v>
      </c>
      <c r="X1426" s="28">
        <v>0.92</v>
      </c>
      <c r="Y1426" s="28">
        <v>0</v>
      </c>
      <c r="Z1426" s="28">
        <v>0</v>
      </c>
      <c r="AA1426" s="28">
        <v>0</v>
      </c>
      <c r="AB1426" s="28">
        <v>0</v>
      </c>
      <c r="AC1426" s="28">
        <v>0.92</v>
      </c>
      <c r="AD1426" s="26">
        <v>0.95794392523364502</v>
      </c>
      <c r="AE1426" s="26">
        <v>0.94074074074074099</v>
      </c>
      <c r="AF1426" s="26">
        <v>0.98507462686567204</v>
      </c>
      <c r="AG1426" s="26">
        <v>0.977653631284916</v>
      </c>
      <c r="AH1426" s="28">
        <v>0.92</v>
      </c>
      <c r="AI1426" s="26">
        <v>0</v>
      </c>
      <c r="AJ1426" s="26">
        <v>0</v>
      </c>
      <c r="AK1426" s="26">
        <v>0</v>
      </c>
      <c r="AL1426" s="26">
        <v>0</v>
      </c>
      <c r="AM1426" s="25">
        <v>0.99</v>
      </c>
      <c r="AN1426" s="30">
        <v>0</v>
      </c>
      <c r="AO1426" s="30">
        <v>0</v>
      </c>
      <c r="AP1426" s="30">
        <v>0</v>
      </c>
      <c r="AQ1426" s="30">
        <v>0</v>
      </c>
      <c r="AR1426" s="50">
        <v>0.110069253262963</v>
      </c>
      <c r="AS1426" s="34">
        <v>0</v>
      </c>
      <c r="AT1426" s="34">
        <v>0</v>
      </c>
      <c r="AU1426" s="34">
        <v>0</v>
      </c>
      <c r="AV1426" s="34">
        <v>0</v>
      </c>
      <c r="AW1426" s="10"/>
      <c r="AX1426" s="8"/>
    </row>
    <row r="1427" spans="1:50">
      <c r="A1427" s="7"/>
      <c r="B1427" s="10"/>
      <c r="C1427" s="45" t="s">
        <v>1468</v>
      </c>
      <c r="D1427" s="23" t="s">
        <v>27</v>
      </c>
      <c r="E1427" s="88" t="s">
        <v>1471</v>
      </c>
      <c r="F1427" s="88" t="s">
        <v>1471</v>
      </c>
      <c r="G1427" s="88" t="s">
        <v>1471</v>
      </c>
      <c r="H1427" s="88" t="s">
        <v>1471</v>
      </c>
      <c r="I1427" s="25">
        <v>0.9</v>
      </c>
      <c r="J1427" s="26">
        <v>0</v>
      </c>
      <c r="K1427" s="26">
        <v>0</v>
      </c>
      <c r="L1427" s="27">
        <v>0</v>
      </c>
      <c r="M1427" s="26">
        <v>0</v>
      </c>
      <c r="N1427" s="28">
        <v>0.9</v>
      </c>
      <c r="O1427" s="26">
        <v>0</v>
      </c>
      <c r="P1427" s="26">
        <v>0</v>
      </c>
      <c r="Q1427" s="26">
        <v>0</v>
      </c>
      <c r="R1427" s="26">
        <v>0</v>
      </c>
      <c r="S1427" s="28">
        <v>0.9</v>
      </c>
      <c r="T1427" s="26">
        <v>0</v>
      </c>
      <c r="U1427" s="26">
        <v>0</v>
      </c>
      <c r="V1427" s="26">
        <v>0</v>
      </c>
      <c r="W1427" s="26">
        <v>0</v>
      </c>
      <c r="X1427" s="28">
        <v>0.92</v>
      </c>
      <c r="Y1427" s="28">
        <v>0</v>
      </c>
      <c r="Z1427" s="28">
        <v>0</v>
      </c>
      <c r="AA1427" s="28">
        <v>0</v>
      </c>
      <c r="AB1427" s="28">
        <v>0</v>
      </c>
      <c r="AC1427" s="28">
        <v>0.92</v>
      </c>
      <c r="AD1427" s="26">
        <v>0.98601398601398604</v>
      </c>
      <c r="AE1427" s="26">
        <v>0.97368421052631604</v>
      </c>
      <c r="AF1427" s="26">
        <v>0.989247311827957</v>
      </c>
      <c r="AG1427" s="26">
        <v>0.98952879581151798</v>
      </c>
      <c r="AH1427" s="28">
        <v>0.92</v>
      </c>
      <c r="AI1427" s="26">
        <v>0</v>
      </c>
      <c r="AJ1427" s="26">
        <v>0</v>
      </c>
      <c r="AK1427" s="26">
        <v>0</v>
      </c>
      <c r="AL1427" s="26">
        <v>0</v>
      </c>
      <c r="AM1427" s="25">
        <v>0.99</v>
      </c>
      <c r="AN1427" s="30">
        <v>0</v>
      </c>
      <c r="AO1427" s="30">
        <v>1</v>
      </c>
      <c r="AP1427" s="30">
        <v>0</v>
      </c>
      <c r="AQ1427" s="30">
        <v>1</v>
      </c>
      <c r="AR1427" s="50">
        <v>0.110069253262963</v>
      </c>
      <c r="AS1427" s="34">
        <v>0</v>
      </c>
      <c r="AT1427" s="34">
        <v>0</v>
      </c>
      <c r="AU1427" s="34">
        <v>0</v>
      </c>
      <c r="AV1427" s="34">
        <v>0</v>
      </c>
      <c r="AW1427" s="10"/>
      <c r="AX1427" s="8"/>
    </row>
    <row r="1428" spans="1:50">
      <c r="A1428" s="7"/>
      <c r="B1428" s="10"/>
      <c r="C1428" s="45" t="s">
        <v>1468</v>
      </c>
      <c r="D1428" s="23" t="s">
        <v>27</v>
      </c>
      <c r="E1428" s="89" t="s">
        <v>1472</v>
      </c>
      <c r="F1428" s="89" t="s">
        <v>1472</v>
      </c>
      <c r="G1428" s="89" t="s">
        <v>1472</v>
      </c>
      <c r="H1428" s="89" t="s">
        <v>1472</v>
      </c>
      <c r="I1428" s="25">
        <v>0.9</v>
      </c>
      <c r="J1428" s="26">
        <v>0</v>
      </c>
      <c r="K1428" s="26">
        <v>0</v>
      </c>
      <c r="L1428" s="27">
        <v>0</v>
      </c>
      <c r="M1428" s="26">
        <v>0</v>
      </c>
      <c r="N1428" s="28">
        <v>0.9</v>
      </c>
      <c r="O1428" s="26">
        <v>0</v>
      </c>
      <c r="P1428" s="26">
        <v>0</v>
      </c>
      <c r="Q1428" s="26">
        <v>0</v>
      </c>
      <c r="R1428" s="26">
        <v>0</v>
      </c>
      <c r="S1428" s="28">
        <v>0.9</v>
      </c>
      <c r="T1428" s="26">
        <v>1</v>
      </c>
      <c r="U1428" s="26">
        <v>1</v>
      </c>
      <c r="V1428" s="26">
        <v>1</v>
      </c>
      <c r="W1428" s="26">
        <v>1</v>
      </c>
      <c r="X1428" s="28">
        <v>0.92</v>
      </c>
      <c r="Y1428" s="28">
        <v>0</v>
      </c>
      <c r="Z1428" s="28">
        <v>0</v>
      </c>
      <c r="AA1428" s="28">
        <v>0</v>
      </c>
      <c r="AB1428" s="28">
        <v>0</v>
      </c>
      <c r="AC1428" s="28">
        <v>0.92</v>
      </c>
      <c r="AD1428" s="26">
        <v>0.99884393063583798</v>
      </c>
      <c r="AE1428" s="26">
        <v>1</v>
      </c>
      <c r="AF1428" s="26">
        <v>0.99881122206371897</v>
      </c>
      <c r="AG1428" s="26">
        <v>0.995369253774541</v>
      </c>
      <c r="AH1428" s="28">
        <v>0.92</v>
      </c>
      <c r="AI1428" s="26">
        <v>1</v>
      </c>
      <c r="AJ1428" s="26">
        <v>1</v>
      </c>
      <c r="AK1428" s="26">
        <v>1</v>
      </c>
      <c r="AL1428" s="26">
        <v>1</v>
      </c>
      <c r="AM1428" s="25">
        <v>0.99</v>
      </c>
      <c r="AN1428" s="30">
        <v>1</v>
      </c>
      <c r="AO1428" s="30">
        <v>1</v>
      </c>
      <c r="AP1428" s="30">
        <v>1</v>
      </c>
      <c r="AQ1428" s="30">
        <v>1</v>
      </c>
      <c r="AR1428" s="50">
        <v>0.110069253262963</v>
      </c>
      <c r="AS1428" s="34">
        <v>0</v>
      </c>
      <c r="AT1428" s="34">
        <v>0</v>
      </c>
      <c r="AU1428" s="34">
        <v>0</v>
      </c>
      <c r="AV1428" s="34">
        <v>0</v>
      </c>
      <c r="AW1428" s="10"/>
      <c r="AX1428" s="8"/>
    </row>
    <row r="1429" spans="1:50">
      <c r="A1429" s="7"/>
      <c r="B1429" s="10"/>
      <c r="C1429" s="45" t="s">
        <v>1468</v>
      </c>
      <c r="D1429" s="23" t="s">
        <v>27</v>
      </c>
      <c r="E1429" s="89" t="s">
        <v>1473</v>
      </c>
      <c r="F1429" s="89" t="s">
        <v>1473</v>
      </c>
      <c r="G1429" s="89" t="s">
        <v>1473</v>
      </c>
      <c r="H1429" s="89" t="s">
        <v>1473</v>
      </c>
      <c r="I1429" s="25">
        <v>0.9</v>
      </c>
      <c r="J1429" s="26">
        <v>0</v>
      </c>
      <c r="K1429" s="26">
        <v>0</v>
      </c>
      <c r="L1429" s="27">
        <v>0</v>
      </c>
      <c r="M1429" s="26">
        <v>0</v>
      </c>
      <c r="N1429" s="28">
        <v>0.9</v>
      </c>
      <c r="O1429" s="26">
        <v>0</v>
      </c>
      <c r="P1429" s="26">
        <v>0</v>
      </c>
      <c r="Q1429" s="26">
        <v>0</v>
      </c>
      <c r="R1429" s="26">
        <v>0</v>
      </c>
      <c r="S1429" s="28">
        <v>0.9</v>
      </c>
      <c r="T1429" s="26">
        <v>0</v>
      </c>
      <c r="U1429" s="26">
        <v>1</v>
      </c>
      <c r="V1429" s="26">
        <v>0</v>
      </c>
      <c r="W1429" s="26">
        <v>1</v>
      </c>
      <c r="X1429" s="28">
        <v>0.92</v>
      </c>
      <c r="Y1429" s="28">
        <v>0</v>
      </c>
      <c r="Z1429" s="28">
        <v>0</v>
      </c>
      <c r="AA1429" s="28">
        <v>0</v>
      </c>
      <c r="AB1429" s="28">
        <v>0</v>
      </c>
      <c r="AC1429" s="28">
        <v>0.92</v>
      </c>
      <c r="AD1429" s="26">
        <v>0.932475884244373</v>
      </c>
      <c r="AE1429" s="26">
        <v>0.91033138401559499</v>
      </c>
      <c r="AF1429" s="26">
        <v>0.99786324786324798</v>
      </c>
      <c r="AG1429" s="26">
        <v>0.968811556139199</v>
      </c>
      <c r="AH1429" s="28">
        <v>0.92</v>
      </c>
      <c r="AI1429" s="26">
        <v>0</v>
      </c>
      <c r="AJ1429" s="26">
        <v>1</v>
      </c>
      <c r="AK1429" s="26">
        <v>0</v>
      </c>
      <c r="AL1429" s="26">
        <v>1</v>
      </c>
      <c r="AM1429" s="25">
        <v>0.99</v>
      </c>
      <c r="AN1429" s="30">
        <v>1</v>
      </c>
      <c r="AO1429" s="30">
        <v>1</v>
      </c>
      <c r="AP1429" s="30">
        <v>1</v>
      </c>
      <c r="AQ1429" s="30">
        <v>1</v>
      </c>
      <c r="AR1429" s="50">
        <v>0.110069253262963</v>
      </c>
      <c r="AS1429" s="34">
        <v>0</v>
      </c>
      <c r="AT1429" s="34">
        <v>0</v>
      </c>
      <c r="AU1429" s="34">
        <v>0</v>
      </c>
      <c r="AV1429" s="34">
        <v>0</v>
      </c>
      <c r="AW1429" s="10"/>
      <c r="AX1429" s="8"/>
    </row>
    <row r="1430" spans="1:50">
      <c r="A1430" s="7"/>
      <c r="B1430" s="10"/>
      <c r="C1430" s="45" t="s">
        <v>1468</v>
      </c>
      <c r="D1430" s="23" t="s">
        <v>27</v>
      </c>
      <c r="E1430" s="89" t="s">
        <v>1474</v>
      </c>
      <c r="F1430" s="89" t="s">
        <v>1474</v>
      </c>
      <c r="G1430" s="89" t="s">
        <v>1474</v>
      </c>
      <c r="H1430" s="89" t="s">
        <v>1474</v>
      </c>
      <c r="I1430" s="25">
        <v>0.9</v>
      </c>
      <c r="J1430" s="26">
        <v>0</v>
      </c>
      <c r="K1430" s="26">
        <v>0</v>
      </c>
      <c r="L1430" s="27">
        <v>0</v>
      </c>
      <c r="M1430" s="26">
        <v>0</v>
      </c>
      <c r="N1430" s="28">
        <v>0.9</v>
      </c>
      <c r="O1430" s="26">
        <v>0</v>
      </c>
      <c r="P1430" s="26">
        <v>0</v>
      </c>
      <c r="Q1430" s="26">
        <v>0</v>
      </c>
      <c r="R1430" s="26">
        <v>0</v>
      </c>
      <c r="S1430" s="28">
        <v>0.9</v>
      </c>
      <c r="T1430" s="26">
        <v>0</v>
      </c>
      <c r="U1430" s="26">
        <v>0</v>
      </c>
      <c r="V1430" s="26">
        <v>0</v>
      </c>
      <c r="W1430" s="26">
        <v>0</v>
      </c>
      <c r="X1430" s="28">
        <v>0.92</v>
      </c>
      <c r="Y1430" s="28">
        <v>0</v>
      </c>
      <c r="Z1430" s="28">
        <v>0</v>
      </c>
      <c r="AA1430" s="28">
        <v>0</v>
      </c>
      <c r="AB1430" s="28">
        <v>0</v>
      </c>
      <c r="AC1430" s="28">
        <v>0.92</v>
      </c>
      <c r="AD1430" s="26">
        <v>0.99383259911894295</v>
      </c>
      <c r="AE1430" s="26">
        <v>0.99518459069020904</v>
      </c>
      <c r="AF1430" s="26">
        <v>0.79483394833948295</v>
      </c>
      <c r="AG1430" s="26">
        <v>0.95488043314784199</v>
      </c>
      <c r="AH1430" s="28">
        <v>0.92</v>
      </c>
      <c r="AI1430" s="26">
        <v>0</v>
      </c>
      <c r="AJ1430" s="26">
        <v>0.5</v>
      </c>
      <c r="AK1430" s="26">
        <v>0</v>
      </c>
      <c r="AL1430" s="26">
        <v>0.33333333333333298</v>
      </c>
      <c r="AM1430" s="25">
        <v>0.99</v>
      </c>
      <c r="AN1430" s="30">
        <v>1</v>
      </c>
      <c r="AO1430" s="30">
        <v>1</v>
      </c>
      <c r="AP1430" s="30">
        <v>1</v>
      </c>
      <c r="AQ1430" s="30">
        <v>1</v>
      </c>
      <c r="AR1430" s="50">
        <v>0.110069253262963</v>
      </c>
      <c r="AS1430" s="34">
        <v>0</v>
      </c>
      <c r="AT1430" s="34">
        <v>0</v>
      </c>
      <c r="AU1430" s="34">
        <v>0</v>
      </c>
      <c r="AV1430" s="34">
        <v>0</v>
      </c>
      <c r="AW1430" s="10"/>
      <c r="AX1430" s="8"/>
    </row>
    <row r="1431" spans="1:50">
      <c r="A1431" s="7"/>
      <c r="B1431" s="10"/>
      <c r="C1431" s="45" t="s">
        <v>1468</v>
      </c>
      <c r="D1431" s="23" t="s">
        <v>27</v>
      </c>
      <c r="E1431" s="89" t="s">
        <v>1475</v>
      </c>
      <c r="F1431" s="89" t="s">
        <v>1475</v>
      </c>
      <c r="G1431" s="89" t="s">
        <v>1475</v>
      </c>
      <c r="H1431" s="89" t="s">
        <v>1475</v>
      </c>
      <c r="I1431" s="25">
        <v>0.9</v>
      </c>
      <c r="J1431" s="26">
        <v>0</v>
      </c>
      <c r="K1431" s="26">
        <v>0</v>
      </c>
      <c r="L1431" s="27">
        <v>0</v>
      </c>
      <c r="M1431" s="26">
        <v>0</v>
      </c>
      <c r="N1431" s="28">
        <v>0.9</v>
      </c>
      <c r="O1431" s="26">
        <v>0</v>
      </c>
      <c r="P1431" s="26">
        <v>0</v>
      </c>
      <c r="Q1431" s="26">
        <v>0</v>
      </c>
      <c r="R1431" s="26">
        <v>0</v>
      </c>
      <c r="S1431" s="28">
        <v>0.9</v>
      </c>
      <c r="T1431" s="26">
        <v>0</v>
      </c>
      <c r="U1431" s="26">
        <v>0</v>
      </c>
      <c r="V1431" s="26">
        <v>0</v>
      </c>
      <c r="W1431" s="26">
        <v>1</v>
      </c>
      <c r="X1431" s="28">
        <v>0.92</v>
      </c>
      <c r="Y1431" s="28">
        <v>0</v>
      </c>
      <c r="Z1431" s="28">
        <v>0</v>
      </c>
      <c r="AA1431" s="28">
        <v>0</v>
      </c>
      <c r="AB1431" s="28">
        <v>0</v>
      </c>
      <c r="AC1431" s="28">
        <v>0.92</v>
      </c>
      <c r="AD1431" s="26">
        <v>1</v>
      </c>
      <c r="AE1431" s="26">
        <v>0.99243856332703195</v>
      </c>
      <c r="AF1431" s="26">
        <v>0.99815837937384899</v>
      </c>
      <c r="AG1431" s="26">
        <v>0.99690189328743595</v>
      </c>
      <c r="AH1431" s="28">
        <v>0.92</v>
      </c>
      <c r="AI1431" s="26">
        <v>0</v>
      </c>
      <c r="AJ1431" s="26">
        <v>0</v>
      </c>
      <c r="AK1431" s="26">
        <v>0</v>
      </c>
      <c r="AL1431" s="26">
        <v>1</v>
      </c>
      <c r="AM1431" s="25">
        <v>0.99</v>
      </c>
      <c r="AN1431" s="30">
        <v>1</v>
      </c>
      <c r="AO1431" s="30">
        <v>1</v>
      </c>
      <c r="AP1431" s="30">
        <v>1</v>
      </c>
      <c r="AQ1431" s="30">
        <v>1</v>
      </c>
      <c r="AR1431" s="50">
        <v>0.110069253262963</v>
      </c>
      <c r="AS1431" s="34">
        <v>0</v>
      </c>
      <c r="AT1431" s="34">
        <v>0</v>
      </c>
      <c r="AU1431" s="34">
        <v>0</v>
      </c>
      <c r="AV1431" s="34">
        <v>0</v>
      </c>
      <c r="AW1431" s="10"/>
      <c r="AX1431" s="8"/>
    </row>
    <row r="1432" spans="1:50">
      <c r="A1432" s="7"/>
      <c r="B1432" s="10"/>
      <c r="C1432" s="45" t="s">
        <v>1468</v>
      </c>
      <c r="D1432" s="23" t="s">
        <v>27</v>
      </c>
      <c r="E1432" s="89" t="s">
        <v>1476</v>
      </c>
      <c r="F1432" s="89" t="s">
        <v>1476</v>
      </c>
      <c r="G1432" s="89" t="s">
        <v>1476</v>
      </c>
      <c r="H1432" s="89" t="s">
        <v>1476</v>
      </c>
      <c r="I1432" s="25">
        <v>0.9</v>
      </c>
      <c r="J1432" s="26">
        <v>0</v>
      </c>
      <c r="K1432" s="26">
        <v>0</v>
      </c>
      <c r="L1432" s="27">
        <v>0</v>
      </c>
      <c r="M1432" s="26">
        <v>0</v>
      </c>
      <c r="N1432" s="28">
        <v>0.9</v>
      </c>
      <c r="O1432" s="26">
        <v>0</v>
      </c>
      <c r="P1432" s="26">
        <v>0</v>
      </c>
      <c r="Q1432" s="26">
        <v>0</v>
      </c>
      <c r="R1432" s="26">
        <v>0</v>
      </c>
      <c r="S1432" s="28">
        <v>0.9</v>
      </c>
      <c r="T1432" s="26">
        <v>0</v>
      </c>
      <c r="U1432" s="26">
        <v>0</v>
      </c>
      <c r="V1432" s="26">
        <v>0</v>
      </c>
      <c r="W1432" s="26">
        <v>0</v>
      </c>
      <c r="X1432" s="28">
        <v>0.92</v>
      </c>
      <c r="Y1432" s="28">
        <v>0</v>
      </c>
      <c r="Z1432" s="28">
        <v>0</v>
      </c>
      <c r="AA1432" s="28">
        <v>0</v>
      </c>
      <c r="AB1432" s="28">
        <v>0</v>
      </c>
      <c r="AC1432" s="28">
        <v>0.92</v>
      </c>
      <c r="AD1432" s="26">
        <v>0.98803046789989102</v>
      </c>
      <c r="AE1432" s="26">
        <v>0.99421407907425297</v>
      </c>
      <c r="AF1432" s="26">
        <v>0.99651264167393205</v>
      </c>
      <c r="AG1432" s="26">
        <v>0.99497667743092899</v>
      </c>
      <c r="AH1432" s="28">
        <v>0.92</v>
      </c>
      <c r="AI1432" s="26">
        <v>0.33333333333333298</v>
      </c>
      <c r="AJ1432" s="26">
        <v>0</v>
      </c>
      <c r="AK1432" s="26">
        <v>0</v>
      </c>
      <c r="AL1432" s="26">
        <v>0.25</v>
      </c>
      <c r="AM1432" s="25">
        <v>0.99</v>
      </c>
      <c r="AN1432" s="30">
        <v>0</v>
      </c>
      <c r="AO1432" s="30">
        <v>0</v>
      </c>
      <c r="AP1432" s="30">
        <v>1</v>
      </c>
      <c r="AQ1432" s="30">
        <v>1</v>
      </c>
      <c r="AR1432" s="50">
        <v>0.110069253262963</v>
      </c>
      <c r="AS1432" s="34">
        <v>0</v>
      </c>
      <c r="AT1432" s="34">
        <v>0</v>
      </c>
      <c r="AU1432" s="34">
        <v>0</v>
      </c>
      <c r="AV1432" s="34">
        <v>0</v>
      </c>
      <c r="AW1432" s="10"/>
      <c r="AX1432" s="8"/>
    </row>
    <row r="1433" spans="1:50">
      <c r="A1433" s="7"/>
      <c r="B1433" s="10"/>
      <c r="C1433" s="45" t="s">
        <v>1468</v>
      </c>
      <c r="D1433" s="23" t="s">
        <v>27</v>
      </c>
      <c r="E1433" s="88" t="s">
        <v>1477</v>
      </c>
      <c r="F1433" s="88" t="s">
        <v>1477</v>
      </c>
      <c r="G1433" s="88" t="s">
        <v>1477</v>
      </c>
      <c r="H1433" s="88" t="s">
        <v>1477</v>
      </c>
      <c r="I1433" s="25">
        <v>0.9</v>
      </c>
      <c r="J1433" s="26">
        <v>0</v>
      </c>
      <c r="K1433" s="26">
        <v>0</v>
      </c>
      <c r="L1433" s="27">
        <v>0</v>
      </c>
      <c r="M1433" s="26">
        <v>0</v>
      </c>
      <c r="N1433" s="28">
        <v>0.9</v>
      </c>
      <c r="O1433" s="26">
        <v>0</v>
      </c>
      <c r="P1433" s="26">
        <v>0</v>
      </c>
      <c r="Q1433" s="26">
        <v>0</v>
      </c>
      <c r="R1433" s="26">
        <v>0</v>
      </c>
      <c r="S1433" s="28">
        <v>0.9</v>
      </c>
      <c r="T1433" s="26">
        <v>0</v>
      </c>
      <c r="U1433" s="26">
        <v>0</v>
      </c>
      <c r="V1433" s="26">
        <v>0</v>
      </c>
      <c r="W1433" s="26">
        <v>0</v>
      </c>
      <c r="X1433" s="28">
        <v>0.92</v>
      </c>
      <c r="Y1433" s="28">
        <v>0</v>
      </c>
      <c r="Z1433" s="28">
        <v>0</v>
      </c>
      <c r="AA1433" s="28">
        <v>0</v>
      </c>
      <c r="AB1433" s="28">
        <v>0</v>
      </c>
      <c r="AC1433" s="28">
        <v>0.92</v>
      </c>
      <c r="AD1433" s="26">
        <v>0.90810810810810805</v>
      </c>
      <c r="AE1433" s="26">
        <v>0.92896174863388004</v>
      </c>
      <c r="AF1433" s="26">
        <v>0.99159663865546199</v>
      </c>
      <c r="AG1433" s="26">
        <v>0.96153846153846201</v>
      </c>
      <c r="AH1433" s="28">
        <v>0.92</v>
      </c>
      <c r="AI1433" s="26">
        <v>0</v>
      </c>
      <c r="AJ1433" s="26">
        <v>0</v>
      </c>
      <c r="AK1433" s="26">
        <v>0</v>
      </c>
      <c r="AL1433" s="26">
        <v>0</v>
      </c>
      <c r="AM1433" s="25">
        <v>0.99</v>
      </c>
      <c r="AN1433" s="30">
        <v>0</v>
      </c>
      <c r="AO1433" s="30">
        <v>0</v>
      </c>
      <c r="AP1433" s="30">
        <v>0</v>
      </c>
      <c r="AQ1433" s="30">
        <v>0</v>
      </c>
      <c r="AR1433" s="50">
        <v>0.110069253262963</v>
      </c>
      <c r="AS1433" s="34">
        <v>0</v>
      </c>
      <c r="AT1433" s="34">
        <v>0</v>
      </c>
      <c r="AU1433" s="34">
        <v>0</v>
      </c>
      <c r="AV1433" s="34">
        <v>0</v>
      </c>
      <c r="AW1433" s="10"/>
      <c r="AX1433" s="8"/>
    </row>
    <row r="1434" spans="1:50">
      <c r="A1434" s="7"/>
      <c r="B1434" s="10"/>
      <c r="C1434" s="45" t="s">
        <v>1468</v>
      </c>
      <c r="D1434" s="23" t="s">
        <v>27</v>
      </c>
      <c r="E1434" s="89" t="s">
        <v>1478</v>
      </c>
      <c r="F1434" s="89" t="s">
        <v>1478</v>
      </c>
      <c r="G1434" s="89" t="s">
        <v>1478</v>
      </c>
      <c r="H1434" s="89" t="s">
        <v>1478</v>
      </c>
      <c r="I1434" s="25">
        <v>0.9</v>
      </c>
      <c r="J1434" s="26">
        <v>0</v>
      </c>
      <c r="K1434" s="26">
        <v>0</v>
      </c>
      <c r="L1434" s="27">
        <v>0</v>
      </c>
      <c r="M1434" s="26">
        <v>0</v>
      </c>
      <c r="N1434" s="28">
        <v>0.9</v>
      </c>
      <c r="O1434" s="26">
        <v>0</v>
      </c>
      <c r="P1434" s="26">
        <v>0</v>
      </c>
      <c r="Q1434" s="26">
        <v>0</v>
      </c>
      <c r="R1434" s="26">
        <v>0</v>
      </c>
      <c r="S1434" s="28">
        <v>0.9</v>
      </c>
      <c r="T1434" s="26">
        <v>0</v>
      </c>
      <c r="U1434" s="26">
        <v>0</v>
      </c>
      <c r="V1434" s="26">
        <v>0</v>
      </c>
      <c r="W1434" s="26">
        <v>0</v>
      </c>
      <c r="X1434" s="28">
        <v>0.92</v>
      </c>
      <c r="Y1434" s="28">
        <v>0</v>
      </c>
      <c r="Z1434" s="28">
        <v>0</v>
      </c>
      <c r="AA1434" s="28">
        <v>0</v>
      </c>
      <c r="AB1434" s="28">
        <v>0</v>
      </c>
      <c r="AC1434" s="28">
        <v>0.92</v>
      </c>
      <c r="AD1434" s="26">
        <v>0.88333333333333297</v>
      </c>
      <c r="AE1434" s="26">
        <v>0.93442622950819698</v>
      </c>
      <c r="AF1434" s="26">
        <v>0.96363636363636396</v>
      </c>
      <c r="AG1434" s="26">
        <v>0.952380952380952</v>
      </c>
      <c r="AH1434" s="28">
        <v>0.92</v>
      </c>
      <c r="AI1434" s="26">
        <v>0</v>
      </c>
      <c r="AJ1434" s="26">
        <v>0</v>
      </c>
      <c r="AK1434" s="26">
        <v>0</v>
      </c>
      <c r="AL1434" s="26">
        <v>0</v>
      </c>
      <c r="AM1434" s="25">
        <v>0.99</v>
      </c>
      <c r="AN1434" s="30">
        <v>0</v>
      </c>
      <c r="AO1434" s="30">
        <v>0</v>
      </c>
      <c r="AP1434" s="30">
        <v>0</v>
      </c>
      <c r="AQ1434" s="30">
        <v>0</v>
      </c>
      <c r="AR1434" s="50">
        <v>0.110069253262963</v>
      </c>
      <c r="AS1434" s="34">
        <v>0</v>
      </c>
      <c r="AT1434" s="34">
        <v>0</v>
      </c>
      <c r="AU1434" s="34">
        <v>0</v>
      </c>
      <c r="AV1434" s="34">
        <v>0</v>
      </c>
      <c r="AW1434" s="10"/>
      <c r="AX1434" s="8"/>
    </row>
    <row r="1435" spans="1:50">
      <c r="A1435" s="7"/>
      <c r="B1435" s="10"/>
      <c r="C1435" s="45" t="s">
        <v>1468</v>
      </c>
      <c r="D1435" s="23" t="s">
        <v>27</v>
      </c>
      <c r="E1435" s="88" t="s">
        <v>1479</v>
      </c>
      <c r="F1435" s="88" t="s">
        <v>1479</v>
      </c>
      <c r="G1435" s="88" t="s">
        <v>1479</v>
      </c>
      <c r="H1435" s="88" t="s">
        <v>1479</v>
      </c>
      <c r="I1435" s="25">
        <v>0.9</v>
      </c>
      <c r="J1435" s="26">
        <v>0</v>
      </c>
      <c r="K1435" s="26">
        <v>0</v>
      </c>
      <c r="L1435" s="27">
        <v>0</v>
      </c>
      <c r="M1435" s="26">
        <v>0</v>
      </c>
      <c r="N1435" s="28">
        <v>0.9</v>
      </c>
      <c r="O1435" s="26">
        <v>0</v>
      </c>
      <c r="P1435" s="26">
        <v>0</v>
      </c>
      <c r="Q1435" s="26">
        <v>0</v>
      </c>
      <c r="R1435" s="26">
        <v>0</v>
      </c>
      <c r="S1435" s="28">
        <v>0.9</v>
      </c>
      <c r="T1435" s="26">
        <v>1</v>
      </c>
      <c r="U1435" s="26">
        <v>0.33333333333333298</v>
      </c>
      <c r="V1435" s="26">
        <v>1</v>
      </c>
      <c r="W1435" s="26">
        <v>0.75</v>
      </c>
      <c r="X1435" s="28">
        <v>0.92</v>
      </c>
      <c r="Y1435" s="28">
        <v>0</v>
      </c>
      <c r="Z1435" s="28">
        <v>0</v>
      </c>
      <c r="AA1435" s="28">
        <v>0</v>
      </c>
      <c r="AB1435" s="28">
        <v>0</v>
      </c>
      <c r="AC1435" s="28">
        <v>0.92</v>
      </c>
      <c r="AD1435" s="26">
        <v>0.99437991757212396</v>
      </c>
      <c r="AE1435" s="26">
        <v>0.99526627218934904</v>
      </c>
      <c r="AF1435" s="26">
        <v>0.99876441515650705</v>
      </c>
      <c r="AG1435" s="26">
        <v>0.99021346003829502</v>
      </c>
      <c r="AH1435" s="28">
        <v>0.92</v>
      </c>
      <c r="AI1435" s="26">
        <v>1</v>
      </c>
      <c r="AJ1435" s="26">
        <v>0.6</v>
      </c>
      <c r="AK1435" s="26">
        <v>1</v>
      </c>
      <c r="AL1435" s="26">
        <v>0.86363636363636398</v>
      </c>
      <c r="AM1435" s="25">
        <v>0.99</v>
      </c>
      <c r="AN1435" s="30">
        <v>1</v>
      </c>
      <c r="AO1435" s="30">
        <v>1</v>
      </c>
      <c r="AP1435" s="30">
        <v>1</v>
      </c>
      <c r="AQ1435" s="30">
        <v>1</v>
      </c>
      <c r="AR1435" s="50">
        <v>0.110069253262963</v>
      </c>
      <c r="AS1435" s="34">
        <v>0</v>
      </c>
      <c r="AT1435" s="34">
        <v>0</v>
      </c>
      <c r="AU1435" s="34">
        <v>0</v>
      </c>
      <c r="AV1435" s="34">
        <v>0</v>
      </c>
      <c r="AW1435" s="10"/>
      <c r="AX1435" s="8"/>
    </row>
    <row r="1436" spans="1:50">
      <c r="A1436" s="7"/>
      <c r="B1436" s="10"/>
      <c r="C1436" s="45" t="s">
        <v>1468</v>
      </c>
      <c r="D1436" s="23" t="s">
        <v>27</v>
      </c>
      <c r="E1436" s="88" t="s">
        <v>1480</v>
      </c>
      <c r="F1436" s="88" t="s">
        <v>1480</v>
      </c>
      <c r="G1436" s="88" t="s">
        <v>1480</v>
      </c>
      <c r="H1436" s="88" t="s">
        <v>1480</v>
      </c>
      <c r="I1436" s="25">
        <v>0.9</v>
      </c>
      <c r="J1436" s="26">
        <v>0</v>
      </c>
      <c r="K1436" s="26">
        <v>0</v>
      </c>
      <c r="L1436" s="27">
        <v>0</v>
      </c>
      <c r="M1436" s="26">
        <v>0</v>
      </c>
      <c r="N1436" s="28">
        <v>0.9</v>
      </c>
      <c r="O1436" s="26">
        <v>0</v>
      </c>
      <c r="P1436" s="26">
        <v>0</v>
      </c>
      <c r="Q1436" s="26">
        <v>0</v>
      </c>
      <c r="R1436" s="26">
        <v>0</v>
      </c>
      <c r="S1436" s="28">
        <v>0.9</v>
      </c>
      <c r="T1436" s="26">
        <v>0</v>
      </c>
      <c r="U1436" s="26">
        <v>0</v>
      </c>
      <c r="V1436" s="26">
        <v>0</v>
      </c>
      <c r="W1436" s="26">
        <v>0</v>
      </c>
      <c r="X1436" s="28">
        <v>0.92</v>
      </c>
      <c r="Y1436" s="28">
        <v>0</v>
      </c>
      <c r="Z1436" s="28">
        <v>0</v>
      </c>
      <c r="AA1436" s="28">
        <v>0</v>
      </c>
      <c r="AB1436" s="28">
        <v>0</v>
      </c>
      <c r="AC1436" s="28">
        <v>0.92</v>
      </c>
      <c r="AD1436" s="26">
        <v>1</v>
      </c>
      <c r="AE1436" s="26">
        <v>1</v>
      </c>
      <c r="AF1436" s="26">
        <v>1</v>
      </c>
      <c r="AG1436" s="26">
        <v>1</v>
      </c>
      <c r="AH1436" s="28">
        <v>0.92</v>
      </c>
      <c r="AI1436" s="26">
        <v>0</v>
      </c>
      <c r="AJ1436" s="26">
        <v>0</v>
      </c>
      <c r="AK1436" s="26">
        <v>0</v>
      </c>
      <c r="AL1436" s="26">
        <v>0</v>
      </c>
      <c r="AM1436" s="25">
        <v>0.99</v>
      </c>
      <c r="AN1436" s="30">
        <v>0</v>
      </c>
      <c r="AO1436" s="30">
        <v>0</v>
      </c>
      <c r="AP1436" s="30">
        <v>0</v>
      </c>
      <c r="AQ1436" s="30">
        <v>1</v>
      </c>
      <c r="AR1436" s="50">
        <v>0.110069253262963</v>
      </c>
      <c r="AS1436" s="34">
        <v>0</v>
      </c>
      <c r="AT1436" s="34">
        <v>0</v>
      </c>
      <c r="AU1436" s="34">
        <v>0</v>
      </c>
      <c r="AV1436" s="34">
        <v>0</v>
      </c>
      <c r="AW1436" s="10"/>
      <c r="AX1436" s="8"/>
    </row>
    <row r="1437" spans="1:50">
      <c r="A1437" s="7"/>
      <c r="B1437" s="10"/>
      <c r="C1437" s="45" t="s">
        <v>1468</v>
      </c>
      <c r="D1437" s="23" t="s">
        <v>27</v>
      </c>
      <c r="E1437" s="89" t="s">
        <v>1481</v>
      </c>
      <c r="F1437" s="89" t="s">
        <v>1481</v>
      </c>
      <c r="G1437" s="89" t="s">
        <v>1481</v>
      </c>
      <c r="H1437" s="89" t="s">
        <v>1481</v>
      </c>
      <c r="I1437" s="25">
        <v>0.9</v>
      </c>
      <c r="J1437" s="26">
        <v>0</v>
      </c>
      <c r="K1437" s="26">
        <v>0</v>
      </c>
      <c r="L1437" s="27">
        <v>0</v>
      </c>
      <c r="M1437" s="26">
        <v>0</v>
      </c>
      <c r="N1437" s="28">
        <v>0.9</v>
      </c>
      <c r="O1437" s="26">
        <v>0</v>
      </c>
      <c r="P1437" s="26">
        <v>0</v>
      </c>
      <c r="Q1437" s="26">
        <v>0</v>
      </c>
      <c r="R1437" s="26">
        <v>0</v>
      </c>
      <c r="S1437" s="28">
        <v>0.9</v>
      </c>
      <c r="T1437" s="26">
        <v>0</v>
      </c>
      <c r="U1437" s="26">
        <v>0</v>
      </c>
      <c r="V1437" s="26">
        <v>0</v>
      </c>
      <c r="W1437" s="26">
        <v>0</v>
      </c>
      <c r="X1437" s="28">
        <v>0.92</v>
      </c>
      <c r="Y1437" s="28">
        <v>0</v>
      </c>
      <c r="Z1437" s="28">
        <v>0</v>
      </c>
      <c r="AA1437" s="28">
        <v>0</v>
      </c>
      <c r="AB1437" s="28">
        <v>0</v>
      </c>
      <c r="AC1437" s="28">
        <v>0.92</v>
      </c>
      <c r="AD1437" s="26">
        <v>0.99054373522458605</v>
      </c>
      <c r="AE1437" s="26">
        <v>0.99467140319715797</v>
      </c>
      <c r="AF1437" s="26">
        <v>0.95478260869565201</v>
      </c>
      <c r="AG1437" s="26">
        <v>0.98607727114514399</v>
      </c>
      <c r="AH1437" s="28">
        <v>0.92</v>
      </c>
      <c r="AI1437" s="26">
        <v>0</v>
      </c>
      <c r="AJ1437" s="26">
        <v>0</v>
      </c>
      <c r="AK1437" s="26">
        <v>0</v>
      </c>
      <c r="AL1437" s="26">
        <v>0</v>
      </c>
      <c r="AM1437" s="25">
        <v>0.99</v>
      </c>
      <c r="AN1437" s="30">
        <v>0</v>
      </c>
      <c r="AO1437" s="30">
        <v>0</v>
      </c>
      <c r="AP1437" s="30">
        <v>0</v>
      </c>
      <c r="AQ1437" s="30">
        <v>1</v>
      </c>
      <c r="AR1437" s="50">
        <v>0.110069253262963</v>
      </c>
      <c r="AS1437" s="34">
        <v>0</v>
      </c>
      <c r="AT1437" s="34">
        <v>0</v>
      </c>
      <c r="AU1437" s="34">
        <v>0</v>
      </c>
      <c r="AV1437" s="34">
        <v>0</v>
      </c>
      <c r="AW1437" s="10"/>
      <c r="AX1437" s="8"/>
    </row>
    <row r="1438" spans="1:50">
      <c r="A1438" s="7"/>
      <c r="B1438" s="10"/>
      <c r="C1438" s="45" t="s">
        <v>1468</v>
      </c>
      <c r="D1438" s="23" t="s">
        <v>27</v>
      </c>
      <c r="E1438" s="89" t="s">
        <v>1482</v>
      </c>
      <c r="F1438" s="89" t="s">
        <v>1482</v>
      </c>
      <c r="G1438" s="89" t="s">
        <v>1482</v>
      </c>
      <c r="H1438" s="89" t="s">
        <v>1482</v>
      </c>
      <c r="I1438" s="25">
        <v>0.9</v>
      </c>
      <c r="J1438" s="26">
        <v>0</v>
      </c>
      <c r="K1438" s="26">
        <v>0</v>
      </c>
      <c r="L1438" s="27">
        <v>0</v>
      </c>
      <c r="M1438" s="26">
        <v>0</v>
      </c>
      <c r="N1438" s="28">
        <v>0.9</v>
      </c>
      <c r="O1438" s="26">
        <v>0</v>
      </c>
      <c r="P1438" s="26">
        <v>0</v>
      </c>
      <c r="Q1438" s="26">
        <v>0</v>
      </c>
      <c r="R1438" s="26">
        <v>0</v>
      </c>
      <c r="S1438" s="28">
        <v>0.9</v>
      </c>
      <c r="T1438" s="26">
        <v>0</v>
      </c>
      <c r="U1438" s="26">
        <v>0</v>
      </c>
      <c r="V1438" s="26">
        <v>0</v>
      </c>
      <c r="W1438" s="26">
        <v>0</v>
      </c>
      <c r="X1438" s="28">
        <v>0.92</v>
      </c>
      <c r="Y1438" s="28">
        <v>0</v>
      </c>
      <c r="Z1438" s="28">
        <v>0</v>
      </c>
      <c r="AA1438" s="28">
        <v>0</v>
      </c>
      <c r="AB1438" s="28">
        <v>0</v>
      </c>
      <c r="AC1438" s="28">
        <v>0.92</v>
      </c>
      <c r="AD1438" s="26">
        <v>0.95604395604395598</v>
      </c>
      <c r="AE1438" s="26">
        <v>1</v>
      </c>
      <c r="AF1438" s="26">
        <v>0.99236641221374</v>
      </c>
      <c r="AG1438" s="26">
        <v>0.98474945533769098</v>
      </c>
      <c r="AH1438" s="28">
        <v>0.92</v>
      </c>
      <c r="AI1438" s="26">
        <v>0</v>
      </c>
      <c r="AJ1438" s="26">
        <v>1</v>
      </c>
      <c r="AK1438" s="26">
        <v>0</v>
      </c>
      <c r="AL1438" s="26">
        <v>1</v>
      </c>
      <c r="AM1438" s="25">
        <v>0.99</v>
      </c>
      <c r="AN1438" s="30">
        <v>0</v>
      </c>
      <c r="AO1438" s="30">
        <v>0</v>
      </c>
      <c r="AP1438" s="30">
        <v>0</v>
      </c>
      <c r="AQ1438" s="30">
        <v>0</v>
      </c>
      <c r="AR1438" s="50">
        <v>0.110069253262963</v>
      </c>
      <c r="AS1438" s="34">
        <v>0</v>
      </c>
      <c r="AT1438" s="34">
        <v>0</v>
      </c>
      <c r="AU1438" s="34">
        <v>0</v>
      </c>
      <c r="AV1438" s="34">
        <v>0</v>
      </c>
      <c r="AW1438" s="10"/>
      <c r="AX1438" s="8"/>
    </row>
    <row r="1439" spans="1:50">
      <c r="A1439" s="7"/>
      <c r="B1439" s="10"/>
      <c r="C1439" s="45" t="s">
        <v>1468</v>
      </c>
      <c r="D1439" s="23" t="s">
        <v>27</v>
      </c>
      <c r="E1439" s="89" t="s">
        <v>1483</v>
      </c>
      <c r="F1439" s="89" t="s">
        <v>1483</v>
      </c>
      <c r="G1439" s="89" t="s">
        <v>1483</v>
      </c>
      <c r="H1439" s="89" t="s">
        <v>1483</v>
      </c>
      <c r="I1439" s="25">
        <v>0.9</v>
      </c>
      <c r="J1439" s="26">
        <v>0</v>
      </c>
      <c r="K1439" s="26">
        <v>0</v>
      </c>
      <c r="L1439" s="27">
        <v>0</v>
      </c>
      <c r="M1439" s="26">
        <v>0</v>
      </c>
      <c r="N1439" s="28">
        <v>0.9</v>
      </c>
      <c r="O1439" s="26">
        <v>0</v>
      </c>
      <c r="P1439" s="26">
        <v>0</v>
      </c>
      <c r="Q1439" s="26">
        <v>0</v>
      </c>
      <c r="R1439" s="26">
        <v>0</v>
      </c>
      <c r="S1439" s="28">
        <v>0.9</v>
      </c>
      <c r="T1439" s="26">
        <v>0</v>
      </c>
      <c r="U1439" s="26">
        <v>0</v>
      </c>
      <c r="V1439" s="26">
        <v>0</v>
      </c>
      <c r="W1439" s="26">
        <v>0</v>
      </c>
      <c r="X1439" s="28">
        <v>0.92</v>
      </c>
      <c r="Y1439" s="28">
        <v>0</v>
      </c>
      <c r="Z1439" s="28">
        <v>0</v>
      </c>
      <c r="AA1439" s="28">
        <v>0</v>
      </c>
      <c r="AB1439" s="28">
        <v>0</v>
      </c>
      <c r="AC1439" s="28">
        <v>0.92</v>
      </c>
      <c r="AD1439" s="26">
        <v>1</v>
      </c>
      <c r="AE1439" s="26">
        <v>1</v>
      </c>
      <c r="AF1439" s="26">
        <v>0.99726027397260297</v>
      </c>
      <c r="AG1439" s="26">
        <v>0.99939577039274896</v>
      </c>
      <c r="AH1439" s="28">
        <v>0.92</v>
      </c>
      <c r="AI1439" s="26">
        <v>0</v>
      </c>
      <c r="AJ1439" s="26">
        <v>0</v>
      </c>
      <c r="AK1439" s="26">
        <v>0</v>
      </c>
      <c r="AL1439" s="26">
        <v>0</v>
      </c>
      <c r="AM1439" s="25">
        <v>0.99</v>
      </c>
      <c r="AN1439" s="30">
        <v>0</v>
      </c>
      <c r="AO1439" s="30">
        <v>0</v>
      </c>
      <c r="AP1439" s="30">
        <v>0</v>
      </c>
      <c r="AQ1439" s="30">
        <v>0</v>
      </c>
      <c r="AR1439" s="50">
        <v>0.110069253262963</v>
      </c>
      <c r="AS1439" s="34">
        <v>0</v>
      </c>
      <c r="AT1439" s="34">
        <v>0</v>
      </c>
      <c r="AU1439" s="34">
        <v>0</v>
      </c>
      <c r="AV1439" s="34">
        <v>0</v>
      </c>
      <c r="AW1439" s="10"/>
      <c r="AX1439" s="8"/>
    </row>
    <row r="1440" spans="1:50">
      <c r="A1440" s="7"/>
      <c r="B1440" s="10"/>
      <c r="C1440" s="45" t="s">
        <v>1468</v>
      </c>
      <c r="D1440" s="23" t="s">
        <v>27</v>
      </c>
      <c r="E1440" s="89" t="s">
        <v>1484</v>
      </c>
      <c r="F1440" s="89" t="s">
        <v>1484</v>
      </c>
      <c r="G1440" s="89" t="s">
        <v>1484</v>
      </c>
      <c r="H1440" s="89" t="s">
        <v>1484</v>
      </c>
      <c r="I1440" s="25">
        <v>0.9</v>
      </c>
      <c r="J1440" s="26">
        <v>0</v>
      </c>
      <c r="K1440" s="26">
        <v>0</v>
      </c>
      <c r="L1440" s="27">
        <v>0</v>
      </c>
      <c r="M1440" s="26">
        <v>0</v>
      </c>
      <c r="N1440" s="28">
        <v>0.9</v>
      </c>
      <c r="O1440" s="26">
        <v>0</v>
      </c>
      <c r="P1440" s="26">
        <v>0</v>
      </c>
      <c r="Q1440" s="26">
        <v>0</v>
      </c>
      <c r="R1440" s="26">
        <v>0</v>
      </c>
      <c r="S1440" s="28">
        <v>0.9</v>
      </c>
      <c r="T1440" s="26">
        <v>0</v>
      </c>
      <c r="U1440" s="26">
        <v>0</v>
      </c>
      <c r="V1440" s="26">
        <v>0</v>
      </c>
      <c r="W1440" s="26">
        <v>0</v>
      </c>
      <c r="X1440" s="28">
        <v>0.92</v>
      </c>
      <c r="Y1440" s="28">
        <v>0</v>
      </c>
      <c r="Z1440" s="28">
        <v>0</v>
      </c>
      <c r="AA1440" s="28">
        <v>0</v>
      </c>
      <c r="AB1440" s="28">
        <v>0</v>
      </c>
      <c r="AC1440" s="28">
        <v>0.92</v>
      </c>
      <c r="AD1440" s="26">
        <v>0.93493975903614501</v>
      </c>
      <c r="AE1440" s="26">
        <v>1</v>
      </c>
      <c r="AF1440" s="26">
        <v>0.99047619047619095</v>
      </c>
      <c r="AG1440" s="26">
        <v>0.96802325581395399</v>
      </c>
      <c r="AH1440" s="28">
        <v>0.92</v>
      </c>
      <c r="AI1440" s="26">
        <v>0</v>
      </c>
      <c r="AJ1440" s="26">
        <v>0</v>
      </c>
      <c r="AK1440" s="26">
        <v>0</v>
      </c>
      <c r="AL1440" s="26">
        <v>0</v>
      </c>
      <c r="AM1440" s="25">
        <v>0.99</v>
      </c>
      <c r="AN1440" s="30">
        <v>0</v>
      </c>
      <c r="AO1440" s="30">
        <v>0</v>
      </c>
      <c r="AP1440" s="30">
        <v>0</v>
      </c>
      <c r="AQ1440" s="30">
        <v>0</v>
      </c>
      <c r="AR1440" s="50">
        <v>0.110069253262963</v>
      </c>
      <c r="AS1440" s="34">
        <v>0</v>
      </c>
      <c r="AT1440" s="34">
        <v>0</v>
      </c>
      <c r="AU1440" s="34">
        <v>0</v>
      </c>
      <c r="AV1440" s="34">
        <v>0</v>
      </c>
      <c r="AW1440" s="10"/>
      <c r="AX1440" s="8"/>
    </row>
    <row r="1441" spans="1:50">
      <c r="A1441" s="7"/>
      <c r="B1441" s="10"/>
      <c r="C1441" s="45" t="s">
        <v>1468</v>
      </c>
      <c r="D1441" s="23" t="s">
        <v>27</v>
      </c>
      <c r="E1441" s="89" t="s">
        <v>1485</v>
      </c>
      <c r="F1441" s="89" t="s">
        <v>1485</v>
      </c>
      <c r="G1441" s="89" t="s">
        <v>1485</v>
      </c>
      <c r="H1441" s="89" t="s">
        <v>1485</v>
      </c>
      <c r="I1441" s="25">
        <v>0.9</v>
      </c>
      <c r="J1441" s="26">
        <v>0</v>
      </c>
      <c r="K1441" s="26">
        <v>0</v>
      </c>
      <c r="L1441" s="27">
        <v>0</v>
      </c>
      <c r="M1441" s="26">
        <v>0</v>
      </c>
      <c r="N1441" s="28">
        <v>0.9</v>
      </c>
      <c r="O1441" s="26">
        <v>0</v>
      </c>
      <c r="P1441" s="26">
        <v>0</v>
      </c>
      <c r="Q1441" s="26">
        <v>0</v>
      </c>
      <c r="R1441" s="26">
        <v>0</v>
      </c>
      <c r="S1441" s="28">
        <v>0.9</v>
      </c>
      <c r="T1441" s="26">
        <v>0</v>
      </c>
      <c r="U1441" s="26">
        <v>1</v>
      </c>
      <c r="V1441" s="26">
        <v>1</v>
      </c>
      <c r="W1441" s="26">
        <v>1</v>
      </c>
      <c r="X1441" s="28">
        <v>0.92</v>
      </c>
      <c r="Y1441" s="28">
        <v>0</v>
      </c>
      <c r="Z1441" s="28">
        <v>0</v>
      </c>
      <c r="AA1441" s="28">
        <v>0</v>
      </c>
      <c r="AB1441" s="28">
        <v>1</v>
      </c>
      <c r="AC1441" s="28">
        <v>0.92</v>
      </c>
      <c r="AD1441" s="26">
        <v>0.98220640569395001</v>
      </c>
      <c r="AE1441" s="26">
        <v>0.97883917775090701</v>
      </c>
      <c r="AF1441" s="26">
        <v>0.99548872180451098</v>
      </c>
      <c r="AG1441" s="26">
        <v>0.99087695290226896</v>
      </c>
      <c r="AH1441" s="28">
        <v>0.92</v>
      </c>
      <c r="AI1441" s="26">
        <v>0</v>
      </c>
      <c r="AJ1441" s="26">
        <v>1</v>
      </c>
      <c r="AK1441" s="26">
        <v>1</v>
      </c>
      <c r="AL1441" s="26">
        <v>1</v>
      </c>
      <c r="AM1441" s="25">
        <v>0.99</v>
      </c>
      <c r="AN1441" s="30">
        <v>0</v>
      </c>
      <c r="AO1441" s="30">
        <v>1</v>
      </c>
      <c r="AP1441" s="30">
        <v>1</v>
      </c>
      <c r="AQ1441" s="30">
        <v>1</v>
      </c>
      <c r="AR1441" s="50">
        <v>0.110069253262963</v>
      </c>
      <c r="AS1441" s="34">
        <v>0</v>
      </c>
      <c r="AT1441" s="34">
        <v>0</v>
      </c>
      <c r="AU1441" s="34">
        <v>0</v>
      </c>
      <c r="AV1441" s="34">
        <v>0</v>
      </c>
      <c r="AW1441" s="10"/>
      <c r="AX1441" s="8"/>
    </row>
    <row r="1442" spans="1:50">
      <c r="A1442" s="7"/>
      <c r="B1442" s="10"/>
      <c r="C1442" s="45" t="s">
        <v>1468</v>
      </c>
      <c r="D1442" s="23" t="s">
        <v>27</v>
      </c>
      <c r="E1442" s="89" t="s">
        <v>1486</v>
      </c>
      <c r="F1442" s="89" t="s">
        <v>1486</v>
      </c>
      <c r="G1442" s="89" t="s">
        <v>1486</v>
      </c>
      <c r="H1442" s="89" t="s">
        <v>1486</v>
      </c>
      <c r="I1442" s="25">
        <v>0.9</v>
      </c>
      <c r="J1442" s="26">
        <v>0</v>
      </c>
      <c r="K1442" s="26">
        <v>0</v>
      </c>
      <c r="L1442" s="27">
        <v>0</v>
      </c>
      <c r="M1442" s="26">
        <v>0</v>
      </c>
      <c r="N1442" s="28">
        <v>0.9</v>
      </c>
      <c r="O1442" s="26">
        <v>0</v>
      </c>
      <c r="P1442" s="26">
        <v>0</v>
      </c>
      <c r="Q1442" s="26">
        <v>0</v>
      </c>
      <c r="R1442" s="26">
        <v>0</v>
      </c>
      <c r="S1442" s="28">
        <v>0.9</v>
      </c>
      <c r="T1442" s="26">
        <v>0</v>
      </c>
      <c r="U1442" s="26">
        <v>0</v>
      </c>
      <c r="V1442" s="26">
        <v>0</v>
      </c>
      <c r="W1442" s="26">
        <v>0</v>
      </c>
      <c r="X1442" s="28">
        <v>0.92</v>
      </c>
      <c r="Y1442" s="28">
        <v>0</v>
      </c>
      <c r="Z1442" s="28">
        <v>0</v>
      </c>
      <c r="AA1442" s="28">
        <v>0</v>
      </c>
      <c r="AB1442" s="28">
        <v>0</v>
      </c>
      <c r="AC1442" s="28">
        <v>0.92</v>
      </c>
      <c r="AD1442" s="26">
        <v>0.98750000000000004</v>
      </c>
      <c r="AE1442" s="26">
        <v>0.96495619524405496</v>
      </c>
      <c r="AF1442" s="26">
        <v>0.98375000000000001</v>
      </c>
      <c r="AG1442" s="26">
        <v>0.91217659624970304</v>
      </c>
      <c r="AH1442" s="28">
        <v>0.92</v>
      </c>
      <c r="AI1442" s="26">
        <v>0</v>
      </c>
      <c r="AJ1442" s="26">
        <v>0</v>
      </c>
      <c r="AK1442" s="26">
        <v>0</v>
      </c>
      <c r="AL1442" s="26">
        <v>0</v>
      </c>
      <c r="AM1442" s="25">
        <v>0.99</v>
      </c>
      <c r="AN1442" s="30">
        <v>0</v>
      </c>
      <c r="AO1442" s="30">
        <v>0</v>
      </c>
      <c r="AP1442" s="30">
        <v>0</v>
      </c>
      <c r="AQ1442" s="30">
        <v>1</v>
      </c>
      <c r="AR1442" s="50">
        <v>0.110069253262963</v>
      </c>
      <c r="AS1442" s="34">
        <v>0</v>
      </c>
      <c r="AT1442" s="34">
        <v>0</v>
      </c>
      <c r="AU1442" s="34">
        <v>0</v>
      </c>
      <c r="AV1442" s="34">
        <v>0</v>
      </c>
      <c r="AW1442" s="10"/>
      <c r="AX1442" s="8"/>
    </row>
    <row r="1443" spans="1:50">
      <c r="A1443" s="7"/>
      <c r="B1443" s="10"/>
      <c r="C1443" s="45" t="s">
        <v>1468</v>
      </c>
      <c r="D1443" s="23" t="s">
        <v>27</v>
      </c>
      <c r="E1443" s="88" t="s">
        <v>1487</v>
      </c>
      <c r="F1443" s="88" t="s">
        <v>1487</v>
      </c>
      <c r="G1443" s="88" t="s">
        <v>1487</v>
      </c>
      <c r="H1443" s="88" t="s">
        <v>1487</v>
      </c>
      <c r="I1443" s="25">
        <v>0.9</v>
      </c>
      <c r="J1443" s="26">
        <v>0</v>
      </c>
      <c r="K1443" s="26">
        <v>0</v>
      </c>
      <c r="L1443" s="27">
        <v>0</v>
      </c>
      <c r="M1443" s="26">
        <v>0</v>
      </c>
      <c r="N1443" s="28">
        <v>0.9</v>
      </c>
      <c r="O1443" s="26">
        <v>0</v>
      </c>
      <c r="P1443" s="26">
        <v>0</v>
      </c>
      <c r="Q1443" s="26">
        <v>0</v>
      </c>
      <c r="R1443" s="26">
        <v>0</v>
      </c>
      <c r="S1443" s="28">
        <v>0.9</v>
      </c>
      <c r="T1443" s="26">
        <v>0</v>
      </c>
      <c r="U1443" s="26">
        <v>0</v>
      </c>
      <c r="V1443" s="26">
        <v>0.5</v>
      </c>
      <c r="W1443" s="26">
        <v>0.5</v>
      </c>
      <c r="X1443" s="28">
        <v>0.92</v>
      </c>
      <c r="Y1443" s="28">
        <v>0</v>
      </c>
      <c r="Z1443" s="28">
        <v>0</v>
      </c>
      <c r="AA1443" s="28">
        <v>0</v>
      </c>
      <c r="AB1443" s="28">
        <v>0</v>
      </c>
      <c r="AC1443" s="28">
        <v>0.92</v>
      </c>
      <c r="AD1443" s="26">
        <v>0.967741935483871</v>
      </c>
      <c r="AE1443" s="26">
        <v>0.96750000000000003</v>
      </c>
      <c r="AF1443" s="26">
        <v>1</v>
      </c>
      <c r="AG1443" s="26">
        <v>0.989937106918239</v>
      </c>
      <c r="AH1443" s="28">
        <v>0.92</v>
      </c>
      <c r="AI1443" s="26">
        <v>0</v>
      </c>
      <c r="AJ1443" s="26">
        <v>0</v>
      </c>
      <c r="AK1443" s="26">
        <v>0.5</v>
      </c>
      <c r="AL1443" s="26">
        <v>0.5</v>
      </c>
      <c r="AM1443" s="25">
        <v>0.99</v>
      </c>
      <c r="AN1443" s="30">
        <v>0</v>
      </c>
      <c r="AO1443" s="30">
        <v>0</v>
      </c>
      <c r="AP1443" s="30">
        <v>0</v>
      </c>
      <c r="AQ1443" s="30">
        <v>0</v>
      </c>
      <c r="AR1443" s="50">
        <v>0.110069253262963</v>
      </c>
      <c r="AS1443" s="34">
        <v>0</v>
      </c>
      <c r="AT1443" s="34">
        <v>0</v>
      </c>
      <c r="AU1443" s="34">
        <v>0</v>
      </c>
      <c r="AV1443" s="34">
        <v>0</v>
      </c>
      <c r="AW1443" s="10"/>
      <c r="AX1443" s="8"/>
    </row>
    <row r="1444" spans="1:50">
      <c r="A1444" s="7"/>
      <c r="B1444" s="10"/>
      <c r="C1444" s="45" t="s">
        <v>1468</v>
      </c>
      <c r="D1444" s="23" t="s">
        <v>27</v>
      </c>
      <c r="E1444" s="88" t="s">
        <v>1488</v>
      </c>
      <c r="F1444" s="88" t="s">
        <v>1488</v>
      </c>
      <c r="G1444" s="88" t="s">
        <v>1488</v>
      </c>
      <c r="H1444" s="88" t="s">
        <v>1488</v>
      </c>
      <c r="I1444" s="25">
        <v>0.9</v>
      </c>
      <c r="J1444" s="26">
        <v>0</v>
      </c>
      <c r="K1444" s="26">
        <v>0</v>
      </c>
      <c r="L1444" s="27">
        <v>0</v>
      </c>
      <c r="M1444" s="26">
        <v>0</v>
      </c>
      <c r="N1444" s="28">
        <v>0.9</v>
      </c>
      <c r="O1444" s="26">
        <v>0</v>
      </c>
      <c r="P1444" s="26">
        <v>0</v>
      </c>
      <c r="Q1444" s="26">
        <v>0</v>
      </c>
      <c r="R1444" s="26">
        <v>0</v>
      </c>
      <c r="S1444" s="28">
        <v>0.9</v>
      </c>
      <c r="T1444" s="26">
        <v>0</v>
      </c>
      <c r="U1444" s="26">
        <v>0</v>
      </c>
      <c r="V1444" s="26">
        <v>0</v>
      </c>
      <c r="W1444" s="26">
        <v>0</v>
      </c>
      <c r="X1444" s="28">
        <v>0.92</v>
      </c>
      <c r="Y1444" s="28">
        <v>0</v>
      </c>
      <c r="Z1444" s="28">
        <v>0</v>
      </c>
      <c r="AA1444" s="28">
        <v>0</v>
      </c>
      <c r="AB1444" s="28">
        <v>0</v>
      </c>
      <c r="AC1444" s="28">
        <v>0.92</v>
      </c>
      <c r="AD1444" s="26">
        <v>0.28571428571428598</v>
      </c>
      <c r="AE1444" s="26">
        <v>0.29411764705882398</v>
      </c>
      <c r="AF1444" s="26">
        <v>0.57142857142857095</v>
      </c>
      <c r="AG1444" s="26">
        <v>0.34328358208955201</v>
      </c>
      <c r="AH1444" s="28">
        <v>0.92</v>
      </c>
      <c r="AI1444" s="26">
        <v>0</v>
      </c>
      <c r="AJ1444" s="26">
        <v>0</v>
      </c>
      <c r="AK1444" s="26">
        <v>0</v>
      </c>
      <c r="AL1444" s="26">
        <v>0</v>
      </c>
      <c r="AM1444" s="25">
        <v>0.99</v>
      </c>
      <c r="AN1444" s="30">
        <v>0</v>
      </c>
      <c r="AO1444" s="30">
        <v>0</v>
      </c>
      <c r="AP1444" s="30">
        <v>0</v>
      </c>
      <c r="AQ1444" s="30">
        <v>0</v>
      </c>
      <c r="AR1444" s="50">
        <v>0.110069253262963</v>
      </c>
      <c r="AS1444" s="34">
        <v>0</v>
      </c>
      <c r="AT1444" s="34">
        <v>0</v>
      </c>
      <c r="AU1444" s="34">
        <v>0</v>
      </c>
      <c r="AV1444" s="34">
        <v>0</v>
      </c>
      <c r="AW1444" s="10"/>
      <c r="AX1444" s="8"/>
    </row>
    <row r="1445" spans="1:50">
      <c r="A1445" s="7"/>
      <c r="B1445" s="10"/>
      <c r="C1445" s="45" t="s">
        <v>1468</v>
      </c>
      <c r="D1445" s="23" t="s">
        <v>27</v>
      </c>
      <c r="E1445" s="88" t="s">
        <v>1489</v>
      </c>
      <c r="F1445" s="88" t="s">
        <v>1489</v>
      </c>
      <c r="G1445" s="88" t="s">
        <v>1489</v>
      </c>
      <c r="H1445" s="88" t="s">
        <v>1489</v>
      </c>
      <c r="I1445" s="25">
        <v>0.9</v>
      </c>
      <c r="J1445" s="26">
        <v>0</v>
      </c>
      <c r="K1445" s="26">
        <v>0</v>
      </c>
      <c r="L1445" s="27">
        <v>0</v>
      </c>
      <c r="M1445" s="26">
        <v>0</v>
      </c>
      <c r="N1445" s="28">
        <v>0.9</v>
      </c>
      <c r="O1445" s="26">
        <v>0</v>
      </c>
      <c r="P1445" s="26">
        <v>0</v>
      </c>
      <c r="Q1445" s="26">
        <v>0</v>
      </c>
      <c r="R1445" s="26">
        <v>0</v>
      </c>
      <c r="S1445" s="28">
        <v>0.9</v>
      </c>
      <c r="T1445" s="26">
        <v>0</v>
      </c>
      <c r="U1445" s="26">
        <v>0</v>
      </c>
      <c r="V1445" s="26">
        <v>0</v>
      </c>
      <c r="W1445" s="26">
        <v>0</v>
      </c>
      <c r="X1445" s="28">
        <v>0.92</v>
      </c>
      <c r="Y1445" s="28">
        <v>0</v>
      </c>
      <c r="Z1445" s="28">
        <v>0</v>
      </c>
      <c r="AA1445" s="28">
        <v>0</v>
      </c>
      <c r="AB1445" s="28">
        <v>0</v>
      </c>
      <c r="AC1445" s="28">
        <v>0.92</v>
      </c>
      <c r="AD1445" s="26">
        <v>1</v>
      </c>
      <c r="AE1445" s="26">
        <v>0.66666666666666696</v>
      </c>
      <c r="AF1445" s="26">
        <v>1</v>
      </c>
      <c r="AG1445" s="26">
        <v>0.84615384615384603</v>
      </c>
      <c r="AH1445" s="28">
        <v>0.92</v>
      </c>
      <c r="AI1445" s="26">
        <v>0</v>
      </c>
      <c r="AJ1445" s="26">
        <v>0</v>
      </c>
      <c r="AK1445" s="26">
        <v>0</v>
      </c>
      <c r="AL1445" s="26">
        <v>0</v>
      </c>
      <c r="AM1445" s="25">
        <v>0.99</v>
      </c>
      <c r="AN1445" s="30">
        <v>0</v>
      </c>
      <c r="AO1445" s="30">
        <v>0</v>
      </c>
      <c r="AP1445" s="30">
        <v>0</v>
      </c>
      <c r="AQ1445" s="30">
        <v>0</v>
      </c>
      <c r="AR1445" s="50">
        <v>0.110069253262963</v>
      </c>
      <c r="AS1445" s="34">
        <v>0</v>
      </c>
      <c r="AT1445" s="34">
        <v>0</v>
      </c>
      <c r="AU1445" s="34">
        <v>0</v>
      </c>
      <c r="AV1445" s="34">
        <v>0</v>
      </c>
      <c r="AW1445" s="10"/>
      <c r="AX1445" s="8"/>
    </row>
    <row r="1446" spans="1:50">
      <c r="A1446" s="7"/>
      <c r="B1446" s="10"/>
      <c r="C1446" s="45" t="s">
        <v>1468</v>
      </c>
      <c r="D1446" s="23" t="s">
        <v>27</v>
      </c>
      <c r="E1446" s="89" t="s">
        <v>1490</v>
      </c>
      <c r="F1446" s="89" t="s">
        <v>1490</v>
      </c>
      <c r="G1446" s="89" t="s">
        <v>1490</v>
      </c>
      <c r="H1446" s="89" t="s">
        <v>1490</v>
      </c>
      <c r="I1446" s="25">
        <v>0.9</v>
      </c>
      <c r="J1446" s="26">
        <v>0</v>
      </c>
      <c r="K1446" s="26">
        <v>0</v>
      </c>
      <c r="L1446" s="27">
        <v>0</v>
      </c>
      <c r="M1446" s="26">
        <v>0</v>
      </c>
      <c r="N1446" s="28">
        <v>0.9</v>
      </c>
      <c r="O1446" s="26">
        <v>0</v>
      </c>
      <c r="P1446" s="26">
        <v>0</v>
      </c>
      <c r="Q1446" s="26">
        <v>0</v>
      </c>
      <c r="R1446" s="26">
        <v>0</v>
      </c>
      <c r="S1446" s="28">
        <v>0.9</v>
      </c>
      <c r="T1446" s="26">
        <v>0</v>
      </c>
      <c r="U1446" s="26">
        <v>0.33333333333333298</v>
      </c>
      <c r="V1446" s="26">
        <v>0</v>
      </c>
      <c r="W1446" s="26">
        <v>0.5</v>
      </c>
      <c r="X1446" s="28">
        <v>0.92</v>
      </c>
      <c r="Y1446" s="28">
        <v>0</v>
      </c>
      <c r="Z1446" s="28">
        <v>1</v>
      </c>
      <c r="AA1446" s="28">
        <v>0.5</v>
      </c>
      <c r="AB1446" s="28">
        <v>0.5</v>
      </c>
      <c r="AC1446" s="28">
        <v>0.92</v>
      </c>
      <c r="AD1446" s="26">
        <v>0.99955416852429801</v>
      </c>
      <c r="AE1446" s="26">
        <v>0.99946818797137904</v>
      </c>
      <c r="AF1446" s="26">
        <v>0.99993953441499595</v>
      </c>
      <c r="AG1446" s="26">
        <v>0.99976325427883095</v>
      </c>
      <c r="AH1446" s="28">
        <v>0.92</v>
      </c>
      <c r="AI1446" s="26">
        <v>0</v>
      </c>
      <c r="AJ1446" s="26">
        <v>0.6</v>
      </c>
      <c r="AK1446" s="26">
        <v>0.2</v>
      </c>
      <c r="AL1446" s="26">
        <v>0.47368421052631599</v>
      </c>
      <c r="AM1446" s="25">
        <v>0.99</v>
      </c>
      <c r="AN1446" s="30">
        <v>0</v>
      </c>
      <c r="AO1446" s="30">
        <v>1</v>
      </c>
      <c r="AP1446" s="30">
        <v>1</v>
      </c>
      <c r="AQ1446" s="30">
        <v>1</v>
      </c>
      <c r="AR1446" s="50">
        <v>0.110069253262963</v>
      </c>
      <c r="AS1446" s="34">
        <v>0</v>
      </c>
      <c r="AT1446" s="34">
        <v>0</v>
      </c>
      <c r="AU1446" s="34">
        <v>0</v>
      </c>
      <c r="AV1446" s="34">
        <v>0</v>
      </c>
      <c r="AW1446" s="10"/>
      <c r="AX1446" s="8"/>
    </row>
    <row r="1447" spans="1:50">
      <c r="A1447" s="7"/>
      <c r="B1447" s="10"/>
      <c r="C1447" s="45" t="s">
        <v>1468</v>
      </c>
      <c r="D1447" s="23" t="s">
        <v>27</v>
      </c>
      <c r="E1447" s="89" t="s">
        <v>1491</v>
      </c>
      <c r="F1447" s="89" t="s">
        <v>1491</v>
      </c>
      <c r="G1447" s="89" t="s">
        <v>1491</v>
      </c>
      <c r="H1447" s="89" t="s">
        <v>1491</v>
      </c>
      <c r="I1447" s="25">
        <v>0.9</v>
      </c>
      <c r="J1447" s="26">
        <v>0</v>
      </c>
      <c r="K1447" s="26">
        <v>0</v>
      </c>
      <c r="L1447" s="27">
        <v>0</v>
      </c>
      <c r="M1447" s="26">
        <v>0</v>
      </c>
      <c r="N1447" s="28">
        <v>0.9</v>
      </c>
      <c r="O1447" s="26">
        <v>0</v>
      </c>
      <c r="P1447" s="26">
        <v>0</v>
      </c>
      <c r="Q1447" s="26">
        <v>0</v>
      </c>
      <c r="R1447" s="26">
        <v>0</v>
      </c>
      <c r="S1447" s="28">
        <v>0.9</v>
      </c>
      <c r="T1447" s="26">
        <v>0</v>
      </c>
      <c r="U1447" s="26">
        <v>0</v>
      </c>
      <c r="V1447" s="26">
        <v>0</v>
      </c>
      <c r="W1447" s="26">
        <v>0</v>
      </c>
      <c r="X1447" s="28">
        <v>0.92</v>
      </c>
      <c r="Y1447" s="28">
        <v>0</v>
      </c>
      <c r="Z1447" s="28">
        <v>0</v>
      </c>
      <c r="AA1447" s="28">
        <v>0</v>
      </c>
      <c r="AB1447" s="28">
        <v>0</v>
      </c>
      <c r="AC1447" s="28">
        <v>0.92</v>
      </c>
      <c r="AD1447" s="26">
        <v>0.86301369863013699</v>
      </c>
      <c r="AE1447" s="26">
        <v>0.936305732484076</v>
      </c>
      <c r="AF1447" s="26">
        <v>0.88967971530249101</v>
      </c>
      <c r="AG1447" s="26">
        <v>0.899322362052275</v>
      </c>
      <c r="AH1447" s="28">
        <v>0.92</v>
      </c>
      <c r="AI1447" s="26">
        <v>0</v>
      </c>
      <c r="AJ1447" s="26">
        <v>0</v>
      </c>
      <c r="AK1447" s="26">
        <v>0</v>
      </c>
      <c r="AL1447" s="26">
        <v>0</v>
      </c>
      <c r="AM1447" s="25">
        <v>0.99</v>
      </c>
      <c r="AN1447" s="30">
        <v>1</v>
      </c>
      <c r="AO1447" s="30">
        <v>1</v>
      </c>
      <c r="AP1447" s="30">
        <v>1</v>
      </c>
      <c r="AQ1447" s="30">
        <v>1</v>
      </c>
      <c r="AR1447" s="50">
        <v>0.110069253262963</v>
      </c>
      <c r="AS1447" s="34">
        <v>0</v>
      </c>
      <c r="AT1447" s="34">
        <v>0</v>
      </c>
      <c r="AU1447" s="34">
        <v>0</v>
      </c>
      <c r="AV1447" s="34">
        <v>0</v>
      </c>
      <c r="AW1447" s="10"/>
      <c r="AX1447" s="8"/>
    </row>
    <row r="1448" spans="1:50">
      <c r="A1448" s="7"/>
      <c r="B1448" s="10"/>
      <c r="C1448" s="45" t="s">
        <v>1468</v>
      </c>
      <c r="D1448" s="23" t="s">
        <v>27</v>
      </c>
      <c r="E1448" s="89" t="s">
        <v>1492</v>
      </c>
      <c r="F1448" s="89" t="s">
        <v>1492</v>
      </c>
      <c r="G1448" s="89" t="s">
        <v>1492</v>
      </c>
      <c r="H1448" s="89" t="s">
        <v>1492</v>
      </c>
      <c r="I1448" s="25">
        <v>0.9</v>
      </c>
      <c r="J1448" s="26">
        <v>0</v>
      </c>
      <c r="K1448" s="26">
        <v>0</v>
      </c>
      <c r="L1448" s="27">
        <v>0</v>
      </c>
      <c r="M1448" s="26">
        <v>0</v>
      </c>
      <c r="N1448" s="28">
        <v>0.9</v>
      </c>
      <c r="O1448" s="26">
        <v>0</v>
      </c>
      <c r="P1448" s="26">
        <v>0</v>
      </c>
      <c r="Q1448" s="26">
        <v>0</v>
      </c>
      <c r="R1448" s="26">
        <v>0</v>
      </c>
      <c r="S1448" s="28">
        <v>0.9</v>
      </c>
      <c r="T1448" s="26">
        <v>0</v>
      </c>
      <c r="U1448" s="26">
        <v>0</v>
      </c>
      <c r="V1448" s="26">
        <v>0</v>
      </c>
      <c r="W1448" s="26">
        <v>0</v>
      </c>
      <c r="X1448" s="28">
        <v>0.92</v>
      </c>
      <c r="Y1448" s="28">
        <v>0</v>
      </c>
      <c r="Z1448" s="28">
        <v>0</v>
      </c>
      <c r="AA1448" s="28">
        <v>0</v>
      </c>
      <c r="AB1448" s="28">
        <v>0</v>
      </c>
      <c r="AC1448" s="28">
        <v>0.92</v>
      </c>
      <c r="AD1448" s="26">
        <v>1</v>
      </c>
      <c r="AE1448" s="26">
        <v>1</v>
      </c>
      <c r="AF1448" s="26">
        <v>0.79032258064516103</v>
      </c>
      <c r="AG1448" s="26">
        <v>0.86902133922001501</v>
      </c>
      <c r="AH1448" s="28">
        <v>0.92</v>
      </c>
      <c r="AI1448" s="26">
        <v>0</v>
      </c>
      <c r="AJ1448" s="26">
        <v>0</v>
      </c>
      <c r="AK1448" s="26">
        <v>0</v>
      </c>
      <c r="AL1448" s="26">
        <v>0</v>
      </c>
      <c r="AM1448" s="25">
        <v>0.99</v>
      </c>
      <c r="AN1448" s="30">
        <v>1</v>
      </c>
      <c r="AO1448" s="30">
        <v>0</v>
      </c>
      <c r="AP1448" s="30">
        <v>1</v>
      </c>
      <c r="AQ1448" s="30">
        <v>1</v>
      </c>
      <c r="AR1448" s="50">
        <v>0.110069253262963</v>
      </c>
      <c r="AS1448" s="34">
        <v>0</v>
      </c>
      <c r="AT1448" s="34">
        <v>0</v>
      </c>
      <c r="AU1448" s="34">
        <v>0</v>
      </c>
      <c r="AV1448" s="34">
        <v>0</v>
      </c>
      <c r="AW1448" s="10"/>
      <c r="AX1448" s="8"/>
    </row>
    <row r="1449" spans="1:50">
      <c r="A1449" s="7"/>
      <c r="B1449" s="10"/>
      <c r="C1449" s="45" t="s">
        <v>1468</v>
      </c>
      <c r="D1449" s="23" t="s">
        <v>27</v>
      </c>
      <c r="E1449" s="88" t="s">
        <v>1493</v>
      </c>
      <c r="F1449" s="88" t="s">
        <v>1493</v>
      </c>
      <c r="G1449" s="88" t="s">
        <v>1493</v>
      </c>
      <c r="H1449" s="88" t="s">
        <v>1493</v>
      </c>
      <c r="I1449" s="25">
        <v>0.9</v>
      </c>
      <c r="J1449" s="26">
        <v>0</v>
      </c>
      <c r="K1449" s="26">
        <v>0</v>
      </c>
      <c r="L1449" s="27">
        <v>0</v>
      </c>
      <c r="M1449" s="26">
        <v>0</v>
      </c>
      <c r="N1449" s="28">
        <v>0.9</v>
      </c>
      <c r="O1449" s="26">
        <v>0</v>
      </c>
      <c r="P1449" s="26">
        <v>0</v>
      </c>
      <c r="Q1449" s="26">
        <v>0</v>
      </c>
      <c r="R1449" s="26">
        <v>0</v>
      </c>
      <c r="S1449" s="28">
        <v>0.9</v>
      </c>
      <c r="T1449" s="26">
        <v>0</v>
      </c>
      <c r="U1449" s="26">
        <v>0</v>
      </c>
      <c r="V1449" s="26">
        <v>0</v>
      </c>
      <c r="W1449" s="26">
        <v>0</v>
      </c>
      <c r="X1449" s="28">
        <v>0.92</v>
      </c>
      <c r="Y1449" s="28">
        <v>0</v>
      </c>
      <c r="Z1449" s="28">
        <v>0</v>
      </c>
      <c r="AA1449" s="28">
        <v>0</v>
      </c>
      <c r="AB1449" s="28">
        <v>0</v>
      </c>
      <c r="AC1449" s="28">
        <v>0.92</v>
      </c>
      <c r="AD1449" s="26">
        <v>0.41538461538461502</v>
      </c>
      <c r="AE1449" s="26">
        <v>1.9230769230769201E-2</v>
      </c>
      <c r="AF1449" s="26">
        <v>0.57843137254902</v>
      </c>
      <c r="AG1449" s="26">
        <v>0.44514106583072099</v>
      </c>
      <c r="AH1449" s="28">
        <v>0.92</v>
      </c>
      <c r="AI1449" s="26">
        <v>0</v>
      </c>
      <c r="AJ1449" s="26">
        <v>0</v>
      </c>
      <c r="AK1449" s="26">
        <v>0</v>
      </c>
      <c r="AL1449" s="26">
        <v>0</v>
      </c>
      <c r="AM1449" s="25">
        <v>0.99</v>
      </c>
      <c r="AN1449" s="30">
        <v>0</v>
      </c>
      <c r="AO1449" s="30">
        <v>0</v>
      </c>
      <c r="AP1449" s="30">
        <v>0</v>
      </c>
      <c r="AQ1449" s="30">
        <v>1</v>
      </c>
      <c r="AR1449" s="50">
        <v>0.110069253262963</v>
      </c>
      <c r="AS1449" s="34">
        <v>0</v>
      </c>
      <c r="AT1449" s="34">
        <v>0</v>
      </c>
      <c r="AU1449" s="34">
        <v>0</v>
      </c>
      <c r="AV1449" s="34">
        <v>0</v>
      </c>
      <c r="AW1449" s="10"/>
      <c r="AX1449" s="8"/>
    </row>
    <row r="1450" spans="1:50">
      <c r="A1450" s="7"/>
      <c r="B1450" s="10"/>
      <c r="C1450" s="45" t="s">
        <v>1468</v>
      </c>
      <c r="D1450" s="23" t="s">
        <v>27</v>
      </c>
      <c r="E1450" s="88" t="s">
        <v>1494</v>
      </c>
      <c r="F1450" s="88" t="s">
        <v>1494</v>
      </c>
      <c r="G1450" s="88" t="s">
        <v>1494</v>
      </c>
      <c r="H1450" s="88" t="s">
        <v>1494</v>
      </c>
      <c r="I1450" s="25">
        <v>0.9</v>
      </c>
      <c r="J1450" s="26">
        <v>0</v>
      </c>
      <c r="K1450" s="26">
        <v>0</v>
      </c>
      <c r="L1450" s="27">
        <v>0</v>
      </c>
      <c r="M1450" s="26">
        <v>0</v>
      </c>
      <c r="N1450" s="28">
        <v>0.9</v>
      </c>
      <c r="O1450" s="26">
        <v>0</v>
      </c>
      <c r="P1450" s="26">
        <v>0</v>
      </c>
      <c r="Q1450" s="26">
        <v>0</v>
      </c>
      <c r="R1450" s="26">
        <v>0</v>
      </c>
      <c r="S1450" s="28">
        <v>0.9</v>
      </c>
      <c r="T1450" s="26">
        <v>0</v>
      </c>
      <c r="U1450" s="26">
        <v>1</v>
      </c>
      <c r="V1450" s="26">
        <v>1</v>
      </c>
      <c r="W1450" s="26">
        <v>0.75</v>
      </c>
      <c r="X1450" s="28">
        <v>0.92</v>
      </c>
      <c r="Y1450" s="28">
        <v>0</v>
      </c>
      <c r="Z1450" s="28">
        <v>0</v>
      </c>
      <c r="AA1450" s="28">
        <v>0</v>
      </c>
      <c r="AB1450" s="28">
        <v>0</v>
      </c>
      <c r="AC1450" s="28">
        <v>0.92</v>
      </c>
      <c r="AD1450" s="26">
        <v>0.99523809523809503</v>
      </c>
      <c r="AE1450" s="26">
        <v>0.92051557465091305</v>
      </c>
      <c r="AF1450" s="26">
        <v>0.90443896424167702</v>
      </c>
      <c r="AG1450" s="26">
        <v>0.74741966893865597</v>
      </c>
      <c r="AH1450" s="28">
        <v>0.92</v>
      </c>
      <c r="AI1450" s="26">
        <v>0</v>
      </c>
      <c r="AJ1450" s="26">
        <v>1</v>
      </c>
      <c r="AK1450" s="26">
        <v>1</v>
      </c>
      <c r="AL1450" s="26">
        <v>0.75</v>
      </c>
      <c r="AM1450" s="25">
        <v>0.99</v>
      </c>
      <c r="AN1450" s="30">
        <v>1</v>
      </c>
      <c r="AO1450" s="30">
        <v>1</v>
      </c>
      <c r="AP1450" s="30">
        <v>1</v>
      </c>
      <c r="AQ1450" s="30">
        <v>1</v>
      </c>
      <c r="AR1450" s="50">
        <v>0.110069253262963</v>
      </c>
      <c r="AS1450" s="34">
        <v>0</v>
      </c>
      <c r="AT1450" s="34">
        <v>0</v>
      </c>
      <c r="AU1450" s="34">
        <v>0</v>
      </c>
      <c r="AV1450" s="34">
        <v>0</v>
      </c>
      <c r="AW1450" s="10"/>
      <c r="AX1450" s="8"/>
    </row>
    <row r="1451" spans="1:50">
      <c r="A1451" s="7"/>
      <c r="B1451" s="10"/>
      <c r="C1451" s="45" t="s">
        <v>1468</v>
      </c>
      <c r="D1451" s="23" t="s">
        <v>27</v>
      </c>
      <c r="E1451" s="88" t="s">
        <v>1495</v>
      </c>
      <c r="F1451" s="88" t="s">
        <v>1495</v>
      </c>
      <c r="G1451" s="88" t="s">
        <v>1495</v>
      </c>
      <c r="H1451" s="88" t="s">
        <v>1495</v>
      </c>
      <c r="I1451" s="25">
        <v>0.9</v>
      </c>
      <c r="J1451" s="26">
        <v>0</v>
      </c>
      <c r="K1451" s="26">
        <v>0</v>
      </c>
      <c r="L1451" s="27">
        <v>0</v>
      </c>
      <c r="M1451" s="26">
        <v>0</v>
      </c>
      <c r="N1451" s="28">
        <v>0.9</v>
      </c>
      <c r="O1451" s="26">
        <v>0</v>
      </c>
      <c r="P1451" s="26">
        <v>0</v>
      </c>
      <c r="Q1451" s="26">
        <v>0</v>
      </c>
      <c r="R1451" s="26">
        <v>0</v>
      </c>
      <c r="S1451" s="28">
        <v>0.9</v>
      </c>
      <c r="T1451" s="26">
        <v>0</v>
      </c>
      <c r="U1451" s="26">
        <v>0</v>
      </c>
      <c r="V1451" s="26">
        <v>0</v>
      </c>
      <c r="W1451" s="26">
        <v>0</v>
      </c>
      <c r="X1451" s="28">
        <v>0.92</v>
      </c>
      <c r="Y1451" s="28">
        <v>0</v>
      </c>
      <c r="Z1451" s="28">
        <v>0</v>
      </c>
      <c r="AA1451" s="28">
        <v>0</v>
      </c>
      <c r="AB1451" s="28">
        <v>0</v>
      </c>
      <c r="AC1451" s="28">
        <v>0.92</v>
      </c>
      <c r="AD1451" s="26">
        <v>1</v>
      </c>
      <c r="AE1451" s="26">
        <v>1</v>
      </c>
      <c r="AF1451" s="26">
        <v>0.54545454545454497</v>
      </c>
      <c r="AG1451" s="26">
        <v>0.69298245614035103</v>
      </c>
      <c r="AH1451" s="28">
        <v>0.92</v>
      </c>
      <c r="AI1451" s="26">
        <v>0</v>
      </c>
      <c r="AJ1451" s="26">
        <v>0</v>
      </c>
      <c r="AK1451" s="26">
        <v>0</v>
      </c>
      <c r="AL1451" s="26">
        <v>0</v>
      </c>
      <c r="AM1451" s="25">
        <v>0.99</v>
      </c>
      <c r="AN1451" s="30">
        <v>1</v>
      </c>
      <c r="AO1451" s="30">
        <v>0</v>
      </c>
      <c r="AP1451" s="30">
        <v>0</v>
      </c>
      <c r="AQ1451" s="30">
        <v>1</v>
      </c>
      <c r="AR1451" s="50">
        <v>0.110069253262963</v>
      </c>
      <c r="AS1451" s="34">
        <v>0</v>
      </c>
      <c r="AT1451" s="34">
        <v>0</v>
      </c>
      <c r="AU1451" s="34">
        <v>0</v>
      </c>
      <c r="AV1451" s="34">
        <v>0</v>
      </c>
      <c r="AW1451" s="10"/>
      <c r="AX1451" s="8"/>
    </row>
    <row r="1452" spans="1:50">
      <c r="A1452" s="7"/>
      <c r="B1452" s="10"/>
      <c r="C1452" s="45" t="s">
        <v>1468</v>
      </c>
      <c r="D1452" s="23" t="s">
        <v>27</v>
      </c>
      <c r="E1452" s="88" t="s">
        <v>1496</v>
      </c>
      <c r="F1452" s="88" t="s">
        <v>1496</v>
      </c>
      <c r="G1452" s="88" t="s">
        <v>1496</v>
      </c>
      <c r="H1452" s="88" t="s">
        <v>1496</v>
      </c>
      <c r="I1452" s="25">
        <v>0.9</v>
      </c>
      <c r="J1452" s="26">
        <v>0</v>
      </c>
      <c r="K1452" s="26">
        <v>0</v>
      </c>
      <c r="L1452" s="27">
        <v>0</v>
      </c>
      <c r="M1452" s="26">
        <v>0</v>
      </c>
      <c r="N1452" s="28">
        <v>0.9</v>
      </c>
      <c r="O1452" s="26">
        <v>0</v>
      </c>
      <c r="P1452" s="26">
        <v>0</v>
      </c>
      <c r="Q1452" s="26">
        <v>0</v>
      </c>
      <c r="R1452" s="26">
        <v>0</v>
      </c>
      <c r="S1452" s="28">
        <v>0.9</v>
      </c>
      <c r="T1452" s="26">
        <v>0</v>
      </c>
      <c r="U1452" s="26">
        <v>0</v>
      </c>
      <c r="V1452" s="26">
        <v>0</v>
      </c>
      <c r="W1452" s="26">
        <v>0</v>
      </c>
      <c r="X1452" s="28">
        <v>0.92</v>
      </c>
      <c r="Y1452" s="28">
        <v>0</v>
      </c>
      <c r="Z1452" s="28">
        <v>0</v>
      </c>
      <c r="AA1452" s="28">
        <v>0</v>
      </c>
      <c r="AB1452" s="28">
        <v>0</v>
      </c>
      <c r="AC1452" s="28">
        <v>0.92</v>
      </c>
      <c r="AD1452" s="26">
        <v>1</v>
      </c>
      <c r="AE1452" s="26">
        <v>1</v>
      </c>
      <c r="AF1452" s="26">
        <v>0.98019801980197996</v>
      </c>
      <c r="AG1452" s="26">
        <v>0.99557522123893805</v>
      </c>
      <c r="AH1452" s="28">
        <v>0.92</v>
      </c>
      <c r="AI1452" s="26">
        <v>0</v>
      </c>
      <c r="AJ1452" s="26">
        <v>0</v>
      </c>
      <c r="AK1452" s="26">
        <v>0</v>
      </c>
      <c r="AL1452" s="26">
        <v>0</v>
      </c>
      <c r="AM1452" s="25">
        <v>0.99</v>
      </c>
      <c r="AN1452" s="30">
        <v>0</v>
      </c>
      <c r="AO1452" s="30">
        <v>0</v>
      </c>
      <c r="AP1452" s="30">
        <v>0</v>
      </c>
      <c r="AQ1452" s="30">
        <v>1</v>
      </c>
      <c r="AR1452" s="50">
        <v>0.110069253262963</v>
      </c>
      <c r="AS1452" s="34">
        <v>0</v>
      </c>
      <c r="AT1452" s="34">
        <v>0</v>
      </c>
      <c r="AU1452" s="34">
        <v>0</v>
      </c>
      <c r="AV1452" s="34">
        <v>0</v>
      </c>
      <c r="AW1452" s="10"/>
      <c r="AX1452" s="8"/>
    </row>
    <row r="1453" spans="1:50">
      <c r="A1453" s="7"/>
      <c r="B1453" s="10"/>
      <c r="C1453" s="45" t="s">
        <v>1468</v>
      </c>
      <c r="D1453" s="23" t="s">
        <v>27</v>
      </c>
      <c r="E1453" s="88" t="s">
        <v>1497</v>
      </c>
      <c r="F1453" s="88" t="s">
        <v>1497</v>
      </c>
      <c r="G1453" s="88" t="s">
        <v>1497</v>
      </c>
      <c r="H1453" s="88" t="s">
        <v>1497</v>
      </c>
      <c r="I1453" s="25">
        <v>0.9</v>
      </c>
      <c r="J1453" s="26">
        <v>0</v>
      </c>
      <c r="K1453" s="26">
        <v>0</v>
      </c>
      <c r="L1453" s="27">
        <v>0</v>
      </c>
      <c r="M1453" s="26">
        <v>0</v>
      </c>
      <c r="N1453" s="28">
        <v>0.9</v>
      </c>
      <c r="O1453" s="26">
        <v>0</v>
      </c>
      <c r="P1453" s="26">
        <v>0</v>
      </c>
      <c r="Q1453" s="26">
        <v>0</v>
      </c>
      <c r="R1453" s="26">
        <v>0</v>
      </c>
      <c r="S1453" s="28">
        <v>0.9</v>
      </c>
      <c r="T1453" s="26">
        <v>0</v>
      </c>
      <c r="U1453" s="26">
        <v>0</v>
      </c>
      <c r="V1453" s="26">
        <v>0</v>
      </c>
      <c r="W1453" s="26">
        <v>0</v>
      </c>
      <c r="X1453" s="28">
        <v>0.92</v>
      </c>
      <c r="Y1453" s="28">
        <v>0</v>
      </c>
      <c r="Z1453" s="28">
        <v>0</v>
      </c>
      <c r="AA1453" s="28">
        <v>0</v>
      </c>
      <c r="AB1453" s="28">
        <v>0</v>
      </c>
      <c r="AC1453" s="28">
        <v>0.92</v>
      </c>
      <c r="AD1453" s="26">
        <v>1</v>
      </c>
      <c r="AE1453" s="26">
        <v>1</v>
      </c>
      <c r="AF1453" s="26">
        <v>1</v>
      </c>
      <c r="AG1453" s="26">
        <v>0.99647887323943696</v>
      </c>
      <c r="AH1453" s="28">
        <v>0.92</v>
      </c>
      <c r="AI1453" s="26">
        <v>0</v>
      </c>
      <c r="AJ1453" s="26">
        <v>0</v>
      </c>
      <c r="AK1453" s="26">
        <v>0</v>
      </c>
      <c r="AL1453" s="26">
        <v>0</v>
      </c>
      <c r="AM1453" s="25">
        <v>0.99</v>
      </c>
      <c r="AN1453" s="30">
        <v>0</v>
      </c>
      <c r="AO1453" s="30">
        <v>0</v>
      </c>
      <c r="AP1453" s="30">
        <v>0</v>
      </c>
      <c r="AQ1453" s="30">
        <v>0</v>
      </c>
      <c r="AR1453" s="50">
        <v>0.110069253262963</v>
      </c>
      <c r="AS1453" s="34">
        <v>0</v>
      </c>
      <c r="AT1453" s="34">
        <v>0</v>
      </c>
      <c r="AU1453" s="34">
        <v>0</v>
      </c>
      <c r="AV1453" s="34">
        <v>0</v>
      </c>
      <c r="AW1453" s="10"/>
      <c r="AX1453" s="8"/>
    </row>
    <row r="1454" spans="1:50">
      <c r="A1454" s="7"/>
      <c r="B1454" s="10"/>
      <c r="C1454" s="45" t="s">
        <v>1468</v>
      </c>
      <c r="D1454" s="23" t="s">
        <v>27</v>
      </c>
      <c r="E1454" s="88" t="s">
        <v>1498</v>
      </c>
      <c r="F1454" s="88" t="s">
        <v>1498</v>
      </c>
      <c r="G1454" s="88" t="s">
        <v>1498</v>
      </c>
      <c r="H1454" s="88" t="s">
        <v>1498</v>
      </c>
      <c r="I1454" s="25">
        <v>0.9</v>
      </c>
      <c r="J1454" s="26">
        <v>0</v>
      </c>
      <c r="K1454" s="26">
        <v>0</v>
      </c>
      <c r="L1454" s="27">
        <v>0</v>
      </c>
      <c r="M1454" s="26">
        <v>0</v>
      </c>
      <c r="N1454" s="28">
        <v>0.9</v>
      </c>
      <c r="O1454" s="26">
        <v>0</v>
      </c>
      <c r="P1454" s="26">
        <v>0</v>
      </c>
      <c r="Q1454" s="26">
        <v>0</v>
      </c>
      <c r="R1454" s="26">
        <v>0</v>
      </c>
      <c r="S1454" s="28">
        <v>0.9</v>
      </c>
      <c r="T1454" s="26">
        <v>1</v>
      </c>
      <c r="U1454" s="26">
        <v>1</v>
      </c>
      <c r="V1454" s="26">
        <v>0.83333333333333304</v>
      </c>
      <c r="W1454" s="26">
        <v>0.97959183673469397</v>
      </c>
      <c r="X1454" s="28">
        <v>0.92</v>
      </c>
      <c r="Y1454" s="28">
        <v>1</v>
      </c>
      <c r="Z1454" s="28">
        <v>1</v>
      </c>
      <c r="AA1454" s="28">
        <v>0</v>
      </c>
      <c r="AB1454" s="28">
        <v>1</v>
      </c>
      <c r="AC1454" s="28">
        <v>0.92</v>
      </c>
      <c r="AD1454" s="26">
        <v>0.99969470309876396</v>
      </c>
      <c r="AE1454" s="26">
        <v>0.99140471512770101</v>
      </c>
      <c r="AF1454" s="26">
        <v>0.99651130337705796</v>
      </c>
      <c r="AG1454" s="26">
        <v>0.99261487964989104</v>
      </c>
      <c r="AH1454" s="28">
        <v>0.92</v>
      </c>
      <c r="AI1454" s="26">
        <v>1</v>
      </c>
      <c r="AJ1454" s="26">
        <v>1</v>
      </c>
      <c r="AK1454" s="26">
        <v>0.9</v>
      </c>
      <c r="AL1454" s="26">
        <v>0.98611111111111105</v>
      </c>
      <c r="AM1454" s="25">
        <v>0.99</v>
      </c>
      <c r="AN1454" s="30">
        <v>1</v>
      </c>
      <c r="AO1454" s="30">
        <v>1</v>
      </c>
      <c r="AP1454" s="30">
        <v>1</v>
      </c>
      <c r="AQ1454" s="30">
        <v>1</v>
      </c>
      <c r="AR1454" s="50">
        <v>0.110069253262963</v>
      </c>
      <c r="AS1454" s="34">
        <v>0</v>
      </c>
      <c r="AT1454" s="34">
        <v>0</v>
      </c>
      <c r="AU1454" s="34">
        <v>0</v>
      </c>
      <c r="AV1454" s="34">
        <v>0</v>
      </c>
      <c r="AW1454" s="10"/>
      <c r="AX1454" s="8"/>
    </row>
    <row r="1455" spans="1:50">
      <c r="A1455" s="7"/>
      <c r="B1455" s="10"/>
      <c r="C1455" s="45" t="s">
        <v>1468</v>
      </c>
      <c r="D1455" s="23" t="s">
        <v>27</v>
      </c>
      <c r="E1455" s="88" t="s">
        <v>1499</v>
      </c>
      <c r="F1455" s="88" t="s">
        <v>1499</v>
      </c>
      <c r="G1455" s="88" t="s">
        <v>1499</v>
      </c>
      <c r="H1455" s="88" t="s">
        <v>1499</v>
      </c>
      <c r="I1455" s="25">
        <v>0.9</v>
      </c>
      <c r="J1455" s="26">
        <v>0</v>
      </c>
      <c r="K1455" s="26">
        <v>0</v>
      </c>
      <c r="L1455" s="27">
        <v>0</v>
      </c>
      <c r="M1455" s="26">
        <v>0</v>
      </c>
      <c r="N1455" s="28">
        <v>0.9</v>
      </c>
      <c r="O1455" s="26">
        <v>0</v>
      </c>
      <c r="P1455" s="26">
        <v>0</v>
      </c>
      <c r="Q1455" s="26">
        <v>0</v>
      </c>
      <c r="R1455" s="26">
        <v>0</v>
      </c>
      <c r="S1455" s="28">
        <v>0.9</v>
      </c>
      <c r="T1455" s="26">
        <v>0</v>
      </c>
      <c r="U1455" s="26">
        <v>0</v>
      </c>
      <c r="V1455" s="26">
        <v>0</v>
      </c>
      <c r="W1455" s="26">
        <v>0</v>
      </c>
      <c r="X1455" s="28">
        <v>0.92</v>
      </c>
      <c r="Y1455" s="28">
        <v>0</v>
      </c>
      <c r="Z1455" s="28">
        <v>0</v>
      </c>
      <c r="AA1455" s="28">
        <v>0</v>
      </c>
      <c r="AB1455" s="28">
        <v>0</v>
      </c>
      <c r="AC1455" s="28">
        <v>0.92</v>
      </c>
      <c r="AD1455" s="26">
        <v>1</v>
      </c>
      <c r="AE1455" s="26">
        <v>1</v>
      </c>
      <c r="AF1455" s="26">
        <v>1</v>
      </c>
      <c r="AG1455" s="26">
        <v>0.99973290598290598</v>
      </c>
      <c r="AH1455" s="28">
        <v>0.92</v>
      </c>
      <c r="AI1455" s="26">
        <v>0</v>
      </c>
      <c r="AJ1455" s="26">
        <v>0</v>
      </c>
      <c r="AK1455" s="26">
        <v>0</v>
      </c>
      <c r="AL1455" s="26">
        <v>0</v>
      </c>
      <c r="AM1455" s="25">
        <v>0.99</v>
      </c>
      <c r="AN1455" s="30">
        <v>1</v>
      </c>
      <c r="AO1455" s="30">
        <v>1</v>
      </c>
      <c r="AP1455" s="30">
        <v>0</v>
      </c>
      <c r="AQ1455" s="30">
        <v>1</v>
      </c>
      <c r="AR1455" s="50">
        <v>0.110069253262963</v>
      </c>
      <c r="AS1455" s="34">
        <v>0</v>
      </c>
      <c r="AT1455" s="34">
        <v>0</v>
      </c>
      <c r="AU1455" s="34">
        <v>0</v>
      </c>
      <c r="AV1455" s="34">
        <v>0</v>
      </c>
      <c r="AW1455" s="10"/>
      <c r="AX1455" s="8"/>
    </row>
    <row r="1456" spans="1:50">
      <c r="A1456" s="7"/>
      <c r="B1456" s="10"/>
      <c r="C1456" s="45" t="s">
        <v>1468</v>
      </c>
      <c r="D1456" s="23" t="s">
        <v>27</v>
      </c>
      <c r="E1456" s="88" t="s">
        <v>1500</v>
      </c>
      <c r="F1456" s="88" t="s">
        <v>1500</v>
      </c>
      <c r="G1456" s="88" t="s">
        <v>1500</v>
      </c>
      <c r="H1456" s="88" t="s">
        <v>1500</v>
      </c>
      <c r="I1456" s="25">
        <v>0.9</v>
      </c>
      <c r="J1456" s="26">
        <v>0</v>
      </c>
      <c r="K1456" s="26">
        <v>0</v>
      </c>
      <c r="L1456" s="27">
        <v>0</v>
      </c>
      <c r="M1456" s="26">
        <v>0</v>
      </c>
      <c r="N1456" s="28">
        <v>0.9</v>
      </c>
      <c r="O1456" s="26">
        <v>0</v>
      </c>
      <c r="P1456" s="26">
        <v>0</v>
      </c>
      <c r="Q1456" s="26">
        <v>0</v>
      </c>
      <c r="R1456" s="26">
        <v>0</v>
      </c>
      <c r="S1456" s="28">
        <v>0.9</v>
      </c>
      <c r="T1456" s="26">
        <v>0</v>
      </c>
      <c r="U1456" s="26">
        <v>0</v>
      </c>
      <c r="V1456" s="26">
        <v>0</v>
      </c>
      <c r="W1456" s="26">
        <v>0</v>
      </c>
      <c r="X1456" s="28">
        <v>0.92</v>
      </c>
      <c r="Y1456" s="28">
        <v>0</v>
      </c>
      <c r="Z1456" s="28">
        <v>0</v>
      </c>
      <c r="AA1456" s="28">
        <v>0</v>
      </c>
      <c r="AB1456" s="28">
        <v>0</v>
      </c>
      <c r="AC1456" s="28">
        <v>0.92</v>
      </c>
      <c r="AD1456" s="26">
        <v>0.92274678111588004</v>
      </c>
      <c r="AE1456" s="26">
        <v>0.93133047210300401</v>
      </c>
      <c r="AF1456" s="26">
        <v>0.99691358024691401</v>
      </c>
      <c r="AG1456" s="26">
        <v>0.68727272727272704</v>
      </c>
      <c r="AH1456" s="28">
        <v>0.92</v>
      </c>
      <c r="AI1456" s="26">
        <v>0</v>
      </c>
      <c r="AJ1456" s="26">
        <v>0</v>
      </c>
      <c r="AK1456" s="26">
        <v>0</v>
      </c>
      <c r="AL1456" s="26">
        <v>0</v>
      </c>
      <c r="AM1456" s="25">
        <v>0.99</v>
      </c>
      <c r="AN1456" s="30">
        <v>0</v>
      </c>
      <c r="AO1456" s="30">
        <v>0</v>
      </c>
      <c r="AP1456" s="30">
        <v>0</v>
      </c>
      <c r="AQ1456" s="30">
        <v>1</v>
      </c>
      <c r="AR1456" s="50">
        <v>0.110069253262963</v>
      </c>
      <c r="AS1456" s="34">
        <v>0</v>
      </c>
      <c r="AT1456" s="34">
        <v>0</v>
      </c>
      <c r="AU1456" s="34">
        <v>0</v>
      </c>
      <c r="AV1456" s="34">
        <v>0</v>
      </c>
      <c r="AW1456" s="10"/>
      <c r="AX1456" s="8"/>
    </row>
    <row r="1457" spans="1:50">
      <c r="A1457" s="7"/>
      <c r="B1457" s="10"/>
      <c r="C1457" s="45" t="s">
        <v>1468</v>
      </c>
      <c r="D1457" s="23" t="s">
        <v>27</v>
      </c>
      <c r="E1457" s="90" t="s">
        <v>1501</v>
      </c>
      <c r="F1457" s="90" t="s">
        <v>1501</v>
      </c>
      <c r="G1457" s="90" t="s">
        <v>1501</v>
      </c>
      <c r="H1457" s="90" t="s">
        <v>1501</v>
      </c>
      <c r="I1457" s="25">
        <v>0.9</v>
      </c>
      <c r="J1457" s="26">
        <v>0</v>
      </c>
      <c r="K1457" s="26">
        <v>0</v>
      </c>
      <c r="L1457" s="27">
        <v>0</v>
      </c>
      <c r="M1457" s="26">
        <v>0</v>
      </c>
      <c r="N1457" s="28">
        <v>0.9</v>
      </c>
      <c r="O1457" s="26">
        <v>0</v>
      </c>
      <c r="P1457" s="26">
        <v>0</v>
      </c>
      <c r="Q1457" s="26">
        <v>0</v>
      </c>
      <c r="R1457" s="26">
        <v>0</v>
      </c>
      <c r="S1457" s="28">
        <v>0.9</v>
      </c>
      <c r="T1457" s="26">
        <v>0</v>
      </c>
      <c r="U1457" s="26">
        <v>0</v>
      </c>
      <c r="V1457" s="26">
        <v>0</v>
      </c>
      <c r="W1457" s="26">
        <v>0</v>
      </c>
      <c r="X1457" s="28">
        <v>0.92</v>
      </c>
      <c r="Y1457" s="28">
        <v>0</v>
      </c>
      <c r="Z1457" s="28">
        <v>0</v>
      </c>
      <c r="AA1457" s="28">
        <v>0</v>
      </c>
      <c r="AB1457" s="28">
        <v>0</v>
      </c>
      <c r="AC1457" s="28">
        <v>0.92</v>
      </c>
      <c r="AD1457" s="26">
        <v>0.93802816901408403</v>
      </c>
      <c r="AE1457" s="26">
        <v>0.91752577319587603</v>
      </c>
      <c r="AF1457" s="26">
        <v>0.90585241730279897</v>
      </c>
      <c r="AG1457" s="26">
        <v>0.80629056415376898</v>
      </c>
      <c r="AH1457" s="28">
        <v>0.92</v>
      </c>
      <c r="AI1457" s="26">
        <v>0</v>
      </c>
      <c r="AJ1457" s="26">
        <v>0</v>
      </c>
      <c r="AK1457" s="26">
        <v>0</v>
      </c>
      <c r="AL1457" s="26">
        <v>0</v>
      </c>
      <c r="AM1457" s="25">
        <v>0.99</v>
      </c>
      <c r="AN1457" s="30">
        <v>1</v>
      </c>
      <c r="AO1457" s="30">
        <v>1</v>
      </c>
      <c r="AP1457" s="30">
        <v>1</v>
      </c>
      <c r="AQ1457" s="30">
        <v>1</v>
      </c>
      <c r="AR1457" s="50">
        <v>0.110069253262963</v>
      </c>
      <c r="AS1457" s="34">
        <v>0</v>
      </c>
      <c r="AT1457" s="34">
        <v>0</v>
      </c>
      <c r="AU1457" s="34">
        <v>0</v>
      </c>
      <c r="AV1457" s="34">
        <v>0</v>
      </c>
      <c r="AW1457" s="10"/>
      <c r="AX1457" s="8"/>
    </row>
    <row r="1458" spans="1:50">
      <c r="A1458" s="7"/>
      <c r="B1458" s="10"/>
      <c r="C1458" s="45" t="s">
        <v>1468</v>
      </c>
      <c r="D1458" s="23" t="s">
        <v>27</v>
      </c>
      <c r="E1458" s="90" t="s">
        <v>1502</v>
      </c>
      <c r="F1458" s="90" t="s">
        <v>1502</v>
      </c>
      <c r="G1458" s="90" t="s">
        <v>1502</v>
      </c>
      <c r="H1458" s="90" t="s">
        <v>1502</v>
      </c>
      <c r="I1458" s="25">
        <v>0.9</v>
      </c>
      <c r="J1458" s="26">
        <v>0</v>
      </c>
      <c r="K1458" s="26">
        <v>0</v>
      </c>
      <c r="L1458" s="27">
        <v>0</v>
      </c>
      <c r="M1458" s="26">
        <v>0</v>
      </c>
      <c r="N1458" s="28">
        <v>0.9</v>
      </c>
      <c r="O1458" s="26">
        <v>0</v>
      </c>
      <c r="P1458" s="26">
        <v>0</v>
      </c>
      <c r="Q1458" s="26">
        <v>0</v>
      </c>
      <c r="R1458" s="26">
        <v>0</v>
      </c>
      <c r="S1458" s="28">
        <v>0.9</v>
      </c>
      <c r="T1458" s="26">
        <v>0</v>
      </c>
      <c r="U1458" s="26">
        <v>0</v>
      </c>
      <c r="V1458" s="26">
        <v>0</v>
      </c>
      <c r="W1458" s="26">
        <v>0</v>
      </c>
      <c r="X1458" s="28">
        <v>0.92</v>
      </c>
      <c r="Y1458" s="28">
        <v>0</v>
      </c>
      <c r="Z1458" s="28">
        <v>0</v>
      </c>
      <c r="AA1458" s="28">
        <v>0</v>
      </c>
      <c r="AB1458" s="28">
        <v>0</v>
      </c>
      <c r="AC1458" s="28">
        <v>0.92</v>
      </c>
      <c r="AD1458" s="26">
        <v>1</v>
      </c>
      <c r="AE1458" s="26">
        <v>1</v>
      </c>
      <c r="AF1458" s="26">
        <v>0.99799196787148603</v>
      </c>
      <c r="AG1458" s="26">
        <v>0.99915397631133696</v>
      </c>
      <c r="AH1458" s="28">
        <v>0.92</v>
      </c>
      <c r="AI1458" s="26">
        <v>0</v>
      </c>
      <c r="AJ1458" s="26">
        <v>0</v>
      </c>
      <c r="AK1458" s="26">
        <v>0</v>
      </c>
      <c r="AL1458" s="26">
        <v>0</v>
      </c>
      <c r="AM1458" s="25">
        <v>0.99</v>
      </c>
      <c r="AN1458" s="30">
        <v>1</v>
      </c>
      <c r="AO1458" s="30">
        <v>1</v>
      </c>
      <c r="AP1458" s="30">
        <v>1</v>
      </c>
      <c r="AQ1458" s="30">
        <v>1</v>
      </c>
      <c r="AR1458" s="50">
        <v>0.110069253262963</v>
      </c>
      <c r="AS1458" s="34">
        <v>0</v>
      </c>
      <c r="AT1458" s="34">
        <v>0</v>
      </c>
      <c r="AU1458" s="34">
        <v>0</v>
      </c>
      <c r="AV1458" s="34">
        <v>0</v>
      </c>
      <c r="AW1458" s="10"/>
      <c r="AX1458" s="8"/>
    </row>
    <row r="1459" spans="1:50">
      <c r="A1459" s="7"/>
      <c r="B1459" s="10"/>
      <c r="C1459" s="45" t="s">
        <v>1468</v>
      </c>
      <c r="D1459" s="23" t="s">
        <v>27</v>
      </c>
      <c r="E1459" s="88" t="s">
        <v>1503</v>
      </c>
      <c r="F1459" s="88" t="s">
        <v>1503</v>
      </c>
      <c r="G1459" s="88" t="s">
        <v>1503</v>
      </c>
      <c r="H1459" s="88" t="s">
        <v>1503</v>
      </c>
      <c r="I1459" s="25">
        <v>0.9</v>
      </c>
      <c r="J1459" s="26">
        <v>0</v>
      </c>
      <c r="K1459" s="26">
        <v>0</v>
      </c>
      <c r="L1459" s="27">
        <v>0</v>
      </c>
      <c r="M1459" s="26">
        <v>0</v>
      </c>
      <c r="N1459" s="28">
        <v>0.9</v>
      </c>
      <c r="O1459" s="26">
        <v>0</v>
      </c>
      <c r="P1459" s="26">
        <v>0</v>
      </c>
      <c r="Q1459" s="26">
        <v>0</v>
      </c>
      <c r="R1459" s="26">
        <v>0</v>
      </c>
      <c r="S1459" s="28">
        <v>0.9</v>
      </c>
      <c r="T1459" s="26">
        <v>0</v>
      </c>
      <c r="U1459" s="26">
        <v>1</v>
      </c>
      <c r="V1459" s="26">
        <v>0</v>
      </c>
      <c r="W1459" s="26">
        <v>1</v>
      </c>
      <c r="X1459" s="28">
        <v>0.92</v>
      </c>
      <c r="Y1459" s="28">
        <v>0</v>
      </c>
      <c r="Z1459" s="28">
        <v>0</v>
      </c>
      <c r="AA1459" s="28">
        <v>0</v>
      </c>
      <c r="AB1459" s="28">
        <v>0</v>
      </c>
      <c r="AC1459" s="28">
        <v>0.92</v>
      </c>
      <c r="AD1459" s="26">
        <v>1</v>
      </c>
      <c r="AE1459" s="26">
        <v>0.99588477366255101</v>
      </c>
      <c r="AF1459" s="26">
        <v>0.99917423616845602</v>
      </c>
      <c r="AG1459" s="26">
        <v>0.998625114573786</v>
      </c>
      <c r="AH1459" s="28">
        <v>0.92</v>
      </c>
      <c r="AI1459" s="26">
        <v>1</v>
      </c>
      <c r="AJ1459" s="26">
        <v>1</v>
      </c>
      <c r="AK1459" s="26">
        <v>0</v>
      </c>
      <c r="AL1459" s="26">
        <v>1</v>
      </c>
      <c r="AM1459" s="25">
        <v>0.99</v>
      </c>
      <c r="AN1459" s="30">
        <v>1</v>
      </c>
      <c r="AO1459" s="30">
        <v>1</v>
      </c>
      <c r="AP1459" s="30">
        <v>1</v>
      </c>
      <c r="AQ1459" s="30">
        <v>1</v>
      </c>
      <c r="AR1459" s="50">
        <v>0.110069253262963</v>
      </c>
      <c r="AS1459" s="34">
        <v>0</v>
      </c>
      <c r="AT1459" s="34">
        <v>0</v>
      </c>
      <c r="AU1459" s="34">
        <v>0</v>
      </c>
      <c r="AV1459" s="34">
        <v>0</v>
      </c>
      <c r="AW1459" s="10"/>
      <c r="AX1459" s="8"/>
    </row>
    <row r="1460" spans="1:50">
      <c r="A1460" s="7"/>
      <c r="B1460" s="10"/>
      <c r="C1460" s="45" t="s">
        <v>1468</v>
      </c>
      <c r="D1460" s="23" t="s">
        <v>27</v>
      </c>
      <c r="E1460" s="61" t="s">
        <v>1504</v>
      </c>
      <c r="F1460" s="61" t="s">
        <v>1504</v>
      </c>
      <c r="G1460" s="61" t="s">
        <v>1504</v>
      </c>
      <c r="H1460" s="61" t="s">
        <v>1504</v>
      </c>
      <c r="I1460" s="25">
        <v>0.9</v>
      </c>
      <c r="J1460" s="26">
        <v>0.92857142857142905</v>
      </c>
      <c r="K1460" s="26">
        <v>1</v>
      </c>
      <c r="L1460" s="27">
        <v>1</v>
      </c>
      <c r="M1460" s="26">
        <v>0.98823529411764699</v>
      </c>
      <c r="N1460" s="28">
        <v>0.9</v>
      </c>
      <c r="O1460" s="26">
        <v>0.99834299917150005</v>
      </c>
      <c r="P1460" s="26">
        <v>0.99660729431721795</v>
      </c>
      <c r="Q1460" s="26">
        <v>0.99696048632218803</v>
      </c>
      <c r="R1460" s="26">
        <v>0.99142857142857099</v>
      </c>
      <c r="S1460" s="28">
        <v>0.9</v>
      </c>
      <c r="T1460" s="26">
        <v>0.84175642087821001</v>
      </c>
      <c r="U1460" s="26">
        <v>0.846480067854114</v>
      </c>
      <c r="V1460" s="26">
        <v>0.85486322188449804</v>
      </c>
      <c r="W1460" s="26">
        <v>0.893741496598639</v>
      </c>
      <c r="X1460" s="28">
        <v>0.92</v>
      </c>
      <c r="Y1460" s="28">
        <v>0</v>
      </c>
      <c r="Z1460" s="28">
        <v>0</v>
      </c>
      <c r="AA1460" s="28">
        <v>0</v>
      </c>
      <c r="AB1460" s="28">
        <v>0</v>
      </c>
      <c r="AC1460" s="28">
        <v>0.92</v>
      </c>
      <c r="AD1460" s="26">
        <v>1</v>
      </c>
      <c r="AE1460" s="26">
        <v>0.76923076923076905</v>
      </c>
      <c r="AF1460" s="26">
        <v>1</v>
      </c>
      <c r="AG1460" s="26">
        <v>0.94871794871794901</v>
      </c>
      <c r="AH1460" s="28">
        <v>0.92</v>
      </c>
      <c r="AI1460" s="26">
        <v>0.91549295774647899</v>
      </c>
      <c r="AJ1460" s="26">
        <v>0.96692111959287497</v>
      </c>
      <c r="AK1460" s="26">
        <v>0.98100303951367795</v>
      </c>
      <c r="AL1460" s="26">
        <v>0.97115646258503396</v>
      </c>
      <c r="AM1460" s="25">
        <v>0.99</v>
      </c>
      <c r="AN1460" s="30">
        <v>1</v>
      </c>
      <c r="AO1460" s="30">
        <v>1</v>
      </c>
      <c r="AP1460" s="30">
        <v>1</v>
      </c>
      <c r="AQ1460" s="30">
        <v>1</v>
      </c>
      <c r="AR1460" s="50">
        <v>0.110069253262963</v>
      </c>
      <c r="AS1460" s="34">
        <v>0.1</v>
      </c>
      <c r="AT1460" s="34">
        <v>0.1</v>
      </c>
      <c r="AU1460" s="34">
        <v>6.6666666666666693E-2</v>
      </c>
      <c r="AV1460" s="34">
        <v>0.10126582278481</v>
      </c>
      <c r="AW1460" s="10"/>
      <c r="AX1460" s="8"/>
    </row>
    <row r="1461" spans="1:50">
      <c r="A1461" s="7"/>
      <c r="B1461" s="10"/>
      <c r="C1461" s="45" t="s">
        <v>1468</v>
      </c>
      <c r="D1461" s="23" t="s">
        <v>27</v>
      </c>
      <c r="E1461" s="61" t="s">
        <v>1505</v>
      </c>
      <c r="F1461" s="61" t="s">
        <v>1505</v>
      </c>
      <c r="G1461" s="61" t="s">
        <v>1505</v>
      </c>
      <c r="H1461" s="61" t="s">
        <v>1505</v>
      </c>
      <c r="I1461" s="25">
        <v>0.9</v>
      </c>
      <c r="J1461" s="26">
        <v>0.9375</v>
      </c>
      <c r="K1461" s="26">
        <v>1</v>
      </c>
      <c r="L1461" s="27">
        <v>1</v>
      </c>
      <c r="M1461" s="26">
        <v>0.98009950248756195</v>
      </c>
      <c r="N1461" s="28">
        <v>0.9</v>
      </c>
      <c r="O1461" s="26">
        <v>0.99965277777777795</v>
      </c>
      <c r="P1461" s="26">
        <v>0.99870926105195201</v>
      </c>
      <c r="Q1461" s="26">
        <v>0.99822485207100597</v>
      </c>
      <c r="R1461" s="26">
        <v>0.99886197366281904</v>
      </c>
      <c r="S1461" s="28">
        <v>0.9</v>
      </c>
      <c r="T1461" s="26">
        <v>0.96076388888888897</v>
      </c>
      <c r="U1461" s="26">
        <v>0.96095514682155503</v>
      </c>
      <c r="V1461" s="26">
        <v>0.97218934911242605</v>
      </c>
      <c r="W1461" s="26">
        <v>0.96520890912046797</v>
      </c>
      <c r="X1461" s="28">
        <v>0.92</v>
      </c>
      <c r="Y1461" s="28">
        <v>0</v>
      </c>
      <c r="Z1461" s="28">
        <v>0</v>
      </c>
      <c r="AA1461" s="28">
        <v>0</v>
      </c>
      <c r="AB1461" s="28">
        <v>0</v>
      </c>
      <c r="AC1461" s="28">
        <v>0.92</v>
      </c>
      <c r="AD1461" s="26">
        <v>0.375</v>
      </c>
      <c r="AE1461" s="26">
        <v>0.93333333333333302</v>
      </c>
      <c r="AF1461" s="26">
        <v>0.266666666666667</v>
      </c>
      <c r="AG1461" s="26">
        <v>0.69306930693069302</v>
      </c>
      <c r="AH1461" s="28">
        <v>0.92</v>
      </c>
      <c r="AI1461" s="26">
        <v>0.97847222222222197</v>
      </c>
      <c r="AJ1461" s="26">
        <v>0.98257502420135501</v>
      </c>
      <c r="AK1461" s="26">
        <v>0.99260355029585801</v>
      </c>
      <c r="AL1461" s="26">
        <v>0.98731913509998404</v>
      </c>
      <c r="AM1461" s="25">
        <v>0.99</v>
      </c>
      <c r="AN1461" s="30">
        <v>1</v>
      </c>
      <c r="AO1461" s="30">
        <v>1</v>
      </c>
      <c r="AP1461" s="30">
        <v>1</v>
      </c>
      <c r="AQ1461" s="30">
        <v>1</v>
      </c>
      <c r="AR1461" s="50">
        <v>0.110069253262963</v>
      </c>
      <c r="AS1461" s="34">
        <v>8.3333333333333301E-2</v>
      </c>
      <c r="AT1461" s="34">
        <v>0</v>
      </c>
      <c r="AU1461" s="34">
        <v>5.8823529411764698E-2</v>
      </c>
      <c r="AV1461" s="34">
        <v>3.6144578313252997E-2</v>
      </c>
      <c r="AW1461" s="10"/>
      <c r="AX1461" s="8"/>
    </row>
    <row r="1462" spans="1:50">
      <c r="A1462" s="7"/>
      <c r="B1462" s="10"/>
      <c r="C1462" s="45" t="s">
        <v>1468</v>
      </c>
      <c r="D1462" s="23" t="s">
        <v>27</v>
      </c>
      <c r="E1462" s="61" t="s">
        <v>1506</v>
      </c>
      <c r="F1462" s="61" t="s">
        <v>1506</v>
      </c>
      <c r="G1462" s="61" t="s">
        <v>1506</v>
      </c>
      <c r="H1462" s="61" t="s">
        <v>1506</v>
      </c>
      <c r="I1462" s="25">
        <v>0.9</v>
      </c>
      <c r="J1462" s="26">
        <v>0</v>
      </c>
      <c r="K1462" s="26">
        <v>0</v>
      </c>
      <c r="L1462" s="27">
        <v>0</v>
      </c>
      <c r="M1462" s="26">
        <v>0</v>
      </c>
      <c r="N1462" s="28">
        <v>0.9</v>
      </c>
      <c r="O1462" s="26">
        <v>0</v>
      </c>
      <c r="P1462" s="26">
        <v>0</v>
      </c>
      <c r="Q1462" s="26">
        <v>0</v>
      </c>
      <c r="R1462" s="26">
        <v>0</v>
      </c>
      <c r="S1462" s="28">
        <v>0.9</v>
      </c>
      <c r="T1462" s="26">
        <v>0</v>
      </c>
      <c r="U1462" s="26">
        <v>0</v>
      </c>
      <c r="V1462" s="26">
        <v>0</v>
      </c>
      <c r="W1462" s="26">
        <v>0</v>
      </c>
      <c r="X1462" s="28">
        <v>0.92</v>
      </c>
      <c r="Y1462" s="28">
        <v>0</v>
      </c>
      <c r="Z1462" s="28">
        <v>0</v>
      </c>
      <c r="AA1462" s="28">
        <v>0</v>
      </c>
      <c r="AB1462" s="28">
        <v>0</v>
      </c>
      <c r="AC1462" s="28">
        <v>0.92</v>
      </c>
      <c r="AD1462" s="26">
        <v>0</v>
      </c>
      <c r="AE1462" s="26">
        <v>0</v>
      </c>
      <c r="AF1462" s="26">
        <v>0</v>
      </c>
      <c r="AG1462" s="26">
        <v>0</v>
      </c>
      <c r="AH1462" s="28">
        <v>0.92</v>
      </c>
      <c r="AI1462" s="26">
        <v>0</v>
      </c>
      <c r="AJ1462" s="26">
        <v>0</v>
      </c>
      <c r="AK1462" s="26">
        <v>0</v>
      </c>
      <c r="AL1462" s="26">
        <v>0</v>
      </c>
      <c r="AM1462" s="25">
        <v>0.99</v>
      </c>
      <c r="AN1462" s="30">
        <v>0</v>
      </c>
      <c r="AO1462" s="30">
        <v>0</v>
      </c>
      <c r="AP1462" s="30">
        <v>0</v>
      </c>
      <c r="AQ1462" s="30">
        <v>0</v>
      </c>
      <c r="AR1462" s="50">
        <v>0.110069253262963</v>
      </c>
      <c r="AS1462" s="34">
        <v>0</v>
      </c>
      <c r="AT1462" s="34">
        <v>0</v>
      </c>
      <c r="AU1462" s="34">
        <v>0</v>
      </c>
      <c r="AV1462" s="34">
        <v>0</v>
      </c>
      <c r="AW1462" s="10"/>
      <c r="AX1462" s="8"/>
    </row>
    <row r="1463" spans="1:50">
      <c r="A1463" s="7"/>
      <c r="B1463" s="10"/>
      <c r="C1463" s="45" t="s">
        <v>1468</v>
      </c>
      <c r="D1463" s="23" t="s">
        <v>27</v>
      </c>
      <c r="E1463" s="61" t="s">
        <v>1507</v>
      </c>
      <c r="F1463" s="61" t="s">
        <v>1507</v>
      </c>
      <c r="G1463" s="61" t="s">
        <v>1507</v>
      </c>
      <c r="H1463" s="61" t="s">
        <v>1507</v>
      </c>
      <c r="I1463" s="25">
        <v>0.9</v>
      </c>
      <c r="J1463" s="26">
        <v>0.71428571428571397</v>
      </c>
      <c r="K1463" s="26">
        <v>0.75</v>
      </c>
      <c r="L1463" s="27">
        <v>0.85714285714285698</v>
      </c>
      <c r="M1463" s="26">
        <v>0.82499999999999996</v>
      </c>
      <c r="N1463" s="28">
        <v>0.9</v>
      </c>
      <c r="O1463" s="26">
        <v>1</v>
      </c>
      <c r="P1463" s="26">
        <v>1</v>
      </c>
      <c r="Q1463" s="26">
        <v>0.56493506493506496</v>
      </c>
      <c r="R1463" s="26">
        <v>0.69686052496140005</v>
      </c>
      <c r="S1463" s="28">
        <v>0.9</v>
      </c>
      <c r="T1463" s="26">
        <v>1</v>
      </c>
      <c r="U1463" s="26">
        <v>0.84615384615384603</v>
      </c>
      <c r="V1463" s="26">
        <v>0.56493506493506496</v>
      </c>
      <c r="W1463" s="26">
        <v>0.54554812146165699</v>
      </c>
      <c r="X1463" s="28">
        <v>0.92</v>
      </c>
      <c r="Y1463" s="28">
        <v>0</v>
      </c>
      <c r="Z1463" s="28">
        <v>0</v>
      </c>
      <c r="AA1463" s="28">
        <v>0</v>
      </c>
      <c r="AB1463" s="28">
        <v>0</v>
      </c>
      <c r="AC1463" s="28">
        <v>0.92</v>
      </c>
      <c r="AD1463" s="26">
        <v>1</v>
      </c>
      <c r="AE1463" s="26">
        <v>0</v>
      </c>
      <c r="AF1463" s="26">
        <v>0</v>
      </c>
      <c r="AG1463" s="26">
        <v>0.83333333333333304</v>
      </c>
      <c r="AH1463" s="28">
        <v>0.92</v>
      </c>
      <c r="AI1463" s="26">
        <v>1</v>
      </c>
      <c r="AJ1463" s="26">
        <v>0.88235294117647101</v>
      </c>
      <c r="AK1463" s="26">
        <v>0.62732919254658404</v>
      </c>
      <c r="AL1463" s="26">
        <v>0.59264931087289396</v>
      </c>
      <c r="AM1463" s="25">
        <v>0.99</v>
      </c>
      <c r="AN1463" s="30">
        <v>0</v>
      </c>
      <c r="AO1463" s="30">
        <v>0</v>
      </c>
      <c r="AP1463" s="30">
        <v>0</v>
      </c>
      <c r="AQ1463" s="30">
        <v>0</v>
      </c>
      <c r="AR1463" s="50">
        <v>0.110069253262963</v>
      </c>
      <c r="AS1463" s="34">
        <v>0.375</v>
      </c>
      <c r="AT1463" s="34">
        <v>0.25</v>
      </c>
      <c r="AU1463" s="34">
        <v>0.25</v>
      </c>
      <c r="AV1463" s="34">
        <v>0.18</v>
      </c>
      <c r="AW1463" s="10"/>
      <c r="AX1463" s="8"/>
    </row>
    <row r="1464" spans="1:50">
      <c r="A1464" s="7"/>
      <c r="B1464" s="10"/>
      <c r="C1464" s="45" t="s">
        <v>1468</v>
      </c>
      <c r="D1464" s="23" t="s">
        <v>27</v>
      </c>
      <c r="E1464" s="61" t="s">
        <v>1508</v>
      </c>
      <c r="F1464" s="61" t="s">
        <v>1508</v>
      </c>
      <c r="G1464" s="61" t="s">
        <v>1508</v>
      </c>
      <c r="H1464" s="61" t="s">
        <v>1508</v>
      </c>
      <c r="I1464" s="25">
        <v>0.9</v>
      </c>
      <c r="J1464" s="26">
        <v>0.71428571428571397</v>
      </c>
      <c r="K1464" s="26">
        <v>1</v>
      </c>
      <c r="L1464" s="27">
        <v>1</v>
      </c>
      <c r="M1464" s="26">
        <v>0.91891891891891897</v>
      </c>
      <c r="N1464" s="28">
        <v>0.9</v>
      </c>
      <c r="O1464" s="26">
        <v>0</v>
      </c>
      <c r="P1464" s="26">
        <v>0</v>
      </c>
      <c r="Q1464" s="26">
        <v>0</v>
      </c>
      <c r="R1464" s="26">
        <v>0</v>
      </c>
      <c r="S1464" s="28">
        <v>0.9</v>
      </c>
      <c r="T1464" s="26">
        <v>0</v>
      </c>
      <c r="U1464" s="26">
        <v>0</v>
      </c>
      <c r="V1464" s="26">
        <v>0</v>
      </c>
      <c r="W1464" s="26">
        <v>0</v>
      </c>
      <c r="X1464" s="28">
        <v>0.92</v>
      </c>
      <c r="Y1464" s="28">
        <v>0</v>
      </c>
      <c r="Z1464" s="28">
        <v>0</v>
      </c>
      <c r="AA1464" s="28">
        <v>0</v>
      </c>
      <c r="AB1464" s="28">
        <v>0</v>
      </c>
      <c r="AC1464" s="28">
        <v>0.92</v>
      </c>
      <c r="AD1464" s="26">
        <v>0</v>
      </c>
      <c r="AE1464" s="26">
        <v>0</v>
      </c>
      <c r="AF1464" s="26">
        <v>0</v>
      </c>
      <c r="AG1464" s="26">
        <v>7.69230769230769E-2</v>
      </c>
      <c r="AH1464" s="28">
        <v>0.92</v>
      </c>
      <c r="AI1464" s="26">
        <v>0.82578397212543597</v>
      </c>
      <c r="AJ1464" s="26">
        <v>0.813056379821958</v>
      </c>
      <c r="AK1464" s="26">
        <v>0.86601307189542498</v>
      </c>
      <c r="AL1464" s="26">
        <v>0.86473853345019003</v>
      </c>
      <c r="AM1464" s="25">
        <v>0.99</v>
      </c>
      <c r="AN1464" s="30">
        <v>0</v>
      </c>
      <c r="AO1464" s="30">
        <v>0</v>
      </c>
      <c r="AP1464" s="30">
        <v>0</v>
      </c>
      <c r="AQ1464" s="30">
        <v>0</v>
      </c>
      <c r="AR1464" s="50">
        <v>0.110069253262963</v>
      </c>
      <c r="AS1464" s="34">
        <v>0</v>
      </c>
      <c r="AT1464" s="34">
        <v>0.11111111111111099</v>
      </c>
      <c r="AU1464" s="34">
        <v>0.22222222222222199</v>
      </c>
      <c r="AV1464" s="34">
        <v>6.5573770491803296E-2</v>
      </c>
      <c r="AW1464" s="10"/>
      <c r="AX1464" s="8"/>
    </row>
    <row r="1465" spans="1:50">
      <c r="A1465" s="7"/>
      <c r="B1465" s="10"/>
      <c r="C1465" s="45" t="s">
        <v>1468</v>
      </c>
      <c r="D1465" s="23" t="s">
        <v>27</v>
      </c>
      <c r="E1465" s="61" t="s">
        <v>1509</v>
      </c>
      <c r="F1465" s="61" t="s">
        <v>1509</v>
      </c>
      <c r="G1465" s="61" t="s">
        <v>1509</v>
      </c>
      <c r="H1465" s="61" t="s">
        <v>1509</v>
      </c>
      <c r="I1465" s="25">
        <v>0.9</v>
      </c>
      <c r="J1465" s="26">
        <v>0.6</v>
      </c>
      <c r="K1465" s="26">
        <v>0.56000000000000005</v>
      </c>
      <c r="L1465" s="27">
        <v>0.625</v>
      </c>
      <c r="M1465" s="26">
        <v>0.5625</v>
      </c>
      <c r="N1465" s="28">
        <v>0.9</v>
      </c>
      <c r="O1465" s="26">
        <v>0.99332379589890296</v>
      </c>
      <c r="P1465" s="26">
        <v>0.80259623992838003</v>
      </c>
      <c r="Q1465" s="26">
        <v>0.80061215566244004</v>
      </c>
      <c r="R1465" s="26">
        <v>0.83091979630808399</v>
      </c>
      <c r="S1465" s="28">
        <v>0.9</v>
      </c>
      <c r="T1465" s="26">
        <v>0.65474487362899403</v>
      </c>
      <c r="U1465" s="26">
        <v>0.53178155774395697</v>
      </c>
      <c r="V1465" s="26">
        <v>0.52951464801049397</v>
      </c>
      <c r="W1465" s="26">
        <v>0.54137492043284496</v>
      </c>
      <c r="X1465" s="28">
        <v>0.92</v>
      </c>
      <c r="Y1465" s="28">
        <v>0</v>
      </c>
      <c r="Z1465" s="28">
        <v>0</v>
      </c>
      <c r="AA1465" s="28">
        <v>0</v>
      </c>
      <c r="AB1465" s="28">
        <v>0</v>
      </c>
      <c r="AC1465" s="28">
        <v>0.92</v>
      </c>
      <c r="AD1465" s="26">
        <v>1</v>
      </c>
      <c r="AE1465" s="26">
        <v>1</v>
      </c>
      <c r="AF1465" s="26">
        <v>1</v>
      </c>
      <c r="AG1465" s="26">
        <v>0.98837209302325602</v>
      </c>
      <c r="AH1465" s="28">
        <v>0.92</v>
      </c>
      <c r="AI1465" s="26">
        <v>0.82832618025751104</v>
      </c>
      <c r="AJ1465" s="26">
        <v>0.77887197851387602</v>
      </c>
      <c r="AK1465" s="26">
        <v>0.77525142107564504</v>
      </c>
      <c r="AL1465" s="26">
        <v>0.80880012730744699</v>
      </c>
      <c r="AM1465" s="25">
        <v>0.99</v>
      </c>
      <c r="AN1465" s="30">
        <v>1</v>
      </c>
      <c r="AO1465" s="30">
        <v>1</v>
      </c>
      <c r="AP1465" s="30">
        <v>1</v>
      </c>
      <c r="AQ1465" s="30">
        <v>1</v>
      </c>
      <c r="AR1465" s="50">
        <v>0.110069253262963</v>
      </c>
      <c r="AS1465" s="34">
        <v>0.38095238095238099</v>
      </c>
      <c r="AT1465" s="34">
        <v>0</v>
      </c>
      <c r="AU1465" s="34">
        <v>0.217391304347826</v>
      </c>
      <c r="AV1465" s="34">
        <v>0.17741935483870999</v>
      </c>
      <c r="AW1465" s="10"/>
      <c r="AX1465" s="8"/>
    </row>
    <row r="1466" spans="1:50">
      <c r="A1466" s="7"/>
      <c r="B1466" s="10"/>
      <c r="C1466" s="45" t="s">
        <v>1468</v>
      </c>
      <c r="D1466" s="23" t="s">
        <v>27</v>
      </c>
      <c r="E1466" s="61" t="s">
        <v>1510</v>
      </c>
      <c r="F1466" s="61" t="s">
        <v>1510</v>
      </c>
      <c r="G1466" s="61" t="s">
        <v>1510</v>
      </c>
      <c r="H1466" s="61" t="s">
        <v>1510</v>
      </c>
      <c r="I1466" s="25">
        <v>0.9</v>
      </c>
      <c r="J1466" s="26">
        <v>0.73333333333333295</v>
      </c>
      <c r="K1466" s="26">
        <v>0.84615384615384603</v>
      </c>
      <c r="L1466" s="27">
        <v>0.6</v>
      </c>
      <c r="M1466" s="26">
        <v>0.74074074074074103</v>
      </c>
      <c r="N1466" s="28">
        <v>0.9</v>
      </c>
      <c r="O1466" s="26">
        <v>1</v>
      </c>
      <c r="P1466" s="26">
        <v>0.99904397705544901</v>
      </c>
      <c r="Q1466" s="26">
        <v>1</v>
      </c>
      <c r="R1466" s="26">
        <v>0.99980476376415495</v>
      </c>
      <c r="S1466" s="28">
        <v>0.9</v>
      </c>
      <c r="T1466" s="26">
        <v>0.85062240663900401</v>
      </c>
      <c r="U1466" s="26">
        <v>0.90344168260038205</v>
      </c>
      <c r="V1466" s="26">
        <v>0.91114245416078998</v>
      </c>
      <c r="W1466" s="26">
        <v>0.90999609527528302</v>
      </c>
      <c r="X1466" s="28">
        <v>0.92</v>
      </c>
      <c r="Y1466" s="28">
        <v>0</v>
      </c>
      <c r="Z1466" s="28">
        <v>0</v>
      </c>
      <c r="AA1466" s="28">
        <v>0</v>
      </c>
      <c r="AB1466" s="28">
        <v>1</v>
      </c>
      <c r="AC1466" s="28">
        <v>0.92</v>
      </c>
      <c r="AD1466" s="26">
        <v>0.125</v>
      </c>
      <c r="AE1466" s="26">
        <v>1</v>
      </c>
      <c r="AF1466" s="26">
        <v>0.75</v>
      </c>
      <c r="AG1466" s="26">
        <v>0.407407407407407</v>
      </c>
      <c r="AH1466" s="28">
        <v>0.92</v>
      </c>
      <c r="AI1466" s="26">
        <v>0.88278008298755195</v>
      </c>
      <c r="AJ1466" s="26">
        <v>0.916190476190476</v>
      </c>
      <c r="AK1466" s="26">
        <v>0.86277001270648002</v>
      </c>
      <c r="AL1466" s="26">
        <v>0.91855116903028</v>
      </c>
      <c r="AM1466" s="25">
        <v>0.99</v>
      </c>
      <c r="AN1466" s="30">
        <v>1</v>
      </c>
      <c r="AO1466" s="30">
        <v>1</v>
      </c>
      <c r="AP1466" s="30">
        <v>0</v>
      </c>
      <c r="AQ1466" s="30">
        <v>1</v>
      </c>
      <c r="AR1466" s="50">
        <v>0.110069253262963</v>
      </c>
      <c r="AS1466" s="34">
        <v>0</v>
      </c>
      <c r="AT1466" s="34">
        <v>3.2258064516128997E-2</v>
      </c>
      <c r="AU1466" s="34">
        <v>0.115384615384615</v>
      </c>
      <c r="AV1466" s="34">
        <v>8.4269662921348298E-2</v>
      </c>
      <c r="AW1466" s="10"/>
      <c r="AX1466" s="8"/>
    </row>
    <row r="1467" spans="1:50">
      <c r="A1467" s="7"/>
      <c r="B1467" s="10"/>
      <c r="C1467" s="45" t="s">
        <v>1468</v>
      </c>
      <c r="D1467" s="23" t="s">
        <v>27</v>
      </c>
      <c r="E1467" s="61" t="s">
        <v>1511</v>
      </c>
      <c r="F1467" s="61" t="s">
        <v>1511</v>
      </c>
      <c r="G1467" s="61" t="s">
        <v>1511</v>
      </c>
      <c r="H1467" s="61" t="s">
        <v>1511</v>
      </c>
      <c r="I1467" s="25">
        <v>0.9</v>
      </c>
      <c r="J1467" s="26">
        <v>1</v>
      </c>
      <c r="K1467" s="26">
        <v>0.93333333333333302</v>
      </c>
      <c r="L1467" s="27">
        <v>0.93333333333333302</v>
      </c>
      <c r="M1467" s="26">
        <v>0.97872340425531901</v>
      </c>
      <c r="N1467" s="28">
        <v>0.9</v>
      </c>
      <c r="O1467" s="26">
        <v>0.98578680203045699</v>
      </c>
      <c r="P1467" s="26">
        <v>0.96820027063599501</v>
      </c>
      <c r="Q1467" s="26">
        <v>0.96673064619321802</v>
      </c>
      <c r="R1467" s="26">
        <v>0.96931347295329795</v>
      </c>
      <c r="S1467" s="28">
        <v>0.9</v>
      </c>
      <c r="T1467" s="26">
        <v>0.41319796954314703</v>
      </c>
      <c r="U1467" s="26">
        <v>0.330175913396482</v>
      </c>
      <c r="V1467" s="26">
        <v>0.219449776071657</v>
      </c>
      <c r="W1467" s="26">
        <v>0.29835367902340698</v>
      </c>
      <c r="X1467" s="28">
        <v>0.92</v>
      </c>
      <c r="Y1467" s="28">
        <v>0</v>
      </c>
      <c r="Z1467" s="28">
        <v>0</v>
      </c>
      <c r="AA1467" s="28">
        <v>0</v>
      </c>
      <c r="AB1467" s="28">
        <v>0</v>
      </c>
      <c r="AC1467" s="28">
        <v>0.92</v>
      </c>
      <c r="AD1467" s="26">
        <v>1</v>
      </c>
      <c r="AE1467" s="26">
        <v>0.7</v>
      </c>
      <c r="AF1467" s="26">
        <v>0.94444444444444398</v>
      </c>
      <c r="AG1467" s="26">
        <v>0.87878787878787901</v>
      </c>
      <c r="AH1467" s="28">
        <v>0.92</v>
      </c>
      <c r="AI1467" s="26">
        <v>0.92487309644670002</v>
      </c>
      <c r="AJ1467" s="26">
        <v>0.89445196211096101</v>
      </c>
      <c r="AK1467" s="26">
        <v>0.91362763915546996</v>
      </c>
      <c r="AL1467" s="26">
        <v>0.90917235972673305</v>
      </c>
      <c r="AM1467" s="25">
        <v>0.99</v>
      </c>
      <c r="AN1467" s="30">
        <v>1</v>
      </c>
      <c r="AO1467" s="30">
        <v>1</v>
      </c>
      <c r="AP1467" s="30">
        <v>1</v>
      </c>
      <c r="AQ1467" s="30">
        <v>1</v>
      </c>
      <c r="AR1467" s="50">
        <v>0.110069253262963</v>
      </c>
      <c r="AS1467" s="34">
        <v>0</v>
      </c>
      <c r="AT1467" s="34">
        <v>0.5</v>
      </c>
      <c r="AU1467" s="34">
        <v>0</v>
      </c>
      <c r="AV1467" s="34">
        <v>7.69230769230769E-2</v>
      </c>
      <c r="AW1467" s="10"/>
      <c r="AX1467" s="8"/>
    </row>
    <row r="1468" spans="1:50">
      <c r="A1468" s="7"/>
      <c r="B1468" s="10"/>
      <c r="C1468" s="45" t="s">
        <v>1468</v>
      </c>
      <c r="D1468" s="23" t="s">
        <v>27</v>
      </c>
      <c r="E1468" s="61" t="s">
        <v>1512</v>
      </c>
      <c r="F1468" s="61" t="s">
        <v>1512</v>
      </c>
      <c r="G1468" s="61" t="s">
        <v>1512</v>
      </c>
      <c r="H1468" s="61" t="s">
        <v>1512</v>
      </c>
      <c r="I1468" s="25">
        <v>0.9</v>
      </c>
      <c r="J1468" s="26">
        <v>0.83333333333333304</v>
      </c>
      <c r="K1468" s="26">
        <v>1</v>
      </c>
      <c r="L1468" s="27">
        <v>1</v>
      </c>
      <c r="M1468" s="26">
        <v>0.8</v>
      </c>
      <c r="N1468" s="28">
        <v>0.9</v>
      </c>
      <c r="O1468" s="26">
        <v>1</v>
      </c>
      <c r="P1468" s="26">
        <v>0</v>
      </c>
      <c r="Q1468" s="26">
        <v>0</v>
      </c>
      <c r="R1468" s="26">
        <v>0.5</v>
      </c>
      <c r="S1468" s="28">
        <v>0.9</v>
      </c>
      <c r="T1468" s="26">
        <v>0</v>
      </c>
      <c r="U1468" s="26">
        <v>0</v>
      </c>
      <c r="V1468" s="26">
        <v>0</v>
      </c>
      <c r="W1468" s="26">
        <v>0</v>
      </c>
      <c r="X1468" s="28">
        <v>0.92</v>
      </c>
      <c r="Y1468" s="28">
        <v>0</v>
      </c>
      <c r="Z1468" s="28">
        <v>0</v>
      </c>
      <c r="AA1468" s="28">
        <v>0</v>
      </c>
      <c r="AB1468" s="28">
        <v>0</v>
      </c>
      <c r="AC1468" s="28">
        <v>0.92</v>
      </c>
      <c r="AD1468" s="26">
        <v>0</v>
      </c>
      <c r="AE1468" s="26">
        <v>0</v>
      </c>
      <c r="AF1468" s="26">
        <v>1</v>
      </c>
      <c r="AG1468" s="26">
        <v>0.375</v>
      </c>
      <c r="AH1468" s="28">
        <v>0.92</v>
      </c>
      <c r="AI1468" s="26">
        <v>0.81685575364667795</v>
      </c>
      <c r="AJ1468" s="26">
        <v>0.960893854748603</v>
      </c>
      <c r="AK1468" s="26">
        <v>0.95793499043977104</v>
      </c>
      <c r="AL1468" s="26">
        <v>0.88172043010752699</v>
      </c>
      <c r="AM1468" s="25">
        <v>0.99</v>
      </c>
      <c r="AN1468" s="30">
        <v>1</v>
      </c>
      <c r="AO1468" s="30">
        <v>1</v>
      </c>
      <c r="AP1468" s="30">
        <v>1</v>
      </c>
      <c r="AQ1468" s="30">
        <v>1</v>
      </c>
      <c r="AR1468" s="50">
        <v>0.110069253262963</v>
      </c>
      <c r="AS1468" s="34">
        <v>0</v>
      </c>
      <c r="AT1468" s="34">
        <v>0</v>
      </c>
      <c r="AU1468" s="34">
        <v>0</v>
      </c>
      <c r="AV1468" s="34">
        <v>0</v>
      </c>
      <c r="AW1468" s="10"/>
      <c r="AX1468" s="8"/>
    </row>
    <row r="1469" spans="1:50">
      <c r="A1469" s="7"/>
      <c r="B1469" s="10"/>
      <c r="C1469" s="45" t="s">
        <v>1468</v>
      </c>
      <c r="D1469" s="23" t="s">
        <v>27</v>
      </c>
      <c r="E1469" s="61" t="s">
        <v>1513</v>
      </c>
      <c r="F1469" s="61" t="s">
        <v>1513</v>
      </c>
      <c r="G1469" s="61" t="s">
        <v>1513</v>
      </c>
      <c r="H1469" s="61" t="s">
        <v>1513</v>
      </c>
      <c r="I1469" s="25">
        <v>0.9</v>
      </c>
      <c r="J1469" s="26">
        <v>0.91666666666666696</v>
      </c>
      <c r="K1469" s="26">
        <v>0.90909090909090895</v>
      </c>
      <c r="L1469" s="27">
        <v>0.84615384615384603</v>
      </c>
      <c r="M1469" s="26">
        <v>0.88571428571428601</v>
      </c>
      <c r="N1469" s="28">
        <v>0.9</v>
      </c>
      <c r="O1469" s="26">
        <v>1</v>
      </c>
      <c r="P1469" s="26">
        <v>0</v>
      </c>
      <c r="Q1469" s="26">
        <v>0</v>
      </c>
      <c r="R1469" s="26">
        <v>1</v>
      </c>
      <c r="S1469" s="28">
        <v>0.9</v>
      </c>
      <c r="T1469" s="26">
        <v>0</v>
      </c>
      <c r="U1469" s="26">
        <v>0</v>
      </c>
      <c r="V1469" s="26">
        <v>0</v>
      </c>
      <c r="W1469" s="26">
        <v>0</v>
      </c>
      <c r="X1469" s="28">
        <v>0.92</v>
      </c>
      <c r="Y1469" s="28">
        <v>0</v>
      </c>
      <c r="Z1469" s="28">
        <v>0</v>
      </c>
      <c r="AA1469" s="28">
        <v>0</v>
      </c>
      <c r="AB1469" s="28">
        <v>0</v>
      </c>
      <c r="AC1469" s="28">
        <v>0.92</v>
      </c>
      <c r="AD1469" s="26">
        <v>0</v>
      </c>
      <c r="AE1469" s="26">
        <v>0.1</v>
      </c>
      <c r="AF1469" s="26">
        <v>0</v>
      </c>
      <c r="AG1469" s="26">
        <v>7.4999999999999997E-2</v>
      </c>
      <c r="AH1469" s="28">
        <v>0.92</v>
      </c>
      <c r="AI1469" s="26">
        <v>0.89721254355400704</v>
      </c>
      <c r="AJ1469" s="26">
        <v>0.91757575757575804</v>
      </c>
      <c r="AK1469" s="26">
        <v>0.92445703493862097</v>
      </c>
      <c r="AL1469" s="26">
        <v>0.93199861926130501</v>
      </c>
      <c r="AM1469" s="25">
        <v>0.99</v>
      </c>
      <c r="AN1469" s="30">
        <v>0</v>
      </c>
      <c r="AO1469" s="30">
        <v>0</v>
      </c>
      <c r="AP1469" s="30">
        <v>0</v>
      </c>
      <c r="AQ1469" s="30">
        <v>1</v>
      </c>
      <c r="AR1469" s="50">
        <v>0.110069253262963</v>
      </c>
      <c r="AS1469" s="34">
        <v>6.6666666666666693E-2</v>
      </c>
      <c r="AT1469" s="34">
        <v>6.6666666666666693E-2</v>
      </c>
      <c r="AU1469" s="34">
        <v>0.11111111111111099</v>
      </c>
      <c r="AV1469" s="34">
        <v>8.6956521739130405E-2</v>
      </c>
      <c r="AW1469" s="10"/>
      <c r="AX1469" s="8"/>
    </row>
    <row r="1470" spans="1:50">
      <c r="A1470" s="7"/>
      <c r="B1470" s="10"/>
      <c r="C1470" s="45" t="s">
        <v>1468</v>
      </c>
      <c r="D1470" s="23" t="s">
        <v>27</v>
      </c>
      <c r="E1470" s="61" t="s">
        <v>1514</v>
      </c>
      <c r="F1470" s="61" t="s">
        <v>1514</v>
      </c>
      <c r="G1470" s="61" t="s">
        <v>1514</v>
      </c>
      <c r="H1470" s="61" t="s">
        <v>1514</v>
      </c>
      <c r="I1470" s="25">
        <v>0.9</v>
      </c>
      <c r="J1470" s="26">
        <v>0.4</v>
      </c>
      <c r="K1470" s="26">
        <v>0.35</v>
      </c>
      <c r="L1470" s="27">
        <v>0.29166666666666702</v>
      </c>
      <c r="M1470" s="26">
        <v>0.35433070866141703</v>
      </c>
      <c r="N1470" s="28">
        <v>0.9</v>
      </c>
      <c r="O1470" s="26">
        <v>0.96792189679218998</v>
      </c>
      <c r="P1470" s="26">
        <v>0.99133448873483498</v>
      </c>
      <c r="Q1470" s="26">
        <v>0.97664891437935297</v>
      </c>
      <c r="R1470" s="26">
        <v>0.98493930765772497</v>
      </c>
      <c r="S1470" s="28">
        <v>0.9</v>
      </c>
      <c r="T1470" s="26">
        <v>0.72198977219897698</v>
      </c>
      <c r="U1470" s="26">
        <v>0.79246100519930696</v>
      </c>
      <c r="V1470" s="26">
        <v>0.66243342892257295</v>
      </c>
      <c r="W1470" s="26">
        <v>0.75258504420800199</v>
      </c>
      <c r="X1470" s="28">
        <v>0.92</v>
      </c>
      <c r="Y1470" s="28">
        <v>0</v>
      </c>
      <c r="Z1470" s="28">
        <v>0</v>
      </c>
      <c r="AA1470" s="28">
        <v>0</v>
      </c>
      <c r="AB1470" s="28">
        <v>0</v>
      </c>
      <c r="AC1470" s="28">
        <v>0.92</v>
      </c>
      <c r="AD1470" s="26">
        <v>0.94117647058823495</v>
      </c>
      <c r="AE1470" s="26">
        <v>0.96</v>
      </c>
      <c r="AF1470" s="26">
        <v>0.75</v>
      </c>
      <c r="AG1470" s="26">
        <v>0.86928104575163401</v>
      </c>
      <c r="AH1470" s="28">
        <v>0.92</v>
      </c>
      <c r="AI1470" s="26">
        <v>0.83496048349604801</v>
      </c>
      <c r="AJ1470" s="26">
        <v>0.90424610051993104</v>
      </c>
      <c r="AK1470" s="26">
        <v>0.877099549365014</v>
      </c>
      <c r="AL1470" s="26">
        <v>0.88116289524951297</v>
      </c>
      <c r="AM1470" s="25">
        <v>0.99</v>
      </c>
      <c r="AN1470" s="30">
        <v>1</v>
      </c>
      <c r="AO1470" s="30">
        <v>1</v>
      </c>
      <c r="AP1470" s="30">
        <v>1</v>
      </c>
      <c r="AQ1470" s="30">
        <v>1</v>
      </c>
      <c r="AR1470" s="50">
        <v>0.110069253262963</v>
      </c>
      <c r="AS1470" s="34">
        <v>0.1875</v>
      </c>
      <c r="AT1470" s="34">
        <v>0</v>
      </c>
      <c r="AU1470" s="34">
        <v>0.1</v>
      </c>
      <c r="AV1470" s="34">
        <v>8.6092715231788103E-2</v>
      </c>
      <c r="AW1470" s="10"/>
      <c r="AX1470" s="8"/>
    </row>
    <row r="1471" spans="1:50">
      <c r="A1471" s="7"/>
      <c r="B1471" s="10"/>
      <c r="C1471" s="45" t="s">
        <v>1468</v>
      </c>
      <c r="D1471" s="23" t="s">
        <v>27</v>
      </c>
      <c r="E1471" s="61" t="s">
        <v>1515</v>
      </c>
      <c r="F1471" s="61" t="s">
        <v>1515</v>
      </c>
      <c r="G1471" s="61" t="s">
        <v>1515</v>
      </c>
      <c r="H1471" s="61" t="s">
        <v>1515</v>
      </c>
      <c r="I1471" s="25">
        <v>0.9</v>
      </c>
      <c r="J1471" s="26">
        <v>1</v>
      </c>
      <c r="K1471" s="26">
        <v>1</v>
      </c>
      <c r="L1471" s="27">
        <v>1</v>
      </c>
      <c r="M1471" s="26">
        <v>1</v>
      </c>
      <c r="N1471" s="28">
        <v>0.9</v>
      </c>
      <c r="O1471" s="26">
        <v>0.97311827956989205</v>
      </c>
      <c r="P1471" s="26">
        <v>0.97</v>
      </c>
      <c r="Q1471" s="26">
        <v>0.96978215038650695</v>
      </c>
      <c r="R1471" s="26">
        <v>0.97303430783607003</v>
      </c>
      <c r="S1471" s="28">
        <v>0.9</v>
      </c>
      <c r="T1471" s="26">
        <v>0.76774193548387104</v>
      </c>
      <c r="U1471" s="26">
        <v>0.75818181818181796</v>
      </c>
      <c r="V1471" s="26">
        <v>0.78496134926212202</v>
      </c>
      <c r="W1471" s="26">
        <v>0.77119209718328696</v>
      </c>
      <c r="X1471" s="28">
        <v>0.92</v>
      </c>
      <c r="Y1471" s="28">
        <v>0.86930091185410296</v>
      </c>
      <c r="Z1471" s="28">
        <v>0.86126126126126101</v>
      </c>
      <c r="AA1471" s="28">
        <v>0.922695738354807</v>
      </c>
      <c r="AB1471" s="28">
        <v>0.88915294517059895</v>
      </c>
      <c r="AC1471" s="28">
        <v>0.92</v>
      </c>
      <c r="AD1471" s="26">
        <v>1</v>
      </c>
      <c r="AE1471" s="26">
        <v>0.73684210526315796</v>
      </c>
      <c r="AF1471" s="26">
        <v>0.94444444444444398</v>
      </c>
      <c r="AG1471" s="26">
        <v>0.74015748031496098</v>
      </c>
      <c r="AH1471" s="28">
        <v>0.92</v>
      </c>
      <c r="AI1471" s="26">
        <v>0.89436893203883505</v>
      </c>
      <c r="AJ1471" s="26">
        <v>0.91299093655589103</v>
      </c>
      <c r="AK1471" s="26">
        <v>0.94449013157894701</v>
      </c>
      <c r="AL1471" s="26">
        <v>0.91944402929308</v>
      </c>
      <c r="AM1471" s="25">
        <v>0.99</v>
      </c>
      <c r="AN1471" s="30">
        <v>1</v>
      </c>
      <c r="AO1471" s="30">
        <v>1</v>
      </c>
      <c r="AP1471" s="30">
        <v>1</v>
      </c>
      <c r="AQ1471" s="30">
        <v>1</v>
      </c>
      <c r="AR1471" s="50">
        <v>0.110069253262963</v>
      </c>
      <c r="AS1471" s="34">
        <v>0.1</v>
      </c>
      <c r="AT1471" s="34">
        <v>0.1</v>
      </c>
      <c r="AU1471" s="34">
        <v>0.125</v>
      </c>
      <c r="AV1471" s="34">
        <v>0.101694915254237</v>
      </c>
      <c r="AW1471" s="10"/>
      <c r="AX1471" s="8"/>
    </row>
    <row r="1472" spans="1:50">
      <c r="A1472" s="7"/>
      <c r="B1472" s="10"/>
      <c r="C1472" s="45" t="s">
        <v>1468</v>
      </c>
      <c r="D1472" s="23" t="s">
        <v>27</v>
      </c>
      <c r="E1472" s="61" t="s">
        <v>1516</v>
      </c>
      <c r="F1472" s="61" t="s">
        <v>1516</v>
      </c>
      <c r="G1472" s="61" t="s">
        <v>1516</v>
      </c>
      <c r="H1472" s="61" t="s">
        <v>1516</v>
      </c>
      <c r="I1472" s="25">
        <v>0.9</v>
      </c>
      <c r="J1472" s="26">
        <v>0.86363636363636398</v>
      </c>
      <c r="K1472" s="26">
        <v>0.8</v>
      </c>
      <c r="L1472" s="27">
        <v>0.72727272727272696</v>
      </c>
      <c r="M1472" s="26">
        <v>0.82706766917293195</v>
      </c>
      <c r="N1472" s="28">
        <v>0.9</v>
      </c>
      <c r="O1472" s="26">
        <v>0.41302555647155798</v>
      </c>
      <c r="P1472" s="26">
        <v>0.372576177285319</v>
      </c>
      <c r="Q1472" s="26">
        <v>0.47841726618704999</v>
      </c>
      <c r="R1472" s="26">
        <v>0.59082475183226602</v>
      </c>
      <c r="S1472" s="28">
        <v>0.9</v>
      </c>
      <c r="T1472" s="26">
        <v>0.34872217642209402</v>
      </c>
      <c r="U1472" s="26">
        <v>0.253660466956866</v>
      </c>
      <c r="V1472" s="26">
        <v>0.380313930673643</v>
      </c>
      <c r="W1472" s="26">
        <v>0.42146766861489898</v>
      </c>
      <c r="X1472" s="28">
        <v>0.92</v>
      </c>
      <c r="Y1472" s="28">
        <v>0</v>
      </c>
      <c r="Z1472" s="28">
        <v>0</v>
      </c>
      <c r="AA1472" s="28">
        <v>0</v>
      </c>
      <c r="AB1472" s="28">
        <v>0</v>
      </c>
      <c r="AC1472" s="28">
        <v>0.92</v>
      </c>
      <c r="AD1472" s="26">
        <v>1</v>
      </c>
      <c r="AE1472" s="26">
        <v>0.94444444444444398</v>
      </c>
      <c r="AF1472" s="26">
        <v>0.6</v>
      </c>
      <c r="AG1472" s="26">
        <v>0.91954022988505701</v>
      </c>
      <c r="AH1472" s="28">
        <v>0.92</v>
      </c>
      <c r="AI1472" s="26">
        <v>0.54657873042044502</v>
      </c>
      <c r="AJ1472" s="26">
        <v>0.446774831816383</v>
      </c>
      <c r="AK1472" s="26">
        <v>0.52076520601700504</v>
      </c>
      <c r="AL1472" s="26">
        <v>0.59198441413860303</v>
      </c>
      <c r="AM1472" s="25">
        <v>0.99</v>
      </c>
      <c r="AN1472" s="30">
        <v>1</v>
      </c>
      <c r="AO1472" s="30">
        <v>1</v>
      </c>
      <c r="AP1472" s="30">
        <v>1</v>
      </c>
      <c r="AQ1472" s="30">
        <v>1</v>
      </c>
      <c r="AR1472" s="50">
        <v>0.110069253262963</v>
      </c>
      <c r="AS1472" s="34">
        <v>5.7142857142857099E-2</v>
      </c>
      <c r="AT1472" s="34">
        <v>0.3</v>
      </c>
      <c r="AU1472" s="34">
        <v>0.1</v>
      </c>
      <c r="AV1472" s="34">
        <v>0.125</v>
      </c>
      <c r="AW1472" s="10"/>
      <c r="AX1472" s="8"/>
    </row>
    <row r="1473" spans="1:50">
      <c r="A1473" s="7"/>
      <c r="B1473" s="10"/>
      <c r="C1473" s="45" t="s">
        <v>1468</v>
      </c>
      <c r="D1473" s="23" t="s">
        <v>27</v>
      </c>
      <c r="E1473" s="61" t="s">
        <v>1517</v>
      </c>
      <c r="F1473" s="61" t="s">
        <v>1517</v>
      </c>
      <c r="G1473" s="61" t="s">
        <v>1517</v>
      </c>
      <c r="H1473" s="61" t="s">
        <v>1517</v>
      </c>
      <c r="I1473" s="25">
        <v>0.9</v>
      </c>
      <c r="J1473" s="26">
        <v>0.73684210526315796</v>
      </c>
      <c r="K1473" s="26">
        <v>0.83333333333333304</v>
      </c>
      <c r="L1473" s="27">
        <v>0.875</v>
      </c>
      <c r="M1473" s="26">
        <v>0.88</v>
      </c>
      <c r="N1473" s="28">
        <v>0.9</v>
      </c>
      <c r="O1473" s="26">
        <v>0.80499015101772797</v>
      </c>
      <c r="P1473" s="26">
        <v>0.40321141837645003</v>
      </c>
      <c r="Q1473" s="26">
        <v>0.37952721752331398</v>
      </c>
      <c r="R1473" s="26">
        <v>0.42764068735239003</v>
      </c>
      <c r="S1473" s="28">
        <v>0.9</v>
      </c>
      <c r="T1473" s="26">
        <v>0.56467498358502999</v>
      </c>
      <c r="U1473" s="26">
        <v>0.32381801962533502</v>
      </c>
      <c r="V1473" s="26">
        <v>0.29885057471264398</v>
      </c>
      <c r="W1473" s="26">
        <v>0.34139587914325298</v>
      </c>
      <c r="X1473" s="28">
        <v>0.92</v>
      </c>
      <c r="Y1473" s="28">
        <v>0</v>
      </c>
      <c r="Z1473" s="28">
        <v>0</v>
      </c>
      <c r="AA1473" s="28">
        <v>0</v>
      </c>
      <c r="AB1473" s="28">
        <v>0</v>
      </c>
      <c r="AC1473" s="28">
        <v>0.92</v>
      </c>
      <c r="AD1473" s="26">
        <v>0.5</v>
      </c>
      <c r="AE1473" s="26">
        <v>0.27272727272727298</v>
      </c>
      <c r="AF1473" s="26">
        <v>1</v>
      </c>
      <c r="AG1473" s="26">
        <v>0.62790697674418605</v>
      </c>
      <c r="AH1473" s="28">
        <v>0.92</v>
      </c>
      <c r="AI1473" s="26">
        <v>0.66055045871559603</v>
      </c>
      <c r="AJ1473" s="26">
        <v>0.406482307463574</v>
      </c>
      <c r="AK1473" s="26">
        <v>0.36326176534374299</v>
      </c>
      <c r="AL1473" s="26">
        <v>0.410802895957049</v>
      </c>
      <c r="AM1473" s="25">
        <v>0.99</v>
      </c>
      <c r="AN1473" s="30">
        <v>1</v>
      </c>
      <c r="AO1473" s="30">
        <v>1</v>
      </c>
      <c r="AP1473" s="30">
        <v>1</v>
      </c>
      <c r="AQ1473" s="30">
        <v>1</v>
      </c>
      <c r="AR1473" s="50">
        <v>0.110069253262963</v>
      </c>
      <c r="AS1473" s="34">
        <v>0.66666666666666696</v>
      </c>
      <c r="AT1473" s="34">
        <v>1.0989010989011E-2</v>
      </c>
      <c r="AU1473" s="34">
        <v>0</v>
      </c>
      <c r="AV1473" s="34">
        <v>6.9246435845213894E-2</v>
      </c>
      <c r="AW1473" s="10"/>
      <c r="AX1473" s="8"/>
    </row>
    <row r="1474" spans="1:50">
      <c r="A1474" s="7"/>
      <c r="B1474" s="10"/>
      <c r="C1474" s="45" t="s">
        <v>1468</v>
      </c>
      <c r="D1474" s="23" t="s">
        <v>27</v>
      </c>
      <c r="E1474" s="61" t="s">
        <v>1518</v>
      </c>
      <c r="F1474" s="61" t="s">
        <v>1518</v>
      </c>
      <c r="G1474" s="61" t="s">
        <v>1518</v>
      </c>
      <c r="H1474" s="61" t="s">
        <v>1518</v>
      </c>
      <c r="I1474" s="25">
        <v>0.9</v>
      </c>
      <c r="J1474" s="26">
        <v>1</v>
      </c>
      <c r="K1474" s="26">
        <v>1</v>
      </c>
      <c r="L1474" s="27">
        <v>0.66666666666666696</v>
      </c>
      <c r="M1474" s="26">
        <v>0.73684210526315796</v>
      </c>
      <c r="N1474" s="28">
        <v>0.9</v>
      </c>
      <c r="O1474" s="26">
        <v>0.876871880199667</v>
      </c>
      <c r="P1474" s="26">
        <v>0.95522388059701502</v>
      </c>
      <c r="Q1474" s="26">
        <v>0.69047619047619002</v>
      </c>
      <c r="R1474" s="26">
        <v>0.64454045561665396</v>
      </c>
      <c r="S1474" s="28">
        <v>0.9</v>
      </c>
      <c r="T1474" s="26">
        <v>0.42595673876871898</v>
      </c>
      <c r="U1474" s="26">
        <v>0.52238805970149205</v>
      </c>
      <c r="V1474" s="26">
        <v>0.43809523809523798</v>
      </c>
      <c r="W1474" s="26">
        <v>0.365671641791045</v>
      </c>
      <c r="X1474" s="28">
        <v>0.92</v>
      </c>
      <c r="Y1474" s="28">
        <v>0</v>
      </c>
      <c r="Z1474" s="28">
        <v>0</v>
      </c>
      <c r="AA1474" s="28">
        <v>0</v>
      </c>
      <c r="AB1474" s="28">
        <v>0</v>
      </c>
      <c r="AC1474" s="28">
        <v>0.92</v>
      </c>
      <c r="AD1474" s="26">
        <v>0.25</v>
      </c>
      <c r="AE1474" s="26">
        <v>0</v>
      </c>
      <c r="AF1474" s="26">
        <v>1</v>
      </c>
      <c r="AG1474" s="26">
        <v>0.65384615384615397</v>
      </c>
      <c r="AH1474" s="28">
        <v>0.92</v>
      </c>
      <c r="AI1474" s="26">
        <v>0.45091514143094802</v>
      </c>
      <c r="AJ1474" s="26">
        <v>0.56585365853658498</v>
      </c>
      <c r="AK1474" s="26">
        <v>0.45327102803738301</v>
      </c>
      <c r="AL1474" s="26">
        <v>0.39706450366937002</v>
      </c>
      <c r="AM1474" s="25">
        <v>0.99</v>
      </c>
      <c r="AN1474" s="30">
        <v>1</v>
      </c>
      <c r="AO1474" s="30">
        <v>0</v>
      </c>
      <c r="AP1474" s="30">
        <v>0</v>
      </c>
      <c r="AQ1474" s="30">
        <v>1</v>
      </c>
      <c r="AR1474" s="50">
        <v>0.110069253262963</v>
      </c>
      <c r="AS1474" s="34">
        <v>0.203703703703704</v>
      </c>
      <c r="AT1474" s="34">
        <v>9.375E-2</v>
      </c>
      <c r="AU1474" s="34">
        <v>0.114285714285714</v>
      </c>
      <c r="AV1474" s="34">
        <v>0.12</v>
      </c>
      <c r="AW1474" s="10"/>
      <c r="AX1474" s="8"/>
    </row>
    <row r="1475" spans="1:50">
      <c r="A1475" s="7"/>
      <c r="B1475" s="10"/>
      <c r="C1475" s="45" t="s">
        <v>1468</v>
      </c>
      <c r="D1475" s="23" t="s">
        <v>27</v>
      </c>
      <c r="E1475" s="61" t="s">
        <v>1519</v>
      </c>
      <c r="F1475" s="61" t="s">
        <v>1519</v>
      </c>
      <c r="G1475" s="61" t="s">
        <v>1519</v>
      </c>
      <c r="H1475" s="61" t="s">
        <v>1519</v>
      </c>
      <c r="I1475" s="25">
        <v>0.9</v>
      </c>
      <c r="J1475" s="26">
        <v>0.73913043478260898</v>
      </c>
      <c r="K1475" s="26">
        <v>0.95</v>
      </c>
      <c r="L1475" s="27">
        <v>0.78260869565217395</v>
      </c>
      <c r="M1475" s="26">
        <v>0.80152671755725202</v>
      </c>
      <c r="N1475" s="28">
        <v>0.9</v>
      </c>
      <c r="O1475" s="26">
        <v>0</v>
      </c>
      <c r="P1475" s="26">
        <v>0</v>
      </c>
      <c r="Q1475" s="26">
        <v>0</v>
      </c>
      <c r="R1475" s="26">
        <v>0</v>
      </c>
      <c r="S1475" s="28">
        <v>0.9</v>
      </c>
      <c r="T1475" s="26">
        <v>0</v>
      </c>
      <c r="U1475" s="26">
        <v>0</v>
      </c>
      <c r="V1475" s="26">
        <v>0.66666666666666696</v>
      </c>
      <c r="W1475" s="26">
        <v>0.28571428571428598</v>
      </c>
      <c r="X1475" s="28">
        <v>0.92</v>
      </c>
      <c r="Y1475" s="28">
        <v>0</v>
      </c>
      <c r="Z1475" s="28">
        <v>0</v>
      </c>
      <c r="AA1475" s="28">
        <v>0</v>
      </c>
      <c r="AB1475" s="28">
        <v>0</v>
      </c>
      <c r="AC1475" s="28">
        <v>0.92</v>
      </c>
      <c r="AD1475" s="26">
        <v>0</v>
      </c>
      <c r="AE1475" s="26">
        <v>0</v>
      </c>
      <c r="AF1475" s="26">
        <v>0.11764705882352899</v>
      </c>
      <c r="AG1475" s="26">
        <v>0.2</v>
      </c>
      <c r="AH1475" s="28">
        <v>0.92</v>
      </c>
      <c r="AI1475" s="26">
        <v>0.90874843030556696</v>
      </c>
      <c r="AJ1475" s="26">
        <v>0.91935483870967705</v>
      </c>
      <c r="AK1475" s="26">
        <v>0.94153337010479898</v>
      </c>
      <c r="AL1475" s="26">
        <v>0.92836848902281499</v>
      </c>
      <c r="AM1475" s="25">
        <v>0.99</v>
      </c>
      <c r="AN1475" s="30">
        <v>1</v>
      </c>
      <c r="AO1475" s="30">
        <v>1</v>
      </c>
      <c r="AP1475" s="30">
        <v>1</v>
      </c>
      <c r="AQ1475" s="30">
        <v>1</v>
      </c>
      <c r="AR1475" s="50">
        <v>0.110069253262963</v>
      </c>
      <c r="AS1475" s="34">
        <v>0.12</v>
      </c>
      <c r="AT1475" s="34">
        <v>0</v>
      </c>
      <c r="AU1475" s="34">
        <v>6.6666666666666693E-2</v>
      </c>
      <c r="AV1475" s="34">
        <v>9.6774193548387094E-2</v>
      </c>
      <c r="AW1475" s="10"/>
      <c r="AX1475" s="8"/>
    </row>
    <row r="1476" spans="1:50">
      <c r="A1476" s="7"/>
      <c r="B1476" s="10"/>
      <c r="C1476" s="45" t="s">
        <v>1468</v>
      </c>
      <c r="D1476" s="23" t="s">
        <v>27</v>
      </c>
      <c r="E1476" s="61" t="s">
        <v>1520</v>
      </c>
      <c r="F1476" s="61" t="s">
        <v>1520</v>
      </c>
      <c r="G1476" s="61" t="s">
        <v>1520</v>
      </c>
      <c r="H1476" s="61" t="s">
        <v>1520</v>
      </c>
      <c r="I1476" s="25">
        <v>0.9</v>
      </c>
      <c r="J1476" s="26">
        <v>0.9375</v>
      </c>
      <c r="K1476" s="26">
        <v>1</v>
      </c>
      <c r="L1476" s="27">
        <v>0.8125</v>
      </c>
      <c r="M1476" s="26">
        <v>0.90625</v>
      </c>
      <c r="N1476" s="28">
        <v>0.9</v>
      </c>
      <c r="O1476" s="26">
        <v>0.84179325676176397</v>
      </c>
      <c r="P1476" s="26">
        <v>0.46632782719186799</v>
      </c>
      <c r="Q1476" s="26">
        <v>0.41631623212783903</v>
      </c>
      <c r="R1476" s="26">
        <v>0.53359419736590996</v>
      </c>
      <c r="S1476" s="28">
        <v>0.9</v>
      </c>
      <c r="T1476" s="26">
        <v>0.49981474620229699</v>
      </c>
      <c r="U1476" s="26">
        <v>0.35806861499364701</v>
      </c>
      <c r="V1476" s="26">
        <v>0.388141295206056</v>
      </c>
      <c r="W1476" s="26">
        <v>0.39320481007825903</v>
      </c>
      <c r="X1476" s="28">
        <v>0.92</v>
      </c>
      <c r="Y1476" s="28">
        <v>0</v>
      </c>
      <c r="Z1476" s="28">
        <v>0</v>
      </c>
      <c r="AA1476" s="28">
        <v>0</v>
      </c>
      <c r="AB1476" s="28">
        <v>0</v>
      </c>
      <c r="AC1476" s="28">
        <v>0.92</v>
      </c>
      <c r="AD1476" s="26">
        <v>0</v>
      </c>
      <c r="AE1476" s="26">
        <v>0.2</v>
      </c>
      <c r="AF1476" s="26">
        <v>0</v>
      </c>
      <c r="AG1476" s="26">
        <v>0.22222222222222199</v>
      </c>
      <c r="AH1476" s="28">
        <v>0.92</v>
      </c>
      <c r="AI1476" s="26">
        <v>0.55872545387180395</v>
      </c>
      <c r="AJ1476" s="26">
        <v>0.45616264294790299</v>
      </c>
      <c r="AK1476" s="26">
        <v>0.50210260723296896</v>
      </c>
      <c r="AL1476" s="26">
        <v>0.49064707005153702</v>
      </c>
      <c r="AM1476" s="25">
        <v>0.99</v>
      </c>
      <c r="AN1476" s="30">
        <v>0</v>
      </c>
      <c r="AO1476" s="30">
        <v>1</v>
      </c>
      <c r="AP1476" s="30">
        <v>0</v>
      </c>
      <c r="AQ1476" s="30">
        <v>1</v>
      </c>
      <c r="AR1476" s="50">
        <v>0.110069253262963</v>
      </c>
      <c r="AS1476" s="34">
        <v>0.25806451612903197</v>
      </c>
      <c r="AT1476" s="34">
        <v>0.406015037593985</v>
      </c>
      <c r="AU1476" s="34">
        <v>4.8275862068965503E-2</v>
      </c>
      <c r="AV1476" s="34">
        <v>0.15340909090909099</v>
      </c>
      <c r="AW1476" s="10"/>
      <c r="AX1476" s="8"/>
    </row>
    <row r="1477" spans="1:50">
      <c r="A1477" s="7"/>
      <c r="B1477" s="10"/>
      <c r="C1477" s="45" t="s">
        <v>1468</v>
      </c>
      <c r="D1477" s="23" t="s">
        <v>27</v>
      </c>
      <c r="E1477" s="61" t="s">
        <v>1521</v>
      </c>
      <c r="F1477" s="61" t="s">
        <v>1521</v>
      </c>
      <c r="G1477" s="61" t="s">
        <v>1521</v>
      </c>
      <c r="H1477" s="61" t="s">
        <v>1521</v>
      </c>
      <c r="I1477" s="25">
        <v>0.9</v>
      </c>
      <c r="J1477" s="26">
        <v>1</v>
      </c>
      <c r="K1477" s="26">
        <v>1</v>
      </c>
      <c r="L1477" s="27">
        <v>1</v>
      </c>
      <c r="M1477" s="26">
        <v>1</v>
      </c>
      <c r="N1477" s="28">
        <v>0.9</v>
      </c>
      <c r="O1477" s="26">
        <v>0.78555472822040195</v>
      </c>
      <c r="P1477" s="26">
        <v>0.67617538298996305</v>
      </c>
      <c r="Q1477" s="26">
        <v>0.69134615384615405</v>
      </c>
      <c r="R1477" s="26">
        <v>0.65855072463768105</v>
      </c>
      <c r="S1477" s="28">
        <v>0.9</v>
      </c>
      <c r="T1477" s="26">
        <v>0.54504839910647795</v>
      </c>
      <c r="U1477" s="26">
        <v>0.54569466455361904</v>
      </c>
      <c r="V1477" s="26">
        <v>0.62403846153846199</v>
      </c>
      <c r="W1477" s="26">
        <v>0.51304347826087005</v>
      </c>
      <c r="X1477" s="28">
        <v>0.92</v>
      </c>
      <c r="Y1477" s="28">
        <v>0</v>
      </c>
      <c r="Z1477" s="28">
        <v>0</v>
      </c>
      <c r="AA1477" s="28">
        <v>0</v>
      </c>
      <c r="AB1477" s="28">
        <v>0</v>
      </c>
      <c r="AC1477" s="28">
        <v>0.92</v>
      </c>
      <c r="AD1477" s="26">
        <v>0</v>
      </c>
      <c r="AE1477" s="26">
        <v>0</v>
      </c>
      <c r="AF1477" s="26">
        <v>1</v>
      </c>
      <c r="AG1477" s="26">
        <v>0.47058823529411797</v>
      </c>
      <c r="AH1477" s="28">
        <v>0.92</v>
      </c>
      <c r="AI1477" s="26">
        <v>0.63737900223380495</v>
      </c>
      <c r="AJ1477" s="26">
        <v>0.60116217643951397</v>
      </c>
      <c r="AK1477" s="26">
        <v>0.679807692307692</v>
      </c>
      <c r="AL1477" s="26">
        <v>0.59826086956521696</v>
      </c>
      <c r="AM1477" s="25">
        <v>0.99</v>
      </c>
      <c r="AN1477" s="30">
        <v>1</v>
      </c>
      <c r="AO1477" s="30">
        <v>1</v>
      </c>
      <c r="AP1477" s="30">
        <v>1</v>
      </c>
      <c r="AQ1477" s="30">
        <v>1</v>
      </c>
      <c r="AR1477" s="50">
        <v>0.110069253262963</v>
      </c>
      <c r="AS1477" s="34">
        <v>0.173913043478261</v>
      </c>
      <c r="AT1477" s="34">
        <v>0.37931034482758602</v>
      </c>
      <c r="AU1477" s="34">
        <v>0.10344827586206901</v>
      </c>
      <c r="AV1477" s="34">
        <v>0.131805157593123</v>
      </c>
      <c r="AW1477" s="10"/>
      <c r="AX1477" s="8"/>
    </row>
    <row r="1478" spans="1:50">
      <c r="A1478" s="7"/>
      <c r="B1478" s="10"/>
      <c r="C1478" s="45" t="s">
        <v>1468</v>
      </c>
      <c r="D1478" s="23" t="s">
        <v>27</v>
      </c>
      <c r="E1478" s="61" t="s">
        <v>1522</v>
      </c>
      <c r="F1478" s="61" t="s">
        <v>1522</v>
      </c>
      <c r="G1478" s="61" t="s">
        <v>1522</v>
      </c>
      <c r="H1478" s="61" t="s">
        <v>1522</v>
      </c>
      <c r="I1478" s="25">
        <v>0.9</v>
      </c>
      <c r="J1478" s="26">
        <v>1</v>
      </c>
      <c r="K1478" s="26">
        <v>1</v>
      </c>
      <c r="L1478" s="27">
        <v>1</v>
      </c>
      <c r="M1478" s="26">
        <v>0.97435897435897401</v>
      </c>
      <c r="N1478" s="28">
        <v>0.9</v>
      </c>
      <c r="O1478" s="26">
        <v>0.98940553266627396</v>
      </c>
      <c r="P1478" s="26">
        <v>0.99786931818181801</v>
      </c>
      <c r="Q1478" s="26">
        <v>0.99232736572890001</v>
      </c>
      <c r="R1478" s="26">
        <v>0.99497487437185905</v>
      </c>
      <c r="S1478" s="28">
        <v>0.9</v>
      </c>
      <c r="T1478" s="26">
        <v>0.68628605061801096</v>
      </c>
      <c r="U1478" s="26">
        <v>0.63849431818181801</v>
      </c>
      <c r="V1478" s="26">
        <v>0.65345268542199497</v>
      </c>
      <c r="W1478" s="26">
        <v>0.73658615658939897</v>
      </c>
      <c r="X1478" s="28">
        <v>0.92</v>
      </c>
      <c r="Y1478" s="28">
        <v>0</v>
      </c>
      <c r="Z1478" s="28">
        <v>0</v>
      </c>
      <c r="AA1478" s="28">
        <v>0</v>
      </c>
      <c r="AB1478" s="28">
        <v>0</v>
      </c>
      <c r="AC1478" s="28">
        <v>0.92</v>
      </c>
      <c r="AD1478" s="26">
        <v>7.1428571428571397E-2</v>
      </c>
      <c r="AE1478" s="26">
        <v>0</v>
      </c>
      <c r="AF1478" s="26">
        <v>0.94117647058823495</v>
      </c>
      <c r="AG1478" s="26">
        <v>0.56451612903225801</v>
      </c>
      <c r="AH1478" s="28">
        <v>0.92</v>
      </c>
      <c r="AI1478" s="26">
        <v>0.70100058858151904</v>
      </c>
      <c r="AJ1478" s="26">
        <v>0.67400568181818199</v>
      </c>
      <c r="AK1478" s="26">
        <v>0.74552429667519204</v>
      </c>
      <c r="AL1478" s="26">
        <v>0.77289674177338297</v>
      </c>
      <c r="AM1478" s="25">
        <v>0.99</v>
      </c>
      <c r="AN1478" s="30">
        <v>1</v>
      </c>
      <c r="AO1478" s="30">
        <v>1</v>
      </c>
      <c r="AP1478" s="30">
        <v>1</v>
      </c>
      <c r="AQ1478" s="30">
        <v>1</v>
      </c>
      <c r="AR1478" s="50">
        <v>0.110069253262963</v>
      </c>
      <c r="AS1478" s="34">
        <v>6.5217391304347797E-2</v>
      </c>
      <c r="AT1478" s="34">
        <v>4.8387096774193498E-2</v>
      </c>
      <c r="AU1478" s="34">
        <v>0</v>
      </c>
      <c r="AV1478" s="34">
        <v>0.102409638554217</v>
      </c>
      <c r="AW1478" s="10"/>
      <c r="AX1478" s="8"/>
    </row>
    <row r="1479" spans="1:50">
      <c r="A1479" s="7"/>
      <c r="B1479" s="10"/>
      <c r="C1479" s="45" t="s">
        <v>1468</v>
      </c>
      <c r="D1479" s="23" t="s">
        <v>27</v>
      </c>
      <c r="E1479" s="61" t="s">
        <v>1523</v>
      </c>
      <c r="F1479" s="61" t="s">
        <v>1523</v>
      </c>
      <c r="G1479" s="61" t="s">
        <v>1523</v>
      </c>
      <c r="H1479" s="61" t="s">
        <v>1523</v>
      </c>
      <c r="I1479" s="25">
        <v>0.9</v>
      </c>
      <c r="J1479" s="26">
        <v>0.9375</v>
      </c>
      <c r="K1479" s="26">
        <v>0.92857142857142905</v>
      </c>
      <c r="L1479" s="27">
        <v>1</v>
      </c>
      <c r="M1479" s="26">
        <v>0.97191011235955105</v>
      </c>
      <c r="N1479" s="28">
        <v>0.9</v>
      </c>
      <c r="O1479" s="26">
        <v>0.998739363378506</v>
      </c>
      <c r="P1479" s="26">
        <v>0.99850074962518698</v>
      </c>
      <c r="Q1479" s="26">
        <v>0.99782431329888499</v>
      </c>
      <c r="R1479" s="26">
        <v>0.99673383247073</v>
      </c>
      <c r="S1479" s="28">
        <v>0.9</v>
      </c>
      <c r="T1479" s="26">
        <v>0.89536716041601006</v>
      </c>
      <c r="U1479" s="26">
        <v>0.93043478260869605</v>
      </c>
      <c r="V1479" s="26">
        <v>0.92439488713625195</v>
      </c>
      <c r="W1479" s="26">
        <v>0.91291894879654301</v>
      </c>
      <c r="X1479" s="28">
        <v>0.92</v>
      </c>
      <c r="Y1479" s="28">
        <v>0</v>
      </c>
      <c r="Z1479" s="28">
        <v>0</v>
      </c>
      <c r="AA1479" s="28">
        <v>0</v>
      </c>
      <c r="AB1479" s="28">
        <v>0</v>
      </c>
      <c r="AC1479" s="28">
        <v>0.92</v>
      </c>
      <c r="AD1479" s="26">
        <v>0.93548387096774199</v>
      </c>
      <c r="AE1479" s="26">
        <v>1</v>
      </c>
      <c r="AF1479" s="26">
        <v>0.98181818181818203</v>
      </c>
      <c r="AG1479" s="26">
        <v>0.969465648854962</v>
      </c>
      <c r="AH1479" s="28">
        <v>0.92</v>
      </c>
      <c r="AI1479" s="26">
        <v>0.96816892530728005</v>
      </c>
      <c r="AJ1479" s="26">
        <v>0.98530734632683703</v>
      </c>
      <c r="AK1479" s="26">
        <v>0.986401958118031</v>
      </c>
      <c r="AL1479" s="26">
        <v>0.97879503542535595</v>
      </c>
      <c r="AM1479" s="25">
        <v>0.99</v>
      </c>
      <c r="AN1479" s="30">
        <v>1</v>
      </c>
      <c r="AO1479" s="30">
        <v>1</v>
      </c>
      <c r="AP1479" s="30">
        <v>1</v>
      </c>
      <c r="AQ1479" s="30">
        <v>1</v>
      </c>
      <c r="AR1479" s="50">
        <v>0.110069253262963</v>
      </c>
      <c r="AS1479" s="34">
        <v>0</v>
      </c>
      <c r="AT1479" s="34">
        <v>0</v>
      </c>
      <c r="AU1479" s="34">
        <v>0.15384615384615399</v>
      </c>
      <c r="AV1479" s="34">
        <v>9.5744680851063801E-2</v>
      </c>
      <c r="AW1479" s="10"/>
      <c r="AX1479" s="8"/>
    </row>
    <row r="1480" spans="1:50">
      <c r="A1480" s="7"/>
      <c r="B1480" s="10"/>
      <c r="C1480" s="45" t="s">
        <v>1468</v>
      </c>
      <c r="D1480" s="23" t="s">
        <v>27</v>
      </c>
      <c r="E1480" s="61" t="s">
        <v>1524</v>
      </c>
      <c r="F1480" s="61" t="s">
        <v>1524</v>
      </c>
      <c r="G1480" s="61" t="s">
        <v>1524</v>
      </c>
      <c r="H1480" s="61" t="s">
        <v>1524</v>
      </c>
      <c r="I1480" s="25">
        <v>0.9</v>
      </c>
      <c r="J1480" s="26">
        <v>0.26315789473684198</v>
      </c>
      <c r="K1480" s="26">
        <v>0.35</v>
      </c>
      <c r="L1480" s="27">
        <v>0.40909090909090901</v>
      </c>
      <c r="M1480" s="26">
        <v>0.25609756097560998</v>
      </c>
      <c r="N1480" s="28">
        <v>0.9</v>
      </c>
      <c r="O1480" s="26">
        <v>0.64725415070242698</v>
      </c>
      <c r="P1480" s="26">
        <v>0.80159242522057195</v>
      </c>
      <c r="Q1480" s="26">
        <v>0.856474258970359</v>
      </c>
      <c r="R1480" s="26">
        <v>0.74275299427182795</v>
      </c>
      <c r="S1480" s="28">
        <v>0.9</v>
      </c>
      <c r="T1480" s="26">
        <v>0.55606641123882505</v>
      </c>
      <c r="U1480" s="26">
        <v>0.74736389068216103</v>
      </c>
      <c r="V1480" s="26">
        <v>0.94695787831513301</v>
      </c>
      <c r="W1480" s="26">
        <v>0.68442978649539998</v>
      </c>
      <c r="X1480" s="28">
        <v>0.92</v>
      </c>
      <c r="Y1480" s="28">
        <v>0</v>
      </c>
      <c r="Z1480" s="28">
        <v>0</v>
      </c>
      <c r="AA1480" s="28">
        <v>0</v>
      </c>
      <c r="AB1480" s="28">
        <v>0</v>
      </c>
      <c r="AC1480" s="28">
        <v>0.92</v>
      </c>
      <c r="AD1480" s="26">
        <v>0</v>
      </c>
      <c r="AE1480" s="26">
        <v>0</v>
      </c>
      <c r="AF1480" s="26">
        <v>0</v>
      </c>
      <c r="AG1480" s="26">
        <v>0.11764705882352899</v>
      </c>
      <c r="AH1480" s="28">
        <v>0.92</v>
      </c>
      <c r="AI1480" s="26">
        <v>0.65057471264367805</v>
      </c>
      <c r="AJ1480" s="26">
        <v>0.78184165232358005</v>
      </c>
      <c r="AK1480" s="26">
        <v>0.95163806552262098</v>
      </c>
      <c r="AL1480" s="26">
        <v>0.74624663716046202</v>
      </c>
      <c r="AM1480" s="25">
        <v>0.99</v>
      </c>
      <c r="AN1480" s="30">
        <v>1</v>
      </c>
      <c r="AO1480" s="30">
        <v>1</v>
      </c>
      <c r="AP1480" s="30">
        <v>1</v>
      </c>
      <c r="AQ1480" s="30">
        <v>1</v>
      </c>
      <c r="AR1480" s="50">
        <v>0.110069253262963</v>
      </c>
      <c r="AS1480" s="34">
        <v>0.35135135135135098</v>
      </c>
      <c r="AT1480" s="34">
        <v>0.31034482758620702</v>
      </c>
      <c r="AU1480" s="34">
        <v>0.21666666666666701</v>
      </c>
      <c r="AV1480" s="34">
        <v>0.20420420420420399</v>
      </c>
      <c r="AW1480" s="10"/>
      <c r="AX1480" s="8"/>
    </row>
    <row r="1481" spans="1:50">
      <c r="A1481" s="7"/>
      <c r="B1481" s="10"/>
      <c r="C1481" s="45" t="s">
        <v>1468</v>
      </c>
      <c r="D1481" s="23" t="s">
        <v>27</v>
      </c>
      <c r="E1481" s="61" t="s">
        <v>1525</v>
      </c>
      <c r="F1481" s="61" t="s">
        <v>1525</v>
      </c>
      <c r="G1481" s="61" t="s">
        <v>1525</v>
      </c>
      <c r="H1481" s="61" t="s">
        <v>1525</v>
      </c>
      <c r="I1481" s="25">
        <v>0.9</v>
      </c>
      <c r="J1481" s="26">
        <v>0.56666666666666698</v>
      </c>
      <c r="K1481" s="26">
        <v>0.5</v>
      </c>
      <c r="L1481" s="27">
        <v>0.7</v>
      </c>
      <c r="M1481" s="26">
        <v>0.49425287356321801</v>
      </c>
      <c r="N1481" s="28">
        <v>0.9</v>
      </c>
      <c r="O1481" s="26">
        <v>0.53781512605042003</v>
      </c>
      <c r="P1481" s="26">
        <v>0.54510686164229505</v>
      </c>
      <c r="Q1481" s="26">
        <v>0.57788267026298001</v>
      </c>
      <c r="R1481" s="26">
        <v>0.58422512881490296</v>
      </c>
      <c r="S1481" s="28">
        <v>0.9</v>
      </c>
      <c r="T1481" s="26">
        <v>0.42184873949579799</v>
      </c>
      <c r="U1481" s="26">
        <v>0.41147356580427402</v>
      </c>
      <c r="V1481" s="26">
        <v>0.49376264329062702</v>
      </c>
      <c r="W1481" s="26">
        <v>0.47275069361870797</v>
      </c>
      <c r="X1481" s="28">
        <v>0.92</v>
      </c>
      <c r="Y1481" s="28">
        <v>0</v>
      </c>
      <c r="Z1481" s="28">
        <v>0</v>
      </c>
      <c r="AA1481" s="28">
        <v>0</v>
      </c>
      <c r="AB1481" s="28">
        <v>0</v>
      </c>
      <c r="AC1481" s="28">
        <v>0.92</v>
      </c>
      <c r="AD1481" s="26">
        <v>0.5</v>
      </c>
      <c r="AE1481" s="26">
        <v>0.66666666666666696</v>
      </c>
      <c r="AF1481" s="26">
        <v>0.83333333333333304</v>
      </c>
      <c r="AG1481" s="26">
        <v>0.78571428571428603</v>
      </c>
      <c r="AH1481" s="28">
        <v>0.92</v>
      </c>
      <c r="AI1481" s="26">
        <v>0.57226890756302495</v>
      </c>
      <c r="AJ1481" s="26">
        <v>0.55118110236220497</v>
      </c>
      <c r="AK1481" s="26">
        <v>0.59625758597437595</v>
      </c>
      <c r="AL1481" s="26">
        <v>0.61030468169432694</v>
      </c>
      <c r="AM1481" s="25">
        <v>0.99</v>
      </c>
      <c r="AN1481" s="30">
        <v>1</v>
      </c>
      <c r="AO1481" s="30">
        <v>0</v>
      </c>
      <c r="AP1481" s="30">
        <v>0</v>
      </c>
      <c r="AQ1481" s="30">
        <v>1</v>
      </c>
      <c r="AR1481" s="50">
        <v>0.110069253262963</v>
      </c>
      <c r="AS1481" s="34">
        <v>0.15384615384615399</v>
      </c>
      <c r="AT1481" s="34">
        <v>0.42105263157894701</v>
      </c>
      <c r="AU1481" s="34">
        <v>0.23529411764705899</v>
      </c>
      <c r="AV1481" s="34">
        <v>0.14864864864864899</v>
      </c>
      <c r="AW1481" s="10"/>
      <c r="AX1481" s="8"/>
    </row>
    <row r="1482" spans="1:50">
      <c r="A1482" s="7"/>
      <c r="B1482" s="10"/>
      <c r="C1482" s="45" t="s">
        <v>1468</v>
      </c>
      <c r="D1482" s="23" t="s">
        <v>27</v>
      </c>
      <c r="E1482" s="61" t="s">
        <v>1526</v>
      </c>
      <c r="F1482" s="61" t="s">
        <v>1526</v>
      </c>
      <c r="G1482" s="61" t="s">
        <v>1526</v>
      </c>
      <c r="H1482" s="61" t="s">
        <v>1526</v>
      </c>
      <c r="I1482" s="25">
        <v>0.9</v>
      </c>
      <c r="J1482" s="26">
        <v>0.77272727272727304</v>
      </c>
      <c r="K1482" s="26">
        <v>0.74074074074074103</v>
      </c>
      <c r="L1482" s="27">
        <v>0.71428571428571397</v>
      </c>
      <c r="M1482" s="26">
        <v>0.786163522012579</v>
      </c>
      <c r="N1482" s="28">
        <v>0.9</v>
      </c>
      <c r="O1482" s="26">
        <v>0.79696714406065705</v>
      </c>
      <c r="P1482" s="26">
        <v>0.684782608695652</v>
      </c>
      <c r="Q1482" s="26">
        <v>0.81834740851134302</v>
      </c>
      <c r="R1482" s="26">
        <v>0.80281690140845097</v>
      </c>
      <c r="S1482" s="28">
        <v>0.9</v>
      </c>
      <c r="T1482" s="26">
        <v>0.58719460825610803</v>
      </c>
      <c r="U1482" s="26">
        <v>0.50480769230769196</v>
      </c>
      <c r="V1482" s="26">
        <v>0.56780923994038701</v>
      </c>
      <c r="W1482" s="26">
        <v>0.60652335063009599</v>
      </c>
      <c r="X1482" s="28">
        <v>0.92</v>
      </c>
      <c r="Y1482" s="28">
        <v>0</v>
      </c>
      <c r="Z1482" s="28">
        <v>0</v>
      </c>
      <c r="AA1482" s="28">
        <v>0</v>
      </c>
      <c r="AB1482" s="28">
        <v>0</v>
      </c>
      <c r="AC1482" s="28">
        <v>0.92</v>
      </c>
      <c r="AD1482" s="26">
        <v>0.85714285714285698</v>
      </c>
      <c r="AE1482" s="26">
        <v>0.66666666666666696</v>
      </c>
      <c r="AF1482" s="26">
        <v>0.95833333333333304</v>
      </c>
      <c r="AG1482" s="26">
        <v>0.87368421052631595</v>
      </c>
      <c r="AH1482" s="28">
        <v>0.92</v>
      </c>
      <c r="AI1482" s="26">
        <v>0.71777590564448202</v>
      </c>
      <c r="AJ1482" s="26">
        <v>0.68582775919732397</v>
      </c>
      <c r="AK1482" s="26">
        <v>0.73902964066898502</v>
      </c>
      <c r="AL1482" s="26">
        <v>0.760662218927601</v>
      </c>
      <c r="AM1482" s="25">
        <v>0.99</v>
      </c>
      <c r="AN1482" s="30">
        <v>1</v>
      </c>
      <c r="AO1482" s="30">
        <v>1</v>
      </c>
      <c r="AP1482" s="30">
        <v>1</v>
      </c>
      <c r="AQ1482" s="30">
        <v>1</v>
      </c>
      <c r="AR1482" s="50">
        <v>0.110069253262963</v>
      </c>
      <c r="AS1482" s="34">
        <v>0.19047619047618999</v>
      </c>
      <c r="AT1482" s="34">
        <v>0</v>
      </c>
      <c r="AU1482" s="34">
        <v>5.8823529411764698E-2</v>
      </c>
      <c r="AV1482" s="34">
        <v>7.8740157480315001E-2</v>
      </c>
      <c r="AW1482" s="10"/>
      <c r="AX1482" s="8"/>
    </row>
    <row r="1483" spans="1:50">
      <c r="A1483" s="7"/>
      <c r="B1483" s="10"/>
      <c r="C1483" s="45" t="s">
        <v>1468</v>
      </c>
      <c r="D1483" s="23" t="s">
        <v>27</v>
      </c>
      <c r="E1483" s="61" t="s">
        <v>1527</v>
      </c>
      <c r="F1483" s="61" t="s">
        <v>1527</v>
      </c>
      <c r="G1483" s="61" t="s">
        <v>1527</v>
      </c>
      <c r="H1483" s="61" t="s">
        <v>1527</v>
      </c>
      <c r="I1483" s="25">
        <v>0.9</v>
      </c>
      <c r="J1483" s="26">
        <v>0</v>
      </c>
      <c r="K1483" s="26">
        <v>0</v>
      </c>
      <c r="L1483" s="27">
        <v>0</v>
      </c>
      <c r="M1483" s="26">
        <v>0</v>
      </c>
      <c r="N1483" s="28">
        <v>0.9</v>
      </c>
      <c r="O1483" s="26">
        <v>0</v>
      </c>
      <c r="P1483" s="26">
        <v>0</v>
      </c>
      <c r="Q1483" s="26">
        <v>0</v>
      </c>
      <c r="R1483" s="26">
        <v>0</v>
      </c>
      <c r="S1483" s="28">
        <v>0.9</v>
      </c>
      <c r="T1483" s="26">
        <v>0</v>
      </c>
      <c r="U1483" s="26">
        <v>0</v>
      </c>
      <c r="V1483" s="26">
        <v>0</v>
      </c>
      <c r="W1483" s="26">
        <v>1</v>
      </c>
      <c r="X1483" s="28">
        <v>0.92</v>
      </c>
      <c r="Y1483" s="28">
        <v>0</v>
      </c>
      <c r="Z1483" s="28">
        <v>0</v>
      </c>
      <c r="AA1483" s="28">
        <v>0</v>
      </c>
      <c r="AB1483" s="28">
        <v>0</v>
      </c>
      <c r="AC1483" s="28">
        <v>0.92</v>
      </c>
      <c r="AD1483" s="26">
        <v>1</v>
      </c>
      <c r="AE1483" s="26">
        <v>0.84156378600823001</v>
      </c>
      <c r="AF1483" s="26">
        <v>0.78836833602584799</v>
      </c>
      <c r="AG1483" s="26">
        <v>0.917023763147643</v>
      </c>
      <c r="AH1483" s="28">
        <v>0.92</v>
      </c>
      <c r="AI1483" s="26">
        <v>0</v>
      </c>
      <c r="AJ1483" s="26">
        <v>0</v>
      </c>
      <c r="AK1483" s="26">
        <v>0</v>
      </c>
      <c r="AL1483" s="26">
        <v>1</v>
      </c>
      <c r="AM1483" s="25">
        <v>0.99</v>
      </c>
      <c r="AN1483" s="30">
        <v>1</v>
      </c>
      <c r="AO1483" s="30">
        <v>1</v>
      </c>
      <c r="AP1483" s="30">
        <v>1</v>
      </c>
      <c r="AQ1483" s="30">
        <v>1</v>
      </c>
      <c r="AR1483" s="50">
        <v>0.110069253262963</v>
      </c>
      <c r="AS1483" s="34">
        <v>0</v>
      </c>
      <c r="AT1483" s="34">
        <v>0</v>
      </c>
      <c r="AU1483" s="34">
        <v>0</v>
      </c>
      <c r="AV1483" s="34">
        <v>0</v>
      </c>
      <c r="AW1483" s="10"/>
      <c r="AX1483" s="8"/>
    </row>
    <row r="1484" spans="1:50">
      <c r="A1484" s="7"/>
      <c r="B1484" s="10"/>
      <c r="C1484" s="45" t="s">
        <v>1468</v>
      </c>
      <c r="D1484" s="23" t="s">
        <v>27</v>
      </c>
      <c r="E1484" s="61" t="s">
        <v>1528</v>
      </c>
      <c r="F1484" s="61" t="s">
        <v>1528</v>
      </c>
      <c r="G1484" s="61" t="s">
        <v>1528</v>
      </c>
      <c r="H1484" s="61" t="s">
        <v>1528</v>
      </c>
      <c r="I1484" s="25">
        <v>0.9</v>
      </c>
      <c r="J1484" s="26">
        <v>1</v>
      </c>
      <c r="K1484" s="26">
        <v>1</v>
      </c>
      <c r="L1484" s="27">
        <v>1</v>
      </c>
      <c r="M1484" s="26">
        <v>0.99285714285714299</v>
      </c>
      <c r="N1484" s="28">
        <v>0.9</v>
      </c>
      <c r="O1484" s="26">
        <v>0.98067632850241504</v>
      </c>
      <c r="P1484" s="26">
        <v>0.923684210526316</v>
      </c>
      <c r="Q1484" s="26">
        <v>0.96790299572039895</v>
      </c>
      <c r="R1484" s="26">
        <v>0.950868550687062</v>
      </c>
      <c r="S1484" s="28">
        <v>0.9</v>
      </c>
      <c r="T1484" s="26">
        <v>0.80772946859903405</v>
      </c>
      <c r="U1484" s="26">
        <v>0.76315789473684204</v>
      </c>
      <c r="V1484" s="26">
        <v>0.80599144079885898</v>
      </c>
      <c r="W1484" s="26">
        <v>0.77262120819289604</v>
      </c>
      <c r="X1484" s="28">
        <v>0.92</v>
      </c>
      <c r="Y1484" s="28">
        <v>0.83282489322757802</v>
      </c>
      <c r="Z1484" s="28">
        <v>0.78777589134125603</v>
      </c>
      <c r="AA1484" s="28">
        <v>0.85714285714285698</v>
      </c>
      <c r="AB1484" s="28">
        <v>0.82396251673360099</v>
      </c>
      <c r="AC1484" s="28">
        <v>0.92</v>
      </c>
      <c r="AD1484" s="26">
        <v>1</v>
      </c>
      <c r="AE1484" s="26">
        <v>0.90909090909090895</v>
      </c>
      <c r="AF1484" s="26">
        <v>0.97368421052631604</v>
      </c>
      <c r="AG1484" s="26">
        <v>0.90686274509803899</v>
      </c>
      <c r="AH1484" s="28">
        <v>0.92</v>
      </c>
      <c r="AI1484" s="26">
        <v>0.86910994764397898</v>
      </c>
      <c r="AJ1484" s="26">
        <v>0.85309427414690597</v>
      </c>
      <c r="AK1484" s="26">
        <v>0.90769230769230802</v>
      </c>
      <c r="AL1484" s="26">
        <v>0.87443389335281196</v>
      </c>
      <c r="AM1484" s="25">
        <v>0.99</v>
      </c>
      <c r="AN1484" s="30">
        <v>1</v>
      </c>
      <c r="AO1484" s="30">
        <v>1</v>
      </c>
      <c r="AP1484" s="30">
        <v>1</v>
      </c>
      <c r="AQ1484" s="30">
        <v>1</v>
      </c>
      <c r="AR1484" s="50">
        <v>0.110069253262963</v>
      </c>
      <c r="AS1484" s="34">
        <v>0.214285714285714</v>
      </c>
      <c r="AT1484" s="34">
        <v>0.14285714285714299</v>
      </c>
      <c r="AU1484" s="34">
        <v>7.69230769230769E-2</v>
      </c>
      <c r="AV1484" s="34">
        <v>0.127906976744186</v>
      </c>
      <c r="AW1484" s="10"/>
      <c r="AX1484" s="8"/>
    </row>
    <row r="1485" spans="1:50">
      <c r="A1485" s="7"/>
      <c r="B1485" s="10"/>
      <c r="C1485" s="45" t="s">
        <v>1468</v>
      </c>
      <c r="D1485" s="23" t="s">
        <v>27</v>
      </c>
      <c r="E1485" s="61" t="s">
        <v>1529</v>
      </c>
      <c r="F1485" s="61" t="s">
        <v>1529</v>
      </c>
      <c r="G1485" s="61" t="s">
        <v>1529</v>
      </c>
      <c r="H1485" s="61" t="s">
        <v>1529</v>
      </c>
      <c r="I1485" s="25">
        <v>0.9</v>
      </c>
      <c r="J1485" s="26">
        <v>1</v>
      </c>
      <c r="K1485" s="26">
        <v>1</v>
      </c>
      <c r="L1485" s="27">
        <v>1</v>
      </c>
      <c r="M1485" s="26">
        <v>1</v>
      </c>
      <c r="N1485" s="28">
        <v>0.9</v>
      </c>
      <c r="O1485" s="26">
        <v>0.97669706180344495</v>
      </c>
      <c r="P1485" s="26">
        <v>0.962036238136324</v>
      </c>
      <c r="Q1485" s="26">
        <v>0.97907128842380597</v>
      </c>
      <c r="R1485" s="26">
        <v>0.97301769123074999</v>
      </c>
      <c r="S1485" s="28">
        <v>0.9</v>
      </c>
      <c r="T1485" s="26">
        <v>0.76494427558257305</v>
      </c>
      <c r="U1485" s="26">
        <v>0.81622088006902505</v>
      </c>
      <c r="V1485" s="26">
        <v>0.77370830608240704</v>
      </c>
      <c r="W1485" s="26">
        <v>0.78757795596283597</v>
      </c>
      <c r="X1485" s="28">
        <v>0.92</v>
      </c>
      <c r="Y1485" s="28">
        <v>0.88333333333333297</v>
      </c>
      <c r="Z1485" s="28">
        <v>0.91729323308270705</v>
      </c>
      <c r="AA1485" s="28">
        <v>0.93541876892028297</v>
      </c>
      <c r="AB1485" s="28">
        <v>0.91134810864855897</v>
      </c>
      <c r="AC1485" s="28">
        <v>0.92</v>
      </c>
      <c r="AD1485" s="26">
        <v>1</v>
      </c>
      <c r="AE1485" s="26">
        <v>1</v>
      </c>
      <c r="AF1485" s="26">
        <v>1</v>
      </c>
      <c r="AG1485" s="26">
        <v>0.83817427385892096</v>
      </c>
      <c r="AH1485" s="28">
        <v>0.92</v>
      </c>
      <c r="AI1485" s="26">
        <v>0.90720858895705503</v>
      </c>
      <c r="AJ1485" s="26">
        <v>0.92844470727380202</v>
      </c>
      <c r="AK1485" s="26">
        <v>0.95555555555555605</v>
      </c>
      <c r="AL1485" s="26">
        <v>0.93823508189624105</v>
      </c>
      <c r="AM1485" s="25">
        <v>0.99</v>
      </c>
      <c r="AN1485" s="30">
        <v>1</v>
      </c>
      <c r="AO1485" s="30">
        <v>1</v>
      </c>
      <c r="AP1485" s="30">
        <v>1</v>
      </c>
      <c r="AQ1485" s="30">
        <v>1</v>
      </c>
      <c r="AR1485" s="50">
        <v>0.110069253262963</v>
      </c>
      <c r="AS1485" s="34">
        <v>0</v>
      </c>
      <c r="AT1485" s="34">
        <v>0.14285714285714299</v>
      </c>
      <c r="AU1485" s="34">
        <v>0</v>
      </c>
      <c r="AV1485" s="34">
        <v>4.7619047619047603E-2</v>
      </c>
      <c r="AW1485" s="10"/>
      <c r="AX1485" s="8"/>
    </row>
    <row r="1486" spans="1:50">
      <c r="A1486" s="7"/>
      <c r="B1486" s="10"/>
      <c r="C1486" s="45" t="s">
        <v>1468</v>
      </c>
      <c r="D1486" s="23" t="s">
        <v>27</v>
      </c>
      <c r="E1486" s="61" t="s">
        <v>1530</v>
      </c>
      <c r="F1486" s="61" t="s">
        <v>1530</v>
      </c>
      <c r="G1486" s="61" t="s">
        <v>1530</v>
      </c>
      <c r="H1486" s="61" t="s">
        <v>1530</v>
      </c>
      <c r="I1486" s="25">
        <v>0.9</v>
      </c>
      <c r="J1486" s="26">
        <v>0.5</v>
      </c>
      <c r="K1486" s="26">
        <v>0.4</v>
      </c>
      <c r="L1486" s="27">
        <v>1</v>
      </c>
      <c r="M1486" s="26">
        <v>0.34482758620689702</v>
      </c>
      <c r="N1486" s="28">
        <v>0.9</v>
      </c>
      <c r="O1486" s="26">
        <v>0</v>
      </c>
      <c r="P1486" s="26">
        <v>1</v>
      </c>
      <c r="Q1486" s="26">
        <v>0.85</v>
      </c>
      <c r="R1486" s="26">
        <v>0.67123287671232901</v>
      </c>
      <c r="S1486" s="28">
        <v>0.9</v>
      </c>
      <c r="T1486" s="26">
        <v>0</v>
      </c>
      <c r="U1486" s="26">
        <v>0.875</v>
      </c>
      <c r="V1486" s="26">
        <v>0.8</v>
      </c>
      <c r="W1486" s="26">
        <v>0.35616438356164398</v>
      </c>
      <c r="X1486" s="28">
        <v>0.92</v>
      </c>
      <c r="Y1486" s="28">
        <v>0</v>
      </c>
      <c r="Z1486" s="28">
        <v>0</v>
      </c>
      <c r="AA1486" s="28">
        <v>0</v>
      </c>
      <c r="AB1486" s="28">
        <v>0</v>
      </c>
      <c r="AC1486" s="28">
        <v>0.92</v>
      </c>
      <c r="AD1486" s="26">
        <v>0</v>
      </c>
      <c r="AE1486" s="26">
        <v>0</v>
      </c>
      <c r="AF1486" s="26">
        <v>1</v>
      </c>
      <c r="AG1486" s="26">
        <v>0.66666666666666696</v>
      </c>
      <c r="AH1486" s="28">
        <v>0.92</v>
      </c>
      <c r="AI1486" s="26">
        <v>0</v>
      </c>
      <c r="AJ1486" s="26">
        <v>0.875</v>
      </c>
      <c r="AK1486" s="26">
        <v>0.8</v>
      </c>
      <c r="AL1486" s="26">
        <v>0.38356164383561597</v>
      </c>
      <c r="AM1486" s="25">
        <v>0.99</v>
      </c>
      <c r="AN1486" s="30">
        <v>0</v>
      </c>
      <c r="AO1486" s="30">
        <v>0</v>
      </c>
      <c r="AP1486" s="30">
        <v>0</v>
      </c>
      <c r="AQ1486" s="30">
        <v>0</v>
      </c>
      <c r="AR1486" s="50">
        <v>0.110069253262963</v>
      </c>
      <c r="AS1486" s="34">
        <v>3.4883720930232599E-2</v>
      </c>
      <c r="AT1486" s="34">
        <v>3.2258064516128997E-2</v>
      </c>
      <c r="AU1486" s="34">
        <v>0</v>
      </c>
      <c r="AV1486" s="34">
        <v>2.2499999999999999E-2</v>
      </c>
      <c r="AW1486" s="10"/>
      <c r="AX1486" s="8"/>
    </row>
    <row r="1487" spans="1:50">
      <c r="A1487" s="7"/>
      <c r="B1487" s="10"/>
      <c r="C1487" s="45" t="s">
        <v>1468</v>
      </c>
      <c r="D1487" s="23" t="s">
        <v>27</v>
      </c>
      <c r="E1487" s="61" t="s">
        <v>1531</v>
      </c>
      <c r="F1487" s="61" t="s">
        <v>1531</v>
      </c>
      <c r="G1487" s="61" t="s">
        <v>1531</v>
      </c>
      <c r="H1487" s="61" t="s">
        <v>1531</v>
      </c>
      <c r="I1487" s="25">
        <v>0.9</v>
      </c>
      <c r="J1487" s="26">
        <v>0</v>
      </c>
      <c r="K1487" s="26">
        <v>0</v>
      </c>
      <c r="L1487" s="27">
        <v>0</v>
      </c>
      <c r="M1487" s="26">
        <v>0</v>
      </c>
      <c r="N1487" s="28">
        <v>0.9</v>
      </c>
      <c r="O1487" s="26">
        <v>0</v>
      </c>
      <c r="P1487" s="26">
        <v>0</v>
      </c>
      <c r="Q1487" s="26">
        <v>0</v>
      </c>
      <c r="R1487" s="26">
        <v>0</v>
      </c>
      <c r="S1487" s="28">
        <v>0.9</v>
      </c>
      <c r="T1487" s="26">
        <v>0</v>
      </c>
      <c r="U1487" s="26">
        <v>0</v>
      </c>
      <c r="V1487" s="26">
        <v>0</v>
      </c>
      <c r="W1487" s="26">
        <v>0</v>
      </c>
      <c r="X1487" s="28">
        <v>0.92</v>
      </c>
      <c r="Y1487" s="28">
        <v>0</v>
      </c>
      <c r="Z1487" s="28">
        <v>0</v>
      </c>
      <c r="AA1487" s="28">
        <v>0</v>
      </c>
      <c r="AB1487" s="28">
        <v>0</v>
      </c>
      <c r="AC1487" s="28">
        <v>0.92</v>
      </c>
      <c r="AD1487" s="26">
        <v>1</v>
      </c>
      <c r="AE1487" s="26">
        <v>1</v>
      </c>
      <c r="AF1487" s="26">
        <v>0.98989898989898994</v>
      </c>
      <c r="AG1487" s="26">
        <v>0.91596638655462204</v>
      </c>
      <c r="AH1487" s="28">
        <v>0.92</v>
      </c>
      <c r="AI1487" s="26">
        <v>0</v>
      </c>
      <c r="AJ1487" s="26">
        <v>0</v>
      </c>
      <c r="AK1487" s="26">
        <v>0</v>
      </c>
      <c r="AL1487" s="26">
        <v>0</v>
      </c>
      <c r="AM1487" s="25">
        <v>0.99</v>
      </c>
      <c r="AN1487" s="30">
        <v>1</v>
      </c>
      <c r="AO1487" s="30">
        <v>1</v>
      </c>
      <c r="AP1487" s="30">
        <v>1</v>
      </c>
      <c r="AQ1487" s="30">
        <v>1</v>
      </c>
      <c r="AR1487" s="50">
        <v>0.110069253262963</v>
      </c>
      <c r="AS1487" s="34">
        <v>0</v>
      </c>
      <c r="AT1487" s="34">
        <v>0</v>
      </c>
      <c r="AU1487" s="34">
        <v>0</v>
      </c>
      <c r="AV1487" s="34">
        <v>0</v>
      </c>
      <c r="AW1487" s="10"/>
      <c r="AX1487" s="8"/>
    </row>
    <row r="1488" spans="1:50">
      <c r="A1488" s="7"/>
      <c r="B1488" s="10"/>
      <c r="C1488" s="45" t="s">
        <v>1468</v>
      </c>
      <c r="D1488" s="23" t="s">
        <v>27</v>
      </c>
      <c r="E1488" s="61" t="s">
        <v>1532</v>
      </c>
      <c r="F1488" s="61" t="s">
        <v>1532</v>
      </c>
      <c r="G1488" s="61" t="s">
        <v>1532</v>
      </c>
      <c r="H1488" s="61" t="s">
        <v>1532</v>
      </c>
      <c r="I1488" s="25">
        <v>0.9</v>
      </c>
      <c r="J1488" s="26">
        <v>0.65517241379310298</v>
      </c>
      <c r="K1488" s="26">
        <v>0.6</v>
      </c>
      <c r="L1488" s="27">
        <v>0.65517241379310298</v>
      </c>
      <c r="M1488" s="26">
        <v>0.72254335260115599</v>
      </c>
      <c r="N1488" s="28">
        <v>0.9</v>
      </c>
      <c r="O1488" s="26">
        <v>0.92978003384094798</v>
      </c>
      <c r="P1488" s="26">
        <v>0.75640394088669904</v>
      </c>
      <c r="Q1488" s="26">
        <v>0.84437919463087296</v>
      </c>
      <c r="R1488" s="26">
        <v>0.86554907402163495</v>
      </c>
      <c r="S1488" s="28">
        <v>0.9</v>
      </c>
      <c r="T1488" s="26">
        <v>0.72673434856176</v>
      </c>
      <c r="U1488" s="26">
        <v>0.587192118226601</v>
      </c>
      <c r="V1488" s="26">
        <v>0.67596476510067105</v>
      </c>
      <c r="W1488" s="26">
        <v>0.68839553718072199</v>
      </c>
      <c r="X1488" s="28">
        <v>0.92</v>
      </c>
      <c r="Y1488" s="28">
        <v>0</v>
      </c>
      <c r="Z1488" s="28">
        <v>0</v>
      </c>
      <c r="AA1488" s="28">
        <v>0</v>
      </c>
      <c r="AB1488" s="28">
        <v>1</v>
      </c>
      <c r="AC1488" s="28">
        <v>0.92</v>
      </c>
      <c r="AD1488" s="26">
        <v>0.94736842105263197</v>
      </c>
      <c r="AE1488" s="26">
        <v>0.62790697674418605</v>
      </c>
      <c r="AF1488" s="26">
        <v>0.75</v>
      </c>
      <c r="AG1488" s="26">
        <v>0.72340425531914898</v>
      </c>
      <c r="AH1488" s="28">
        <v>0.92</v>
      </c>
      <c r="AI1488" s="26">
        <v>0.82402707275803699</v>
      </c>
      <c r="AJ1488" s="26">
        <v>0.77364532019704402</v>
      </c>
      <c r="AK1488" s="26">
        <v>0.82739093959731502</v>
      </c>
      <c r="AL1488" s="26">
        <v>0.84046890927624895</v>
      </c>
      <c r="AM1488" s="25">
        <v>0.99</v>
      </c>
      <c r="AN1488" s="30">
        <v>1</v>
      </c>
      <c r="AO1488" s="30">
        <v>1</v>
      </c>
      <c r="AP1488" s="30">
        <v>1</v>
      </c>
      <c r="AQ1488" s="30">
        <v>1</v>
      </c>
      <c r="AR1488" s="50">
        <v>0.110069253262963</v>
      </c>
      <c r="AS1488" s="34">
        <v>0.108108108108108</v>
      </c>
      <c r="AT1488" s="34">
        <v>0.115384615384615</v>
      </c>
      <c r="AU1488" s="34">
        <v>8.3333333333333301E-2</v>
      </c>
      <c r="AV1488" s="34">
        <v>8.8235294117647106E-2</v>
      </c>
      <c r="AW1488" s="10"/>
      <c r="AX1488" s="8"/>
    </row>
    <row r="1489" spans="1:50">
      <c r="A1489" s="7"/>
      <c r="B1489" s="10"/>
      <c r="C1489" s="45" t="s">
        <v>1468</v>
      </c>
      <c r="D1489" s="23" t="s">
        <v>27</v>
      </c>
      <c r="E1489" s="61" t="s">
        <v>1533</v>
      </c>
      <c r="F1489" s="61" t="s">
        <v>1533</v>
      </c>
      <c r="G1489" s="61" t="s">
        <v>1533</v>
      </c>
      <c r="H1489" s="61" t="s">
        <v>1533</v>
      </c>
      <c r="I1489" s="25">
        <v>0.9</v>
      </c>
      <c r="J1489" s="26">
        <v>1</v>
      </c>
      <c r="K1489" s="26">
        <v>1</v>
      </c>
      <c r="L1489" s="27">
        <v>1</v>
      </c>
      <c r="M1489" s="26">
        <v>0.99358974358974395</v>
      </c>
      <c r="N1489" s="28">
        <v>0.9</v>
      </c>
      <c r="O1489" s="26">
        <v>0.9812734082397</v>
      </c>
      <c r="P1489" s="26">
        <v>0.97201017811704804</v>
      </c>
      <c r="Q1489" s="26">
        <v>0.967040673211781</v>
      </c>
      <c r="R1489" s="26">
        <v>0.96699669966996704</v>
      </c>
      <c r="S1489" s="28">
        <v>0.9</v>
      </c>
      <c r="T1489" s="26">
        <v>0.72471910112359506</v>
      </c>
      <c r="U1489" s="26">
        <v>0.74045801526717603</v>
      </c>
      <c r="V1489" s="26">
        <v>0.73702664796633899</v>
      </c>
      <c r="W1489" s="26">
        <v>0.70893627824320904</v>
      </c>
      <c r="X1489" s="28">
        <v>0.92</v>
      </c>
      <c r="Y1489" s="28">
        <v>0.86890951276102102</v>
      </c>
      <c r="Z1489" s="28">
        <v>0.890625</v>
      </c>
      <c r="AA1489" s="28">
        <v>0.87948207171314696</v>
      </c>
      <c r="AB1489" s="28">
        <v>0.85307903668983398</v>
      </c>
      <c r="AC1489" s="28">
        <v>0.92</v>
      </c>
      <c r="AD1489" s="26">
        <v>0.73076923076923095</v>
      </c>
      <c r="AE1489" s="26">
        <v>0.48051948051948101</v>
      </c>
      <c r="AF1489" s="26">
        <v>0.13043478260869601</v>
      </c>
      <c r="AG1489" s="26">
        <v>0.32578397212543603</v>
      </c>
      <c r="AH1489" s="28">
        <v>0.92</v>
      </c>
      <c r="AI1489" s="26">
        <v>0.88467048710601703</v>
      </c>
      <c r="AJ1489" s="26">
        <v>0.91168091168091203</v>
      </c>
      <c r="AK1489" s="26">
        <v>0.91522633744855997</v>
      </c>
      <c r="AL1489" s="26">
        <v>0.88944187699964405</v>
      </c>
      <c r="AM1489" s="25">
        <v>0.99</v>
      </c>
      <c r="AN1489" s="30">
        <v>1</v>
      </c>
      <c r="AO1489" s="30">
        <v>1</v>
      </c>
      <c r="AP1489" s="30">
        <v>1</v>
      </c>
      <c r="AQ1489" s="30">
        <v>1</v>
      </c>
      <c r="AR1489" s="50">
        <v>0.110069253262963</v>
      </c>
      <c r="AS1489" s="34">
        <v>9.0909090909090898E-2</v>
      </c>
      <c r="AT1489" s="34">
        <v>0.25</v>
      </c>
      <c r="AU1489" s="34">
        <v>9.0909090909090898E-2</v>
      </c>
      <c r="AV1489" s="34">
        <v>9.3333333333333296E-2</v>
      </c>
      <c r="AW1489" s="10"/>
      <c r="AX1489" s="8"/>
    </row>
    <row r="1490" spans="1:50">
      <c r="A1490" s="7"/>
      <c r="B1490" s="10"/>
      <c r="C1490" s="45" t="s">
        <v>1468</v>
      </c>
      <c r="D1490" s="23" t="s">
        <v>27</v>
      </c>
      <c r="E1490" s="61" t="s">
        <v>1534</v>
      </c>
      <c r="F1490" s="61" t="s">
        <v>1534</v>
      </c>
      <c r="G1490" s="61" t="s">
        <v>1534</v>
      </c>
      <c r="H1490" s="61" t="s">
        <v>1534</v>
      </c>
      <c r="I1490" s="25">
        <v>0.9</v>
      </c>
      <c r="J1490" s="26">
        <v>1</v>
      </c>
      <c r="K1490" s="26">
        <v>1</v>
      </c>
      <c r="L1490" s="27">
        <v>1</v>
      </c>
      <c r="M1490" s="26">
        <v>0.76923076923076905</v>
      </c>
      <c r="N1490" s="28">
        <v>0.9</v>
      </c>
      <c r="O1490" s="26">
        <v>0</v>
      </c>
      <c r="P1490" s="26">
        <v>0.5</v>
      </c>
      <c r="Q1490" s="26">
        <v>0.66666666666666696</v>
      </c>
      <c r="R1490" s="26">
        <v>0.28571428571428598</v>
      </c>
      <c r="S1490" s="28">
        <v>0.9</v>
      </c>
      <c r="T1490" s="26">
        <v>0</v>
      </c>
      <c r="U1490" s="26">
        <v>0.25</v>
      </c>
      <c r="V1490" s="26">
        <v>0.33333333333333298</v>
      </c>
      <c r="W1490" s="26">
        <v>0.14285714285714299</v>
      </c>
      <c r="X1490" s="28">
        <v>0.92</v>
      </c>
      <c r="Y1490" s="28">
        <v>0</v>
      </c>
      <c r="Z1490" s="28">
        <v>0</v>
      </c>
      <c r="AA1490" s="28">
        <v>0</v>
      </c>
      <c r="AB1490" s="28">
        <v>0</v>
      </c>
      <c r="AC1490" s="28">
        <v>0.92</v>
      </c>
      <c r="AD1490" s="26">
        <v>0</v>
      </c>
      <c r="AE1490" s="26">
        <v>0</v>
      </c>
      <c r="AF1490" s="26">
        <v>0</v>
      </c>
      <c r="AG1490" s="26">
        <v>0.6</v>
      </c>
      <c r="AH1490" s="28">
        <v>0.92</v>
      </c>
      <c r="AI1490" s="26">
        <v>0.86979166666666696</v>
      </c>
      <c r="AJ1490" s="26">
        <v>0.70588235294117696</v>
      </c>
      <c r="AK1490" s="26">
        <v>0.83333333333333304</v>
      </c>
      <c r="AL1490" s="26">
        <v>0.80361278369615596</v>
      </c>
      <c r="AM1490" s="25">
        <v>0.99</v>
      </c>
      <c r="AN1490" s="30">
        <v>0</v>
      </c>
      <c r="AO1490" s="30">
        <v>0</v>
      </c>
      <c r="AP1490" s="30">
        <v>0</v>
      </c>
      <c r="AQ1490" s="30">
        <v>0</v>
      </c>
      <c r="AR1490" s="50">
        <v>0.110069253262963</v>
      </c>
      <c r="AS1490" s="34">
        <v>7.4074074074074103E-3</v>
      </c>
      <c r="AT1490" s="34">
        <v>0.113122171945701</v>
      </c>
      <c r="AU1490" s="34">
        <v>0</v>
      </c>
      <c r="AV1490" s="34">
        <v>5.35117056856187E-2</v>
      </c>
      <c r="AW1490" s="10"/>
      <c r="AX1490" s="8"/>
    </row>
    <row r="1491" spans="1:50">
      <c r="A1491" s="7"/>
      <c r="B1491" s="10"/>
      <c r="C1491" s="45" t="s">
        <v>1468</v>
      </c>
      <c r="D1491" s="23" t="s">
        <v>27</v>
      </c>
      <c r="E1491" s="61" t="s">
        <v>1535</v>
      </c>
      <c r="F1491" s="61" t="s">
        <v>1535</v>
      </c>
      <c r="G1491" s="61" t="s">
        <v>1535</v>
      </c>
      <c r="H1491" s="61" t="s">
        <v>1535</v>
      </c>
      <c r="I1491" s="25">
        <v>0.9</v>
      </c>
      <c r="J1491" s="26">
        <v>1</v>
      </c>
      <c r="K1491" s="26">
        <v>0.92857142857142905</v>
      </c>
      <c r="L1491" s="27">
        <v>1</v>
      </c>
      <c r="M1491" s="26">
        <v>0.91262135922330101</v>
      </c>
      <c r="N1491" s="28">
        <v>0.9</v>
      </c>
      <c r="O1491" s="26">
        <v>0</v>
      </c>
      <c r="P1491" s="26">
        <v>0</v>
      </c>
      <c r="Q1491" s="26">
        <v>0</v>
      </c>
      <c r="R1491" s="26">
        <v>0</v>
      </c>
      <c r="S1491" s="28">
        <v>0.9</v>
      </c>
      <c r="T1491" s="26">
        <v>0</v>
      </c>
      <c r="U1491" s="26">
        <v>0</v>
      </c>
      <c r="V1491" s="26">
        <v>0</v>
      </c>
      <c r="W1491" s="26">
        <v>0</v>
      </c>
      <c r="X1491" s="28">
        <v>0.92</v>
      </c>
      <c r="Y1491" s="28">
        <v>0</v>
      </c>
      <c r="Z1491" s="28">
        <v>0</v>
      </c>
      <c r="AA1491" s="28">
        <v>0</v>
      </c>
      <c r="AB1491" s="28">
        <v>0</v>
      </c>
      <c r="AC1491" s="28">
        <v>0.92</v>
      </c>
      <c r="AD1491" s="26">
        <v>0.16666666666666699</v>
      </c>
      <c r="AE1491" s="26">
        <v>0.66666666666666696</v>
      </c>
      <c r="AF1491" s="26">
        <v>0.91666666666666696</v>
      </c>
      <c r="AG1491" s="26">
        <v>0.75925925925925897</v>
      </c>
      <c r="AH1491" s="28">
        <v>0.92</v>
      </c>
      <c r="AI1491" s="26">
        <v>0.75477707006369399</v>
      </c>
      <c r="AJ1491" s="26">
        <v>0.88101265822784802</v>
      </c>
      <c r="AK1491" s="26">
        <v>0.87211740041928698</v>
      </c>
      <c r="AL1491" s="26">
        <v>0.87755395683453197</v>
      </c>
      <c r="AM1491" s="25">
        <v>0.99</v>
      </c>
      <c r="AN1491" s="30">
        <v>1</v>
      </c>
      <c r="AO1491" s="30">
        <v>1</v>
      </c>
      <c r="AP1491" s="30">
        <v>1</v>
      </c>
      <c r="AQ1491" s="30">
        <v>1</v>
      </c>
      <c r="AR1491" s="50">
        <v>0.110069253262963</v>
      </c>
      <c r="AS1491" s="34">
        <v>5.0505050505050497E-2</v>
      </c>
      <c r="AT1491" s="34">
        <v>1.2307692307692299</v>
      </c>
      <c r="AU1491" s="34">
        <v>0.266666666666667</v>
      </c>
      <c r="AV1491" s="34">
        <v>0.17142857142857101</v>
      </c>
      <c r="AW1491" s="10"/>
      <c r="AX1491" s="8"/>
    </row>
    <row r="1492" spans="1:50">
      <c r="A1492" s="7"/>
      <c r="B1492" s="10"/>
      <c r="C1492" s="45" t="s">
        <v>1468</v>
      </c>
      <c r="D1492" s="23" t="s">
        <v>27</v>
      </c>
      <c r="E1492" s="61" t="s">
        <v>1536</v>
      </c>
      <c r="F1492" s="61" t="s">
        <v>1536</v>
      </c>
      <c r="G1492" s="61" t="s">
        <v>1536</v>
      </c>
      <c r="H1492" s="61" t="s">
        <v>1536</v>
      </c>
      <c r="I1492" s="25">
        <v>0.9</v>
      </c>
      <c r="J1492" s="26">
        <v>1</v>
      </c>
      <c r="K1492" s="26">
        <v>0.92307692307692302</v>
      </c>
      <c r="L1492" s="27">
        <v>0.91666666666666696</v>
      </c>
      <c r="M1492" s="26">
        <v>0.891891891891892</v>
      </c>
      <c r="N1492" s="28">
        <v>0.9</v>
      </c>
      <c r="O1492" s="26">
        <v>0.77395577395577397</v>
      </c>
      <c r="P1492" s="26">
        <v>0.352792944141117</v>
      </c>
      <c r="Q1492" s="26">
        <v>0.36126224156692099</v>
      </c>
      <c r="R1492" s="26">
        <v>0.43168370091447</v>
      </c>
      <c r="S1492" s="28">
        <v>0.9</v>
      </c>
      <c r="T1492" s="26">
        <v>0.57411957411957404</v>
      </c>
      <c r="U1492" s="26">
        <v>0.31499370012599698</v>
      </c>
      <c r="V1492" s="26">
        <v>0.32027566195139601</v>
      </c>
      <c r="W1492" s="26">
        <v>0.364577729962345</v>
      </c>
      <c r="X1492" s="28">
        <v>0.92</v>
      </c>
      <c r="Y1492" s="28">
        <v>0</v>
      </c>
      <c r="Z1492" s="28">
        <v>0</v>
      </c>
      <c r="AA1492" s="28">
        <v>0</v>
      </c>
      <c r="AB1492" s="28">
        <v>0</v>
      </c>
      <c r="AC1492" s="28">
        <v>0.92</v>
      </c>
      <c r="AD1492" s="26">
        <v>0</v>
      </c>
      <c r="AE1492" s="26">
        <v>0</v>
      </c>
      <c r="AF1492" s="26">
        <v>0.1875</v>
      </c>
      <c r="AG1492" s="26">
        <v>0.381818181818182</v>
      </c>
      <c r="AH1492" s="28">
        <v>0.92</v>
      </c>
      <c r="AI1492" s="26">
        <v>0.70925470925470901</v>
      </c>
      <c r="AJ1492" s="26">
        <v>0.49643007139857198</v>
      </c>
      <c r="AK1492" s="26">
        <v>0.41712005803409502</v>
      </c>
      <c r="AL1492" s="26">
        <v>0.49260355029585801</v>
      </c>
      <c r="AM1492" s="25">
        <v>0.99</v>
      </c>
      <c r="AN1492" s="30">
        <v>1</v>
      </c>
      <c r="AO1492" s="30">
        <v>1</v>
      </c>
      <c r="AP1492" s="30">
        <v>1</v>
      </c>
      <c r="AQ1492" s="30">
        <v>1</v>
      </c>
      <c r="AR1492" s="50">
        <v>0.110069253262963</v>
      </c>
      <c r="AS1492" s="34">
        <v>0.60563380281690105</v>
      </c>
      <c r="AT1492" s="34">
        <v>9.6774193548387094E-2</v>
      </c>
      <c r="AU1492" s="34">
        <v>4.4303797468354403E-2</v>
      </c>
      <c r="AV1492" s="34">
        <v>0.13643926788685501</v>
      </c>
      <c r="AW1492" s="10"/>
      <c r="AX1492" s="8"/>
    </row>
    <row r="1493" spans="1:50">
      <c r="A1493" s="7"/>
      <c r="B1493" s="10"/>
      <c r="C1493" s="45" t="s">
        <v>1468</v>
      </c>
      <c r="D1493" s="23" t="s">
        <v>27</v>
      </c>
      <c r="E1493" s="61" t="s">
        <v>1537</v>
      </c>
      <c r="F1493" s="61" t="s">
        <v>1537</v>
      </c>
      <c r="G1493" s="61" t="s">
        <v>1537</v>
      </c>
      <c r="H1493" s="61" t="s">
        <v>1537</v>
      </c>
      <c r="I1493" s="25">
        <v>0.9</v>
      </c>
      <c r="J1493" s="26">
        <v>0</v>
      </c>
      <c r="K1493" s="26">
        <v>0</v>
      </c>
      <c r="L1493" s="27">
        <v>0</v>
      </c>
      <c r="M1493" s="26">
        <v>0</v>
      </c>
      <c r="N1493" s="28">
        <v>0.9</v>
      </c>
      <c r="O1493" s="26">
        <v>0</v>
      </c>
      <c r="P1493" s="26">
        <v>0</v>
      </c>
      <c r="Q1493" s="26">
        <v>0</v>
      </c>
      <c r="R1493" s="26">
        <v>0</v>
      </c>
      <c r="S1493" s="28">
        <v>0.9</v>
      </c>
      <c r="T1493" s="26">
        <v>0</v>
      </c>
      <c r="U1493" s="26">
        <v>0</v>
      </c>
      <c r="V1493" s="26">
        <v>0</v>
      </c>
      <c r="W1493" s="26">
        <v>0</v>
      </c>
      <c r="X1493" s="28">
        <v>0.92</v>
      </c>
      <c r="Y1493" s="28">
        <v>0</v>
      </c>
      <c r="Z1493" s="28">
        <v>0</v>
      </c>
      <c r="AA1493" s="28">
        <v>0</v>
      </c>
      <c r="AB1493" s="28">
        <v>0</v>
      </c>
      <c r="AC1493" s="28">
        <v>0.92</v>
      </c>
      <c r="AD1493" s="26">
        <v>0.99019607843137303</v>
      </c>
      <c r="AE1493" s="26">
        <v>0.95031055900621098</v>
      </c>
      <c r="AF1493" s="26">
        <v>0.105058365758755</v>
      </c>
      <c r="AG1493" s="26">
        <v>0.77880962431405698</v>
      </c>
      <c r="AH1493" s="28">
        <v>0.92</v>
      </c>
      <c r="AI1493" s="26">
        <v>1</v>
      </c>
      <c r="AJ1493" s="26">
        <v>1</v>
      </c>
      <c r="AK1493" s="26">
        <v>0</v>
      </c>
      <c r="AL1493" s="26">
        <v>1</v>
      </c>
      <c r="AM1493" s="25">
        <v>0.99</v>
      </c>
      <c r="AN1493" s="30">
        <v>1</v>
      </c>
      <c r="AO1493" s="30">
        <v>1</v>
      </c>
      <c r="AP1493" s="30">
        <v>1</v>
      </c>
      <c r="AQ1493" s="30">
        <v>1</v>
      </c>
      <c r="AR1493" s="50">
        <v>0.110069253262963</v>
      </c>
      <c r="AS1493" s="34">
        <v>0</v>
      </c>
      <c r="AT1493" s="34">
        <v>0</v>
      </c>
      <c r="AU1493" s="34">
        <v>0</v>
      </c>
      <c r="AV1493" s="34">
        <v>0</v>
      </c>
      <c r="AW1493" s="10"/>
      <c r="AX1493" s="8"/>
    </row>
    <row r="1494" spans="1:50">
      <c r="A1494" s="7"/>
      <c r="B1494" s="10"/>
      <c r="C1494" s="45" t="s">
        <v>1468</v>
      </c>
      <c r="D1494" s="23" t="s">
        <v>27</v>
      </c>
      <c r="E1494" s="61" t="s">
        <v>1538</v>
      </c>
      <c r="F1494" s="61" t="s">
        <v>1538</v>
      </c>
      <c r="G1494" s="61" t="s">
        <v>1538</v>
      </c>
      <c r="H1494" s="61" t="s">
        <v>1538</v>
      </c>
      <c r="I1494" s="25">
        <v>0.9</v>
      </c>
      <c r="J1494" s="26">
        <v>0.69230769230769196</v>
      </c>
      <c r="K1494" s="26">
        <v>0.44827586206896602</v>
      </c>
      <c r="L1494" s="27">
        <v>0.61290322580645196</v>
      </c>
      <c r="M1494" s="26">
        <v>0.39644970414201203</v>
      </c>
      <c r="N1494" s="28">
        <v>0.9</v>
      </c>
      <c r="O1494" s="26">
        <v>0.951241950321987</v>
      </c>
      <c r="P1494" s="26">
        <v>0.88264750707598505</v>
      </c>
      <c r="Q1494" s="26">
        <v>0.84090102873359396</v>
      </c>
      <c r="R1494" s="26">
        <v>0.82408842061770504</v>
      </c>
      <c r="S1494" s="28">
        <v>0.9</v>
      </c>
      <c r="T1494" s="26">
        <v>0.53909843606255703</v>
      </c>
      <c r="U1494" s="26">
        <v>0.376442412366645</v>
      </c>
      <c r="V1494" s="26">
        <v>0.39819084781837499</v>
      </c>
      <c r="W1494" s="26">
        <v>0.44587336019006302</v>
      </c>
      <c r="X1494" s="28">
        <v>0.92</v>
      </c>
      <c r="Y1494" s="28">
        <v>0</v>
      </c>
      <c r="Z1494" s="28">
        <v>0</v>
      </c>
      <c r="AA1494" s="28">
        <v>0</v>
      </c>
      <c r="AB1494" s="28">
        <v>0</v>
      </c>
      <c r="AC1494" s="28">
        <v>0.92</v>
      </c>
      <c r="AD1494" s="26">
        <v>0</v>
      </c>
      <c r="AE1494" s="26">
        <v>0.95</v>
      </c>
      <c r="AF1494" s="26">
        <v>1</v>
      </c>
      <c r="AG1494" s="26">
        <v>0.96551724137931005</v>
      </c>
      <c r="AH1494" s="28">
        <v>0.92</v>
      </c>
      <c r="AI1494" s="26">
        <v>0.71021159153633895</v>
      </c>
      <c r="AJ1494" s="26">
        <v>0.600043544524276</v>
      </c>
      <c r="AK1494" s="26">
        <v>0.60393756651294805</v>
      </c>
      <c r="AL1494" s="26">
        <v>0.65628550769548599</v>
      </c>
      <c r="AM1494" s="25">
        <v>0.99</v>
      </c>
      <c r="AN1494" s="30">
        <v>1</v>
      </c>
      <c r="AO1494" s="30">
        <v>1</v>
      </c>
      <c r="AP1494" s="30">
        <v>0</v>
      </c>
      <c r="AQ1494" s="30">
        <v>1</v>
      </c>
      <c r="AR1494" s="50">
        <v>0.110069253262963</v>
      </c>
      <c r="AS1494" s="34">
        <v>9.8039215686274495E-2</v>
      </c>
      <c r="AT1494" s="34">
        <v>0.1</v>
      </c>
      <c r="AU1494" s="34">
        <v>0.13888888888888901</v>
      </c>
      <c r="AV1494" s="34">
        <v>0.12554112554112601</v>
      </c>
      <c r="AW1494" s="10"/>
      <c r="AX1494" s="8"/>
    </row>
    <row r="1495" spans="1:50">
      <c r="A1495" s="7"/>
      <c r="B1495" s="10"/>
      <c r="C1495" s="45" t="s">
        <v>1468</v>
      </c>
      <c r="D1495" s="23" t="s">
        <v>27</v>
      </c>
      <c r="E1495" s="61" t="s">
        <v>1539</v>
      </c>
      <c r="F1495" s="61" t="s">
        <v>1539</v>
      </c>
      <c r="G1495" s="61" t="s">
        <v>1539</v>
      </c>
      <c r="H1495" s="61" t="s">
        <v>1539</v>
      </c>
      <c r="I1495" s="25">
        <v>0.9</v>
      </c>
      <c r="J1495" s="26">
        <v>0.931034482758621</v>
      </c>
      <c r="K1495" s="26">
        <v>0.78571428571428603</v>
      </c>
      <c r="L1495" s="27">
        <v>0.85714285714285698</v>
      </c>
      <c r="M1495" s="26">
        <v>0.86585365853658502</v>
      </c>
      <c r="N1495" s="28">
        <v>0.9</v>
      </c>
      <c r="O1495" s="26">
        <v>0</v>
      </c>
      <c r="P1495" s="26">
        <v>0</v>
      </c>
      <c r="Q1495" s="26">
        <v>1</v>
      </c>
      <c r="R1495" s="26">
        <v>0.33333333333333298</v>
      </c>
      <c r="S1495" s="28">
        <v>0.9</v>
      </c>
      <c r="T1495" s="26">
        <v>0</v>
      </c>
      <c r="U1495" s="26">
        <v>0</v>
      </c>
      <c r="V1495" s="26">
        <v>1</v>
      </c>
      <c r="W1495" s="26">
        <v>0.33333333333333298</v>
      </c>
      <c r="X1495" s="28">
        <v>0.92</v>
      </c>
      <c r="Y1495" s="28">
        <v>0</v>
      </c>
      <c r="Z1495" s="28">
        <v>0</v>
      </c>
      <c r="AA1495" s="28">
        <v>0</v>
      </c>
      <c r="AB1495" s="28">
        <v>0</v>
      </c>
      <c r="AC1495" s="28">
        <v>0.92</v>
      </c>
      <c r="AD1495" s="26">
        <v>0</v>
      </c>
      <c r="AE1495" s="26">
        <v>0</v>
      </c>
      <c r="AF1495" s="26">
        <v>0</v>
      </c>
      <c r="AG1495" s="26">
        <v>0</v>
      </c>
      <c r="AH1495" s="28">
        <v>0.92</v>
      </c>
      <c r="AI1495" s="26">
        <v>0.69094993581514796</v>
      </c>
      <c r="AJ1495" s="26">
        <v>0.68448455397431496</v>
      </c>
      <c r="AK1495" s="26">
        <v>0.73088052914427404</v>
      </c>
      <c r="AL1495" s="26">
        <v>0.73856164383561596</v>
      </c>
      <c r="AM1495" s="25">
        <v>0.99</v>
      </c>
      <c r="AN1495" s="30">
        <v>0</v>
      </c>
      <c r="AO1495" s="30">
        <v>0</v>
      </c>
      <c r="AP1495" s="30">
        <v>0</v>
      </c>
      <c r="AQ1495" s="30">
        <v>0</v>
      </c>
      <c r="AR1495" s="50">
        <v>0.110069253262963</v>
      </c>
      <c r="AS1495" s="34">
        <v>0.14583333333333301</v>
      </c>
      <c r="AT1495" s="34">
        <v>0.34090909090909099</v>
      </c>
      <c r="AU1495" s="34">
        <v>0.21153846153846201</v>
      </c>
      <c r="AV1495" s="34">
        <v>0.25</v>
      </c>
      <c r="AW1495" s="10"/>
      <c r="AX1495" s="8"/>
    </row>
    <row r="1496" spans="1:50">
      <c r="A1496" s="7"/>
      <c r="B1496" s="10"/>
      <c r="C1496" s="45" t="s">
        <v>1468</v>
      </c>
      <c r="D1496" s="23" t="s">
        <v>27</v>
      </c>
      <c r="E1496" s="61" t="s">
        <v>1540</v>
      </c>
      <c r="F1496" s="61" t="s">
        <v>1540</v>
      </c>
      <c r="G1496" s="61" t="s">
        <v>1540</v>
      </c>
      <c r="H1496" s="61" t="s">
        <v>1540</v>
      </c>
      <c r="I1496" s="25">
        <v>0.9</v>
      </c>
      <c r="J1496" s="26">
        <v>0.88888888888888895</v>
      </c>
      <c r="K1496" s="26">
        <v>1</v>
      </c>
      <c r="L1496" s="27">
        <v>0.92857142857142905</v>
      </c>
      <c r="M1496" s="26">
        <v>0.94285714285714295</v>
      </c>
      <c r="N1496" s="28">
        <v>0.9</v>
      </c>
      <c r="O1496" s="26">
        <v>0.84615384615384603</v>
      </c>
      <c r="P1496" s="26">
        <v>0.99734660033167499</v>
      </c>
      <c r="Q1496" s="26">
        <v>0.92307692307692302</v>
      </c>
      <c r="R1496" s="26">
        <v>0.99481112494811097</v>
      </c>
      <c r="S1496" s="28">
        <v>0.9</v>
      </c>
      <c r="T1496" s="26">
        <v>0.46153846153846201</v>
      </c>
      <c r="U1496" s="26">
        <v>0.77943615257048104</v>
      </c>
      <c r="V1496" s="26">
        <v>0.92307692307692302</v>
      </c>
      <c r="W1496" s="26">
        <v>0.81506849315068497</v>
      </c>
      <c r="X1496" s="28">
        <v>0.92</v>
      </c>
      <c r="Y1496" s="28">
        <v>0</v>
      </c>
      <c r="Z1496" s="28">
        <v>0</v>
      </c>
      <c r="AA1496" s="28">
        <v>0</v>
      </c>
      <c r="AB1496" s="28">
        <v>0</v>
      </c>
      <c r="AC1496" s="28">
        <v>0.92</v>
      </c>
      <c r="AD1496" s="26">
        <v>0</v>
      </c>
      <c r="AE1496" s="26">
        <v>0</v>
      </c>
      <c r="AF1496" s="26">
        <v>1</v>
      </c>
      <c r="AG1496" s="26">
        <v>0.8</v>
      </c>
      <c r="AH1496" s="28">
        <v>0.92</v>
      </c>
      <c r="AI1496" s="26">
        <v>0.51923076923076905</v>
      </c>
      <c r="AJ1496" s="26">
        <v>0.81366047745358105</v>
      </c>
      <c r="AK1496" s="26">
        <v>0.92307692307692302</v>
      </c>
      <c r="AL1496" s="26">
        <v>0.84360091267371895</v>
      </c>
      <c r="AM1496" s="25">
        <v>0.99</v>
      </c>
      <c r="AN1496" s="30">
        <v>0</v>
      </c>
      <c r="AO1496" s="30">
        <v>0</v>
      </c>
      <c r="AP1496" s="30">
        <v>0</v>
      </c>
      <c r="AQ1496" s="30">
        <v>0</v>
      </c>
      <c r="AR1496" s="50">
        <v>0.110069253262963</v>
      </c>
      <c r="AS1496" s="34">
        <v>0.53846153846153799</v>
      </c>
      <c r="AT1496" s="34">
        <v>0.230769230769231</v>
      </c>
      <c r="AU1496" s="34">
        <v>0.118110236220472</v>
      </c>
      <c r="AV1496" s="34">
        <v>0.112781954887218</v>
      </c>
      <c r="AW1496" s="10"/>
      <c r="AX1496" s="8"/>
    </row>
    <row r="1497" spans="1:50">
      <c r="A1497" s="7"/>
      <c r="B1497" s="10"/>
      <c r="C1497" s="45" t="s">
        <v>1468</v>
      </c>
      <c r="D1497" s="23" t="s">
        <v>27</v>
      </c>
      <c r="E1497" s="61" t="s">
        <v>1541</v>
      </c>
      <c r="F1497" s="61" t="s">
        <v>1541</v>
      </c>
      <c r="G1497" s="61" t="s">
        <v>1541</v>
      </c>
      <c r="H1497" s="61" t="s">
        <v>1541</v>
      </c>
      <c r="I1497" s="25">
        <v>0.9</v>
      </c>
      <c r="J1497" s="26">
        <v>0.625</v>
      </c>
      <c r="K1497" s="26">
        <v>0.61538461538461497</v>
      </c>
      <c r="L1497" s="27">
        <v>0.60714285714285698</v>
      </c>
      <c r="M1497" s="26">
        <v>0.60248447204968902</v>
      </c>
      <c r="N1497" s="28">
        <v>0.9</v>
      </c>
      <c r="O1497" s="26">
        <v>0.70833333333333304</v>
      </c>
      <c r="P1497" s="26">
        <v>0.72350230414746497</v>
      </c>
      <c r="Q1497" s="26">
        <v>0.77795698924731205</v>
      </c>
      <c r="R1497" s="26">
        <v>0.80155758574210001</v>
      </c>
      <c r="S1497" s="28">
        <v>0.9</v>
      </c>
      <c r="T1497" s="26">
        <v>0.57552083333333304</v>
      </c>
      <c r="U1497" s="26">
        <v>0.46292417260159202</v>
      </c>
      <c r="V1497" s="26">
        <v>0.50627240143369201</v>
      </c>
      <c r="W1497" s="26">
        <v>0.55239378962607999</v>
      </c>
      <c r="X1497" s="28">
        <v>0.92</v>
      </c>
      <c r="Y1497" s="28">
        <v>0</v>
      </c>
      <c r="Z1497" s="28">
        <v>0</v>
      </c>
      <c r="AA1497" s="28">
        <v>0</v>
      </c>
      <c r="AB1497" s="28">
        <v>0</v>
      </c>
      <c r="AC1497" s="28">
        <v>0.92</v>
      </c>
      <c r="AD1497" s="26">
        <v>0.27272727272727298</v>
      </c>
      <c r="AE1497" s="26">
        <v>0.76</v>
      </c>
      <c r="AF1497" s="26">
        <v>0.85714285714285698</v>
      </c>
      <c r="AG1497" s="26">
        <v>0.84137931034482805</v>
      </c>
      <c r="AH1497" s="28">
        <v>0.92</v>
      </c>
      <c r="AI1497" s="26">
        <v>0.73697916666666696</v>
      </c>
      <c r="AJ1497" s="26">
        <v>0.67574361122748205</v>
      </c>
      <c r="AK1497" s="26">
        <v>0.69014336917562702</v>
      </c>
      <c r="AL1497" s="26">
        <v>0.73906749201277999</v>
      </c>
      <c r="AM1497" s="25">
        <v>0.99</v>
      </c>
      <c r="AN1497" s="30">
        <v>1</v>
      </c>
      <c r="AO1497" s="30">
        <v>1</v>
      </c>
      <c r="AP1497" s="30">
        <v>1</v>
      </c>
      <c r="AQ1497" s="30">
        <v>1</v>
      </c>
      <c r="AR1497" s="50">
        <v>0.110069253262963</v>
      </c>
      <c r="AS1497" s="34">
        <v>8.1081081081081099E-2</v>
      </c>
      <c r="AT1497" s="34">
        <v>0.08</v>
      </c>
      <c r="AU1497" s="34">
        <v>0.04</v>
      </c>
      <c r="AV1497" s="34">
        <v>0.101796407185629</v>
      </c>
      <c r="AW1497" s="10"/>
      <c r="AX1497" s="8"/>
    </row>
    <row r="1498" spans="1:50">
      <c r="A1498" s="7"/>
      <c r="B1498" s="10"/>
      <c r="C1498" s="45" t="s">
        <v>1468</v>
      </c>
      <c r="D1498" s="23" t="s">
        <v>27</v>
      </c>
      <c r="E1498" s="61" t="s">
        <v>1542</v>
      </c>
      <c r="F1498" s="61" t="s">
        <v>1542</v>
      </c>
      <c r="G1498" s="61" t="s">
        <v>1542</v>
      </c>
      <c r="H1498" s="61" t="s">
        <v>1542</v>
      </c>
      <c r="I1498" s="25">
        <v>0.9</v>
      </c>
      <c r="J1498" s="26">
        <v>0.92857142857142905</v>
      </c>
      <c r="K1498" s="26">
        <v>0.8125</v>
      </c>
      <c r="L1498" s="27">
        <v>1</v>
      </c>
      <c r="M1498" s="26">
        <v>0.71428571428571397</v>
      </c>
      <c r="N1498" s="28">
        <v>0.9</v>
      </c>
      <c r="O1498" s="26">
        <v>0.23529411764705899</v>
      </c>
      <c r="P1498" s="26">
        <v>0</v>
      </c>
      <c r="Q1498" s="26">
        <v>0</v>
      </c>
      <c r="R1498" s="26">
        <v>0.217391304347826</v>
      </c>
      <c r="S1498" s="28">
        <v>0.9</v>
      </c>
      <c r="T1498" s="26">
        <v>0</v>
      </c>
      <c r="U1498" s="26">
        <v>0</v>
      </c>
      <c r="V1498" s="26">
        <v>0</v>
      </c>
      <c r="W1498" s="26">
        <v>0</v>
      </c>
      <c r="X1498" s="28">
        <v>0.92</v>
      </c>
      <c r="Y1498" s="28">
        <v>0</v>
      </c>
      <c r="Z1498" s="28">
        <v>0</v>
      </c>
      <c r="AA1498" s="28">
        <v>0</v>
      </c>
      <c r="AB1498" s="28">
        <v>0</v>
      </c>
      <c r="AC1498" s="28">
        <v>0.92</v>
      </c>
      <c r="AD1498" s="26">
        <v>0</v>
      </c>
      <c r="AE1498" s="26">
        <v>0</v>
      </c>
      <c r="AF1498" s="26">
        <v>1</v>
      </c>
      <c r="AG1498" s="26">
        <v>0.77777777777777801</v>
      </c>
      <c r="AH1498" s="28">
        <v>0.92</v>
      </c>
      <c r="AI1498" s="26">
        <v>0.53395784543325497</v>
      </c>
      <c r="AJ1498" s="26">
        <v>0.43313373253492998</v>
      </c>
      <c r="AK1498" s="26">
        <v>0.39344262295082</v>
      </c>
      <c r="AL1498" s="26">
        <v>0.40536322360953497</v>
      </c>
      <c r="AM1498" s="25">
        <v>0.99</v>
      </c>
      <c r="AN1498" s="30">
        <v>0</v>
      </c>
      <c r="AO1498" s="30">
        <v>0</v>
      </c>
      <c r="AP1498" s="30">
        <v>0</v>
      </c>
      <c r="AQ1498" s="30">
        <v>0</v>
      </c>
      <c r="AR1498" s="50">
        <v>0.110069253262963</v>
      </c>
      <c r="AS1498" s="34">
        <v>5.6603773584905703E-2</v>
      </c>
      <c r="AT1498" s="34">
        <v>8.0357142857142905E-2</v>
      </c>
      <c r="AU1498" s="34">
        <v>2.9850746268656699E-2</v>
      </c>
      <c r="AV1498" s="34">
        <v>5.3691275167785199E-2</v>
      </c>
      <c r="AW1498" s="10"/>
      <c r="AX1498" s="8"/>
    </row>
    <row r="1499" spans="1:50">
      <c r="A1499" s="7"/>
      <c r="B1499" s="10"/>
      <c r="C1499" s="45" t="s">
        <v>1468</v>
      </c>
      <c r="D1499" s="23" t="s">
        <v>27</v>
      </c>
      <c r="E1499" s="61" t="s">
        <v>1543</v>
      </c>
      <c r="F1499" s="61" t="s">
        <v>1543</v>
      </c>
      <c r="G1499" s="61" t="s">
        <v>1543</v>
      </c>
      <c r="H1499" s="61" t="s">
        <v>1543</v>
      </c>
      <c r="I1499" s="25">
        <v>0.9</v>
      </c>
      <c r="J1499" s="26">
        <v>1</v>
      </c>
      <c r="K1499" s="26">
        <v>1</v>
      </c>
      <c r="L1499" s="27">
        <v>1</v>
      </c>
      <c r="M1499" s="26">
        <v>1</v>
      </c>
      <c r="N1499" s="28">
        <v>0.9</v>
      </c>
      <c r="O1499" s="26">
        <v>0</v>
      </c>
      <c r="P1499" s="26">
        <v>0</v>
      </c>
      <c r="Q1499" s="26">
        <v>0</v>
      </c>
      <c r="R1499" s="26">
        <v>0.5</v>
      </c>
      <c r="S1499" s="28">
        <v>0.9</v>
      </c>
      <c r="T1499" s="26">
        <v>0</v>
      </c>
      <c r="U1499" s="26">
        <v>0</v>
      </c>
      <c r="V1499" s="26">
        <v>0</v>
      </c>
      <c r="W1499" s="26">
        <v>0.75</v>
      </c>
      <c r="X1499" s="28">
        <v>0.92</v>
      </c>
      <c r="Y1499" s="28">
        <v>0</v>
      </c>
      <c r="Z1499" s="28">
        <v>1</v>
      </c>
      <c r="AA1499" s="28">
        <v>0</v>
      </c>
      <c r="AB1499" s="28">
        <v>1</v>
      </c>
      <c r="AC1499" s="28">
        <v>0.92</v>
      </c>
      <c r="AD1499" s="26">
        <v>0</v>
      </c>
      <c r="AE1499" s="26">
        <v>0.6</v>
      </c>
      <c r="AF1499" s="26">
        <v>1</v>
      </c>
      <c r="AG1499" s="26">
        <v>0.82758620689655205</v>
      </c>
      <c r="AH1499" s="28">
        <v>0.92</v>
      </c>
      <c r="AI1499" s="26">
        <v>0.45833333333333298</v>
      </c>
      <c r="AJ1499" s="26">
        <v>0.90588235294117603</v>
      </c>
      <c r="AK1499" s="26">
        <v>0.76929902395740901</v>
      </c>
      <c r="AL1499" s="26">
        <v>0.75119110640550601</v>
      </c>
      <c r="AM1499" s="25">
        <v>0.99</v>
      </c>
      <c r="AN1499" s="30">
        <v>1</v>
      </c>
      <c r="AO1499" s="30">
        <v>0</v>
      </c>
      <c r="AP1499" s="30">
        <v>1</v>
      </c>
      <c r="AQ1499" s="30">
        <v>1</v>
      </c>
      <c r="AR1499" s="50">
        <v>0.110069253262963</v>
      </c>
      <c r="AS1499" s="34">
        <v>1.7543859649122799E-2</v>
      </c>
      <c r="AT1499" s="34">
        <v>6.8493150684931503E-2</v>
      </c>
      <c r="AU1499" s="34">
        <v>2.8571428571428598E-2</v>
      </c>
      <c r="AV1499" s="34">
        <v>8.9171974522293002E-2</v>
      </c>
      <c r="AW1499" s="10"/>
      <c r="AX1499" s="8"/>
    </row>
    <row r="1500" spans="1:50">
      <c r="A1500" s="7"/>
      <c r="B1500" s="10"/>
      <c r="C1500" s="45" t="s">
        <v>1468</v>
      </c>
      <c r="D1500" s="23" t="s">
        <v>27</v>
      </c>
      <c r="E1500" s="61" t="s">
        <v>1544</v>
      </c>
      <c r="F1500" s="61" t="s">
        <v>1544</v>
      </c>
      <c r="G1500" s="61" t="s">
        <v>1544</v>
      </c>
      <c r="H1500" s="61" t="s">
        <v>1544</v>
      </c>
      <c r="I1500" s="25">
        <v>0.9</v>
      </c>
      <c r="J1500" s="26">
        <v>0.61538461538461497</v>
      </c>
      <c r="K1500" s="26">
        <v>0.63636363636363602</v>
      </c>
      <c r="L1500" s="27">
        <v>0.5</v>
      </c>
      <c r="M1500" s="26">
        <v>0.73684210526315796</v>
      </c>
      <c r="N1500" s="28">
        <v>0.9</v>
      </c>
      <c r="O1500" s="26">
        <v>1</v>
      </c>
      <c r="P1500" s="26">
        <v>0</v>
      </c>
      <c r="Q1500" s="26">
        <v>0.234848484848485</v>
      </c>
      <c r="R1500" s="26">
        <v>0.68313069908814605</v>
      </c>
      <c r="S1500" s="28">
        <v>0.9</v>
      </c>
      <c r="T1500" s="26">
        <v>0.27586206896551702</v>
      </c>
      <c r="U1500" s="26">
        <v>0</v>
      </c>
      <c r="V1500" s="26">
        <v>0.21969696969697</v>
      </c>
      <c r="W1500" s="26">
        <v>0.48556231003039502</v>
      </c>
      <c r="X1500" s="28">
        <v>0.92</v>
      </c>
      <c r="Y1500" s="28">
        <v>0</v>
      </c>
      <c r="Z1500" s="28">
        <v>0</v>
      </c>
      <c r="AA1500" s="28">
        <v>0</v>
      </c>
      <c r="AB1500" s="28">
        <v>0</v>
      </c>
      <c r="AC1500" s="28">
        <v>0.92</v>
      </c>
      <c r="AD1500" s="26">
        <v>0</v>
      </c>
      <c r="AE1500" s="26">
        <v>0</v>
      </c>
      <c r="AF1500" s="26">
        <v>0</v>
      </c>
      <c r="AG1500" s="26">
        <v>0.5</v>
      </c>
      <c r="AH1500" s="28">
        <v>0.92</v>
      </c>
      <c r="AI1500" s="26">
        <v>0.36206896551724099</v>
      </c>
      <c r="AJ1500" s="26">
        <v>0</v>
      </c>
      <c r="AK1500" s="26">
        <v>0.22727272727272699</v>
      </c>
      <c r="AL1500" s="26">
        <v>0.57180851063829796</v>
      </c>
      <c r="AM1500" s="25">
        <v>0.99</v>
      </c>
      <c r="AN1500" s="30">
        <v>0</v>
      </c>
      <c r="AO1500" s="30">
        <v>0</v>
      </c>
      <c r="AP1500" s="30">
        <v>0</v>
      </c>
      <c r="AQ1500" s="30">
        <v>0</v>
      </c>
      <c r="AR1500" s="50">
        <v>0.110069253262963</v>
      </c>
      <c r="AS1500" s="34">
        <v>1.6666666666666701E-2</v>
      </c>
      <c r="AT1500" s="34">
        <v>1.72413793103448E-2</v>
      </c>
      <c r="AU1500" s="34">
        <v>2</v>
      </c>
      <c r="AV1500" s="34">
        <v>0.29496402877697803</v>
      </c>
      <c r="AW1500" s="10"/>
      <c r="AX1500" s="8"/>
    </row>
    <row r="1501" spans="1:50">
      <c r="A1501" s="7"/>
      <c r="B1501" s="10"/>
      <c r="C1501" s="45" t="s">
        <v>1468</v>
      </c>
      <c r="D1501" s="23" t="s">
        <v>27</v>
      </c>
      <c r="E1501" s="61" t="s">
        <v>1545</v>
      </c>
      <c r="F1501" s="61" t="s">
        <v>1545</v>
      </c>
      <c r="G1501" s="61" t="s">
        <v>1545</v>
      </c>
      <c r="H1501" s="61" t="s">
        <v>1545</v>
      </c>
      <c r="I1501" s="25">
        <v>0.9</v>
      </c>
      <c r="J1501" s="26">
        <v>1</v>
      </c>
      <c r="K1501" s="26">
        <v>1</v>
      </c>
      <c r="L1501" s="27">
        <v>1</v>
      </c>
      <c r="M1501" s="26">
        <v>0.97368421052631604</v>
      </c>
      <c r="N1501" s="28">
        <v>0.9</v>
      </c>
      <c r="O1501" s="26">
        <v>0.98353909465020595</v>
      </c>
      <c r="P1501" s="26">
        <v>1</v>
      </c>
      <c r="Q1501" s="26">
        <v>0.98757763975155299</v>
      </c>
      <c r="R1501" s="26">
        <v>0.99066874027993801</v>
      </c>
      <c r="S1501" s="28">
        <v>0.9</v>
      </c>
      <c r="T1501" s="26">
        <v>0.23045267489711899</v>
      </c>
      <c r="U1501" s="26">
        <v>0</v>
      </c>
      <c r="V1501" s="26">
        <v>9.9378881987577605E-2</v>
      </c>
      <c r="W1501" s="26">
        <v>0.34603421461897399</v>
      </c>
      <c r="X1501" s="28">
        <v>0.92</v>
      </c>
      <c r="Y1501" s="28">
        <v>0</v>
      </c>
      <c r="Z1501" s="28">
        <v>0</v>
      </c>
      <c r="AA1501" s="28">
        <v>0</v>
      </c>
      <c r="AB1501" s="28">
        <v>0</v>
      </c>
      <c r="AC1501" s="28">
        <v>0.92</v>
      </c>
      <c r="AD1501" s="26">
        <v>0</v>
      </c>
      <c r="AE1501" s="26">
        <v>1</v>
      </c>
      <c r="AF1501" s="26">
        <v>0.78571428571428603</v>
      </c>
      <c r="AG1501" s="26">
        <v>0.93023255813953498</v>
      </c>
      <c r="AH1501" s="28">
        <v>0.92</v>
      </c>
      <c r="AI1501" s="26">
        <v>0.35102040816326502</v>
      </c>
      <c r="AJ1501" s="26">
        <v>0</v>
      </c>
      <c r="AK1501" s="26">
        <v>0.111801242236025</v>
      </c>
      <c r="AL1501" s="26">
        <v>0.39659178931061201</v>
      </c>
      <c r="AM1501" s="25">
        <v>0.99</v>
      </c>
      <c r="AN1501" s="30">
        <v>0</v>
      </c>
      <c r="AO1501" s="30">
        <v>0</v>
      </c>
      <c r="AP1501" s="30">
        <v>1</v>
      </c>
      <c r="AQ1501" s="30">
        <v>1</v>
      </c>
      <c r="AR1501" s="50">
        <v>0.110069253262963</v>
      </c>
      <c r="AS1501" s="34">
        <v>8.1481481481481502E-2</v>
      </c>
      <c r="AT1501" s="34">
        <v>2.23463687150838E-2</v>
      </c>
      <c r="AU1501" s="34">
        <v>7.4257425742574296E-2</v>
      </c>
      <c r="AV1501" s="34">
        <v>5.4054054054054099E-2</v>
      </c>
      <c r="AW1501" s="10"/>
      <c r="AX1501" s="8"/>
    </row>
    <row r="1502" spans="1:50">
      <c r="A1502" s="7"/>
      <c r="B1502" s="10"/>
      <c r="C1502" s="45" t="s">
        <v>1468</v>
      </c>
      <c r="D1502" s="23" t="s">
        <v>27</v>
      </c>
      <c r="E1502" s="61" t="s">
        <v>1546</v>
      </c>
      <c r="F1502" s="61" t="s">
        <v>1546</v>
      </c>
      <c r="G1502" s="61" t="s">
        <v>1546</v>
      </c>
      <c r="H1502" s="61" t="s">
        <v>1546</v>
      </c>
      <c r="I1502" s="25">
        <v>0.9</v>
      </c>
      <c r="J1502" s="26">
        <v>0.77777777777777801</v>
      </c>
      <c r="K1502" s="26">
        <v>0.7</v>
      </c>
      <c r="L1502" s="27">
        <v>0.88888888888888895</v>
      </c>
      <c r="M1502" s="26">
        <v>0.844444444444444</v>
      </c>
      <c r="N1502" s="28">
        <v>0.9</v>
      </c>
      <c r="O1502" s="26">
        <v>0</v>
      </c>
      <c r="P1502" s="26">
        <v>0</v>
      </c>
      <c r="Q1502" s="26">
        <v>0</v>
      </c>
      <c r="R1502" s="26">
        <v>0</v>
      </c>
      <c r="S1502" s="28">
        <v>0.9</v>
      </c>
      <c r="T1502" s="26">
        <v>0</v>
      </c>
      <c r="U1502" s="26">
        <v>0</v>
      </c>
      <c r="V1502" s="26">
        <v>0</v>
      </c>
      <c r="W1502" s="26">
        <v>0</v>
      </c>
      <c r="X1502" s="28">
        <v>0.92</v>
      </c>
      <c r="Y1502" s="28">
        <v>0</v>
      </c>
      <c r="Z1502" s="28">
        <v>0</v>
      </c>
      <c r="AA1502" s="28">
        <v>0</v>
      </c>
      <c r="AB1502" s="28">
        <v>1</v>
      </c>
      <c r="AC1502" s="28">
        <v>0.92</v>
      </c>
      <c r="AD1502" s="26">
        <v>0</v>
      </c>
      <c r="AE1502" s="26">
        <v>0</v>
      </c>
      <c r="AF1502" s="26">
        <v>1</v>
      </c>
      <c r="AG1502" s="26">
        <v>0.58695652173913004</v>
      </c>
      <c r="AH1502" s="28">
        <v>0.92</v>
      </c>
      <c r="AI1502" s="26">
        <v>0.89361702127659604</v>
      </c>
      <c r="AJ1502" s="26">
        <v>0.55714285714285705</v>
      </c>
      <c r="AK1502" s="26">
        <v>0.82379862700228801</v>
      </c>
      <c r="AL1502" s="26">
        <v>0.604464597139867</v>
      </c>
      <c r="AM1502" s="25">
        <v>0.99</v>
      </c>
      <c r="AN1502" s="30">
        <v>0</v>
      </c>
      <c r="AO1502" s="30">
        <v>0</v>
      </c>
      <c r="AP1502" s="30">
        <v>0</v>
      </c>
      <c r="AQ1502" s="30">
        <v>0</v>
      </c>
      <c r="AR1502" s="50">
        <v>0.110069253262963</v>
      </c>
      <c r="AS1502" s="34">
        <v>0.31884057971014501</v>
      </c>
      <c r="AT1502" s="34">
        <v>5.60747663551402E-2</v>
      </c>
      <c r="AU1502" s="34">
        <v>4.0983606557376998E-2</v>
      </c>
      <c r="AV1502" s="34">
        <v>0.11011235955056201</v>
      </c>
      <c r="AW1502" s="10"/>
      <c r="AX1502" s="8"/>
    </row>
    <row r="1503" spans="1:50">
      <c r="A1503" s="7"/>
      <c r="B1503" s="10"/>
      <c r="C1503" s="45" t="s">
        <v>1468</v>
      </c>
      <c r="D1503" s="23" t="s">
        <v>27</v>
      </c>
      <c r="E1503" s="61" t="s">
        <v>1547</v>
      </c>
      <c r="F1503" s="61" t="s">
        <v>1547</v>
      </c>
      <c r="G1503" s="61" t="s">
        <v>1547</v>
      </c>
      <c r="H1503" s="61" t="s">
        <v>1547</v>
      </c>
      <c r="I1503" s="25">
        <v>0.9</v>
      </c>
      <c r="J1503" s="26">
        <v>0.875</v>
      </c>
      <c r="K1503" s="26">
        <v>0.75</v>
      </c>
      <c r="L1503" s="27">
        <v>0.86666666666666703</v>
      </c>
      <c r="M1503" s="26">
        <v>0.85869565217391297</v>
      </c>
      <c r="N1503" s="28">
        <v>0.9</v>
      </c>
      <c r="O1503" s="26">
        <v>0</v>
      </c>
      <c r="P1503" s="26">
        <v>0</v>
      </c>
      <c r="Q1503" s="26">
        <v>0</v>
      </c>
      <c r="R1503" s="26">
        <v>0</v>
      </c>
      <c r="S1503" s="28">
        <v>0.9</v>
      </c>
      <c r="T1503" s="26">
        <v>0</v>
      </c>
      <c r="U1503" s="26">
        <v>0</v>
      </c>
      <c r="V1503" s="26">
        <v>0</v>
      </c>
      <c r="W1503" s="26">
        <v>0</v>
      </c>
      <c r="X1503" s="28">
        <v>0.92</v>
      </c>
      <c r="Y1503" s="28">
        <v>0</v>
      </c>
      <c r="Z1503" s="28">
        <v>0</v>
      </c>
      <c r="AA1503" s="28">
        <v>0</v>
      </c>
      <c r="AB1503" s="28">
        <v>0</v>
      </c>
      <c r="AC1503" s="28">
        <v>0.92</v>
      </c>
      <c r="AD1503" s="26">
        <v>0.2</v>
      </c>
      <c r="AE1503" s="26">
        <v>0.75</v>
      </c>
      <c r="AF1503" s="26">
        <v>0</v>
      </c>
      <c r="AG1503" s="26">
        <v>0.434782608695652</v>
      </c>
      <c r="AH1503" s="28">
        <v>0.92</v>
      </c>
      <c r="AI1503" s="26">
        <v>0.54463437796771097</v>
      </c>
      <c r="AJ1503" s="26">
        <v>0.98888888888888904</v>
      </c>
      <c r="AK1503" s="26">
        <v>0.72058823529411797</v>
      </c>
      <c r="AL1503" s="26">
        <v>0.693889541715629</v>
      </c>
      <c r="AM1503" s="25">
        <v>0.99</v>
      </c>
      <c r="AN1503" s="30">
        <v>1</v>
      </c>
      <c r="AO1503" s="30">
        <v>0</v>
      </c>
      <c r="AP1503" s="30">
        <v>1</v>
      </c>
      <c r="AQ1503" s="30">
        <v>1</v>
      </c>
      <c r="AR1503" s="50">
        <v>0.110069253262963</v>
      </c>
      <c r="AS1503" s="34">
        <v>0.157894736842105</v>
      </c>
      <c r="AT1503" s="34">
        <v>0.29166666666666702</v>
      </c>
      <c r="AU1503" s="34">
        <v>0.11111111111111099</v>
      </c>
      <c r="AV1503" s="34">
        <v>0.191176470588235</v>
      </c>
      <c r="AW1503" s="10"/>
      <c r="AX1503" s="8"/>
    </row>
    <row r="1504" spans="1:50">
      <c r="A1504" s="7"/>
      <c r="B1504" s="10"/>
      <c r="C1504" s="45" t="s">
        <v>1468</v>
      </c>
      <c r="D1504" s="23" t="s">
        <v>27</v>
      </c>
      <c r="E1504" s="61" t="s">
        <v>1548</v>
      </c>
      <c r="F1504" s="61" t="s">
        <v>1548</v>
      </c>
      <c r="G1504" s="61" t="s">
        <v>1548</v>
      </c>
      <c r="H1504" s="61" t="s">
        <v>1548</v>
      </c>
      <c r="I1504" s="25">
        <v>0.9</v>
      </c>
      <c r="J1504" s="26">
        <v>0</v>
      </c>
      <c r="K1504" s="26">
        <v>1</v>
      </c>
      <c r="L1504" s="27">
        <v>1</v>
      </c>
      <c r="M1504" s="26">
        <v>0.95454545454545503</v>
      </c>
      <c r="N1504" s="28">
        <v>0.9</v>
      </c>
      <c r="O1504" s="26">
        <v>1</v>
      </c>
      <c r="P1504" s="26">
        <v>1</v>
      </c>
      <c r="Q1504" s="26">
        <v>1</v>
      </c>
      <c r="R1504" s="26">
        <v>0.98297491039426499</v>
      </c>
      <c r="S1504" s="28">
        <v>0.9</v>
      </c>
      <c r="T1504" s="26">
        <v>0.976377952755906</v>
      </c>
      <c r="U1504" s="26">
        <v>0.72727272727272696</v>
      </c>
      <c r="V1504" s="26">
        <v>0.92156862745098</v>
      </c>
      <c r="W1504" s="26">
        <v>0.87903225806451601</v>
      </c>
      <c r="X1504" s="28">
        <v>0.92</v>
      </c>
      <c r="Y1504" s="28">
        <v>0</v>
      </c>
      <c r="Z1504" s="28">
        <v>0</v>
      </c>
      <c r="AA1504" s="28">
        <v>0</v>
      </c>
      <c r="AB1504" s="28">
        <v>0</v>
      </c>
      <c r="AC1504" s="28">
        <v>0.92</v>
      </c>
      <c r="AD1504" s="26">
        <v>0</v>
      </c>
      <c r="AE1504" s="26">
        <v>0</v>
      </c>
      <c r="AF1504" s="26">
        <v>1</v>
      </c>
      <c r="AG1504" s="26">
        <v>0.68965517241379304</v>
      </c>
      <c r="AH1504" s="28">
        <v>0.92</v>
      </c>
      <c r="AI1504" s="26">
        <v>0.98425196850393704</v>
      </c>
      <c r="AJ1504" s="26">
        <v>0.72727272727272696</v>
      </c>
      <c r="AK1504" s="26">
        <v>0.94901960784313699</v>
      </c>
      <c r="AL1504" s="26">
        <v>0.90232974910394304</v>
      </c>
      <c r="AM1504" s="25">
        <v>0.99</v>
      </c>
      <c r="AN1504" s="30">
        <v>0</v>
      </c>
      <c r="AO1504" s="30">
        <v>0</v>
      </c>
      <c r="AP1504" s="30">
        <v>0</v>
      </c>
      <c r="AQ1504" s="30">
        <v>1</v>
      </c>
      <c r="AR1504" s="50">
        <v>0.110069253262963</v>
      </c>
      <c r="AS1504" s="34">
        <v>0</v>
      </c>
      <c r="AT1504" s="34">
        <v>0</v>
      </c>
      <c r="AU1504" s="34">
        <v>0.2</v>
      </c>
      <c r="AV1504" s="34">
        <v>3.7037037037037E-2</v>
      </c>
      <c r="AW1504" s="10"/>
      <c r="AX1504" s="8"/>
    </row>
    <row r="1505" spans="1:50">
      <c r="A1505" s="7"/>
      <c r="B1505" s="10"/>
      <c r="C1505" s="45" t="s">
        <v>1468</v>
      </c>
      <c r="D1505" s="23" t="s">
        <v>27</v>
      </c>
      <c r="E1505" s="61" t="s">
        <v>1549</v>
      </c>
      <c r="F1505" s="61" t="s">
        <v>1549</v>
      </c>
      <c r="G1505" s="61" t="s">
        <v>1549</v>
      </c>
      <c r="H1505" s="61" t="s">
        <v>1549</v>
      </c>
      <c r="I1505" s="25">
        <v>0.9</v>
      </c>
      <c r="J1505" s="26">
        <v>0.57142857142857095</v>
      </c>
      <c r="K1505" s="26">
        <v>0.71428571428571397</v>
      </c>
      <c r="L1505" s="27">
        <v>0.6875</v>
      </c>
      <c r="M1505" s="26">
        <v>0.58695652173913004</v>
      </c>
      <c r="N1505" s="28">
        <v>0.9</v>
      </c>
      <c r="O1505" s="26">
        <v>0</v>
      </c>
      <c r="P1505" s="26">
        <v>1</v>
      </c>
      <c r="Q1505" s="26">
        <v>0</v>
      </c>
      <c r="R1505" s="26">
        <v>0.52173913043478304</v>
      </c>
      <c r="S1505" s="28">
        <v>0.9</v>
      </c>
      <c r="T1505" s="26">
        <v>0</v>
      </c>
      <c r="U1505" s="26">
        <v>0.57142857142857095</v>
      </c>
      <c r="V1505" s="26">
        <v>0</v>
      </c>
      <c r="W1505" s="26">
        <v>0.217391304347826</v>
      </c>
      <c r="X1505" s="28">
        <v>0.92</v>
      </c>
      <c r="Y1505" s="28">
        <v>0</v>
      </c>
      <c r="Z1505" s="28">
        <v>0</v>
      </c>
      <c r="AA1505" s="28">
        <v>0</v>
      </c>
      <c r="AB1505" s="28">
        <v>0</v>
      </c>
      <c r="AC1505" s="28">
        <v>0.92</v>
      </c>
      <c r="AD1505" s="26">
        <v>0</v>
      </c>
      <c r="AE1505" s="26">
        <v>0</v>
      </c>
      <c r="AF1505" s="26">
        <v>0.33333333333333298</v>
      </c>
      <c r="AG1505" s="26">
        <v>0.13636363636363599</v>
      </c>
      <c r="AH1505" s="28">
        <v>0.92</v>
      </c>
      <c r="AI1505" s="26">
        <v>0.62307692307692297</v>
      </c>
      <c r="AJ1505" s="26">
        <v>0.72222222222222199</v>
      </c>
      <c r="AK1505" s="26">
        <v>0.77333333333333298</v>
      </c>
      <c r="AL1505" s="26">
        <v>0.71711838554499596</v>
      </c>
      <c r="AM1505" s="25">
        <v>0.99</v>
      </c>
      <c r="AN1505" s="30">
        <v>0</v>
      </c>
      <c r="AO1505" s="30">
        <v>0</v>
      </c>
      <c r="AP1505" s="30">
        <v>1</v>
      </c>
      <c r="AQ1505" s="30">
        <v>1</v>
      </c>
      <c r="AR1505" s="50">
        <v>0.110069253262963</v>
      </c>
      <c r="AS1505" s="34">
        <v>0.214285714285714</v>
      </c>
      <c r="AT1505" s="34">
        <v>6.25E-2</v>
      </c>
      <c r="AU1505" s="34">
        <v>0.25</v>
      </c>
      <c r="AV1505" s="34">
        <v>0.14285714285714299</v>
      </c>
      <c r="AW1505" s="10"/>
      <c r="AX1505" s="8"/>
    </row>
    <row r="1506" spans="1:50">
      <c r="A1506" s="7"/>
      <c r="B1506" s="10"/>
      <c r="C1506" s="45" t="s">
        <v>1468</v>
      </c>
      <c r="D1506" s="23" t="s">
        <v>27</v>
      </c>
      <c r="E1506" s="61" t="s">
        <v>1550</v>
      </c>
      <c r="F1506" s="61" t="s">
        <v>1550</v>
      </c>
      <c r="G1506" s="61" t="s">
        <v>1550</v>
      </c>
      <c r="H1506" s="61" t="s">
        <v>1550</v>
      </c>
      <c r="I1506" s="25">
        <v>0.9</v>
      </c>
      <c r="J1506" s="26">
        <v>0.94444444444444398</v>
      </c>
      <c r="K1506" s="26">
        <v>1</v>
      </c>
      <c r="L1506" s="27">
        <v>1</v>
      </c>
      <c r="M1506" s="26">
        <v>0.967741935483871</v>
      </c>
      <c r="N1506" s="28">
        <v>0.9</v>
      </c>
      <c r="O1506" s="26">
        <v>0.82403433476394805</v>
      </c>
      <c r="P1506" s="26">
        <v>0.72781065088757402</v>
      </c>
      <c r="Q1506" s="26">
        <v>0.88467532467532495</v>
      </c>
      <c r="R1506" s="26">
        <v>0.51971608832807603</v>
      </c>
      <c r="S1506" s="28">
        <v>0.9</v>
      </c>
      <c r="T1506" s="26">
        <v>0.81759656652360502</v>
      </c>
      <c r="U1506" s="26">
        <v>0.54437869822485196</v>
      </c>
      <c r="V1506" s="26">
        <v>0.492467532467532</v>
      </c>
      <c r="W1506" s="26">
        <v>0.41180336487907498</v>
      </c>
      <c r="X1506" s="28">
        <v>0.92</v>
      </c>
      <c r="Y1506" s="28">
        <v>0</v>
      </c>
      <c r="Z1506" s="28">
        <v>0</v>
      </c>
      <c r="AA1506" s="28">
        <v>0</v>
      </c>
      <c r="AB1506" s="28">
        <v>0</v>
      </c>
      <c r="AC1506" s="28">
        <v>0.92</v>
      </c>
      <c r="AD1506" s="26">
        <v>0.5</v>
      </c>
      <c r="AE1506" s="26">
        <v>0</v>
      </c>
      <c r="AF1506" s="26">
        <v>0</v>
      </c>
      <c r="AG1506" s="26">
        <v>0.78571428571428603</v>
      </c>
      <c r="AH1506" s="28">
        <v>0.92</v>
      </c>
      <c r="AI1506" s="26">
        <v>0.86266094420600903</v>
      </c>
      <c r="AJ1506" s="26">
        <v>0.56804733727810697</v>
      </c>
      <c r="AK1506" s="26">
        <v>0.57818181818181802</v>
      </c>
      <c r="AL1506" s="26">
        <v>0.45994764397905802</v>
      </c>
      <c r="AM1506" s="25">
        <v>0.99</v>
      </c>
      <c r="AN1506" s="30">
        <v>0</v>
      </c>
      <c r="AO1506" s="30">
        <v>1</v>
      </c>
      <c r="AP1506" s="30">
        <v>0</v>
      </c>
      <c r="AQ1506" s="30">
        <v>1</v>
      </c>
      <c r="AR1506" s="50">
        <v>0.110069253262963</v>
      </c>
      <c r="AS1506" s="34">
        <v>2.9850746268656699E-2</v>
      </c>
      <c r="AT1506" s="34">
        <v>0.20588235294117599</v>
      </c>
      <c r="AU1506" s="34">
        <v>0.194444444444444</v>
      </c>
      <c r="AV1506" s="34">
        <v>0.12374581939799301</v>
      </c>
      <c r="AW1506" s="10"/>
      <c r="AX1506" s="8"/>
    </row>
    <row r="1507" spans="1:50">
      <c r="A1507" s="7"/>
      <c r="B1507" s="10"/>
      <c r="C1507" s="45" t="s">
        <v>1468</v>
      </c>
      <c r="D1507" s="23" t="s">
        <v>27</v>
      </c>
      <c r="E1507" s="61" t="s">
        <v>1551</v>
      </c>
      <c r="F1507" s="61" t="s">
        <v>1551</v>
      </c>
      <c r="G1507" s="61" t="s">
        <v>1551</v>
      </c>
      <c r="H1507" s="61" t="s">
        <v>1551</v>
      </c>
      <c r="I1507" s="25">
        <v>0.9</v>
      </c>
      <c r="J1507" s="26">
        <v>0.66666666666666696</v>
      </c>
      <c r="K1507" s="26">
        <v>0.90909090909090895</v>
      </c>
      <c r="L1507" s="27">
        <v>0.72727272727272696</v>
      </c>
      <c r="M1507" s="26">
        <v>0.67346938775510201</v>
      </c>
      <c r="N1507" s="28">
        <v>0.9</v>
      </c>
      <c r="O1507" s="26">
        <v>0</v>
      </c>
      <c r="P1507" s="26">
        <v>0</v>
      </c>
      <c r="Q1507" s="26">
        <v>0</v>
      </c>
      <c r="R1507" s="26">
        <v>0</v>
      </c>
      <c r="S1507" s="28">
        <v>0.9</v>
      </c>
      <c r="T1507" s="26">
        <v>0</v>
      </c>
      <c r="U1507" s="26">
        <v>0</v>
      </c>
      <c r="V1507" s="26">
        <v>0</v>
      </c>
      <c r="W1507" s="26">
        <v>0</v>
      </c>
      <c r="X1507" s="28">
        <v>0.92</v>
      </c>
      <c r="Y1507" s="28">
        <v>0</v>
      </c>
      <c r="Z1507" s="28">
        <v>0</v>
      </c>
      <c r="AA1507" s="28">
        <v>0</v>
      </c>
      <c r="AB1507" s="28">
        <v>0</v>
      </c>
      <c r="AC1507" s="28">
        <v>0.92</v>
      </c>
      <c r="AD1507" s="26">
        <v>0</v>
      </c>
      <c r="AE1507" s="26">
        <v>0</v>
      </c>
      <c r="AF1507" s="26">
        <v>0.5</v>
      </c>
      <c r="AG1507" s="26">
        <v>0.3</v>
      </c>
      <c r="AH1507" s="28">
        <v>0.92</v>
      </c>
      <c r="AI1507" s="26">
        <v>0.31531531531531498</v>
      </c>
      <c r="AJ1507" s="26">
        <v>0.65466816647919002</v>
      </c>
      <c r="AK1507" s="26">
        <v>0.50900900900900903</v>
      </c>
      <c r="AL1507" s="26">
        <v>0.29899159663865499</v>
      </c>
      <c r="AM1507" s="25">
        <v>0.99</v>
      </c>
      <c r="AN1507" s="30">
        <v>1</v>
      </c>
      <c r="AO1507" s="30">
        <v>0</v>
      </c>
      <c r="AP1507" s="30">
        <v>0</v>
      </c>
      <c r="AQ1507" s="30">
        <v>1</v>
      </c>
      <c r="AR1507" s="50">
        <v>0.110069253262963</v>
      </c>
      <c r="AS1507" s="34">
        <v>0</v>
      </c>
      <c r="AT1507" s="34">
        <v>3.7037037037037E-2</v>
      </c>
      <c r="AU1507" s="34">
        <v>7.8740157480314994E-3</v>
      </c>
      <c r="AV1507" s="34">
        <v>3.6297640653357499E-2</v>
      </c>
      <c r="AW1507" s="10"/>
      <c r="AX1507" s="8"/>
    </row>
    <row r="1508" spans="1:50">
      <c r="A1508" s="7"/>
      <c r="B1508" s="10"/>
      <c r="C1508" s="45" t="s">
        <v>1468</v>
      </c>
      <c r="D1508" s="23" t="s">
        <v>27</v>
      </c>
      <c r="E1508" s="61" t="s">
        <v>1552</v>
      </c>
      <c r="F1508" s="61" t="s">
        <v>1552</v>
      </c>
      <c r="G1508" s="61" t="s">
        <v>1552</v>
      </c>
      <c r="H1508" s="61" t="s">
        <v>1552</v>
      </c>
      <c r="I1508" s="25">
        <v>0.9</v>
      </c>
      <c r="J1508" s="26">
        <v>1</v>
      </c>
      <c r="K1508" s="26">
        <v>1</v>
      </c>
      <c r="L1508" s="27">
        <v>1</v>
      </c>
      <c r="M1508" s="26">
        <v>1</v>
      </c>
      <c r="N1508" s="28">
        <v>0.9</v>
      </c>
      <c r="O1508" s="26">
        <v>0.97330367074527302</v>
      </c>
      <c r="P1508" s="26">
        <v>0.98511383537653197</v>
      </c>
      <c r="Q1508" s="26">
        <v>0.96007485963817796</v>
      </c>
      <c r="R1508" s="26">
        <v>0.96262415054887596</v>
      </c>
      <c r="S1508" s="28">
        <v>0.9</v>
      </c>
      <c r="T1508" s="26">
        <v>0.70967741935483897</v>
      </c>
      <c r="U1508" s="26">
        <v>0.735551663747811</v>
      </c>
      <c r="V1508" s="26">
        <v>0.68870867124142199</v>
      </c>
      <c r="W1508" s="26">
        <v>0.67015159435441696</v>
      </c>
      <c r="X1508" s="28">
        <v>0.92</v>
      </c>
      <c r="Y1508" s="28">
        <v>0.84624344787419903</v>
      </c>
      <c r="Z1508" s="28">
        <v>0.74429223744292194</v>
      </c>
      <c r="AA1508" s="28">
        <v>0.904669260700389</v>
      </c>
      <c r="AB1508" s="28">
        <v>0.78821752265861</v>
      </c>
      <c r="AC1508" s="28">
        <v>0.92</v>
      </c>
      <c r="AD1508" s="26">
        <v>0.837209302325581</v>
      </c>
      <c r="AE1508" s="26">
        <v>0.9</v>
      </c>
      <c r="AF1508" s="26">
        <v>1</v>
      </c>
      <c r="AG1508" s="26">
        <v>0.92253521126760596</v>
      </c>
      <c r="AH1508" s="28">
        <v>0.92</v>
      </c>
      <c r="AI1508" s="26">
        <v>0.86587695834925504</v>
      </c>
      <c r="AJ1508" s="26">
        <v>0.85825458588104497</v>
      </c>
      <c r="AK1508" s="26">
        <v>0.92740402888635498</v>
      </c>
      <c r="AL1508" s="26">
        <v>0.84876716166993604</v>
      </c>
      <c r="AM1508" s="25">
        <v>0.99</v>
      </c>
      <c r="AN1508" s="30">
        <v>1</v>
      </c>
      <c r="AO1508" s="30">
        <v>1</v>
      </c>
      <c r="AP1508" s="30">
        <v>1</v>
      </c>
      <c r="AQ1508" s="30">
        <v>1</v>
      </c>
      <c r="AR1508" s="50">
        <v>0.110069253262963</v>
      </c>
      <c r="AS1508" s="34">
        <v>0</v>
      </c>
      <c r="AT1508" s="34">
        <v>0.11111111111111099</v>
      </c>
      <c r="AU1508" s="34">
        <v>0.16666666666666699</v>
      </c>
      <c r="AV1508" s="34">
        <v>0.134615384615385</v>
      </c>
      <c r="AW1508" s="10"/>
      <c r="AX1508" s="8"/>
    </row>
    <row r="1509" spans="1:50">
      <c r="A1509" s="7"/>
      <c r="B1509" s="10"/>
      <c r="C1509" s="45" t="s">
        <v>1468</v>
      </c>
      <c r="D1509" s="23" t="s">
        <v>27</v>
      </c>
      <c r="E1509" s="61" t="s">
        <v>1553</v>
      </c>
      <c r="F1509" s="61" t="s">
        <v>1553</v>
      </c>
      <c r="G1509" s="61" t="s">
        <v>1553</v>
      </c>
      <c r="H1509" s="61" t="s">
        <v>1553</v>
      </c>
      <c r="I1509" s="25">
        <v>0.9</v>
      </c>
      <c r="J1509" s="26">
        <v>1</v>
      </c>
      <c r="K1509" s="26">
        <v>1</v>
      </c>
      <c r="L1509" s="27">
        <v>0.96428571428571397</v>
      </c>
      <c r="M1509" s="26">
        <v>0.98113207547169801</v>
      </c>
      <c r="N1509" s="28">
        <v>0.9</v>
      </c>
      <c r="O1509" s="26">
        <v>0.97948494107376705</v>
      </c>
      <c r="P1509" s="26">
        <v>0.94132029339853296</v>
      </c>
      <c r="Q1509" s="26">
        <v>0.90524707080998501</v>
      </c>
      <c r="R1509" s="26">
        <v>0.943919415992304</v>
      </c>
      <c r="S1509" s="28">
        <v>0.9</v>
      </c>
      <c r="T1509" s="26">
        <v>0.734177215189873</v>
      </c>
      <c r="U1509" s="26">
        <v>0.82221446035626999</v>
      </c>
      <c r="V1509" s="26">
        <v>0.87366276107997998</v>
      </c>
      <c r="W1509" s="26">
        <v>0.83419161337785097</v>
      </c>
      <c r="X1509" s="28">
        <v>0.92</v>
      </c>
      <c r="Y1509" s="28">
        <v>0</v>
      </c>
      <c r="Z1509" s="28">
        <v>0</v>
      </c>
      <c r="AA1509" s="28">
        <v>0</v>
      </c>
      <c r="AB1509" s="28">
        <v>0</v>
      </c>
      <c r="AC1509" s="28">
        <v>0.92</v>
      </c>
      <c r="AD1509" s="26">
        <v>1</v>
      </c>
      <c r="AE1509" s="26">
        <v>0.97826086956521696</v>
      </c>
      <c r="AF1509" s="26">
        <v>0.98039215686274495</v>
      </c>
      <c r="AG1509" s="26">
        <v>0.98701298701298701</v>
      </c>
      <c r="AH1509" s="28">
        <v>0.92</v>
      </c>
      <c r="AI1509" s="26">
        <v>0.87560017459624595</v>
      </c>
      <c r="AJ1509" s="26">
        <v>0.87390848760041895</v>
      </c>
      <c r="AK1509" s="26">
        <v>0.94956698930208905</v>
      </c>
      <c r="AL1509" s="26">
        <v>0.92252843642125504</v>
      </c>
      <c r="AM1509" s="25">
        <v>0.99</v>
      </c>
      <c r="AN1509" s="30">
        <v>1</v>
      </c>
      <c r="AO1509" s="30">
        <v>1</v>
      </c>
      <c r="AP1509" s="30">
        <v>1</v>
      </c>
      <c r="AQ1509" s="30">
        <v>1</v>
      </c>
      <c r="AR1509" s="50">
        <v>0.110069253262963</v>
      </c>
      <c r="AS1509" s="34">
        <v>0.27272727272727298</v>
      </c>
      <c r="AT1509" s="34">
        <v>7.1428571428571397E-2</v>
      </c>
      <c r="AU1509" s="34">
        <v>0.11111111111111099</v>
      </c>
      <c r="AV1509" s="34">
        <v>9.1743119266055106E-2</v>
      </c>
      <c r="AW1509" s="10"/>
      <c r="AX1509" s="8"/>
    </row>
    <row r="1510" spans="1:50">
      <c r="A1510" s="7"/>
      <c r="B1510" s="10"/>
      <c r="C1510" s="45" t="s">
        <v>1468</v>
      </c>
      <c r="D1510" s="23" t="s">
        <v>27</v>
      </c>
      <c r="E1510" s="61" t="s">
        <v>1554</v>
      </c>
      <c r="F1510" s="61" t="s">
        <v>1554</v>
      </c>
      <c r="G1510" s="61" t="s">
        <v>1554</v>
      </c>
      <c r="H1510" s="61" t="s">
        <v>1554</v>
      </c>
      <c r="I1510" s="25">
        <v>0.9</v>
      </c>
      <c r="J1510" s="26">
        <v>1</v>
      </c>
      <c r="K1510" s="26">
        <v>1</v>
      </c>
      <c r="L1510" s="27">
        <v>1</v>
      </c>
      <c r="M1510" s="26">
        <v>1</v>
      </c>
      <c r="N1510" s="28">
        <v>0.9</v>
      </c>
      <c r="O1510" s="26">
        <v>0.96052631578947401</v>
      </c>
      <c r="P1510" s="26">
        <v>0.97238493723849395</v>
      </c>
      <c r="Q1510" s="26">
        <v>0.94079375406636301</v>
      </c>
      <c r="R1510" s="26">
        <v>0.960093320235756</v>
      </c>
      <c r="S1510" s="28">
        <v>0.9</v>
      </c>
      <c r="T1510" s="26">
        <v>0.69736842105263197</v>
      </c>
      <c r="U1510" s="26">
        <v>0.69874476987447698</v>
      </c>
      <c r="V1510" s="26">
        <v>0.65842550422901802</v>
      </c>
      <c r="W1510" s="26">
        <v>0.67006385068762297</v>
      </c>
      <c r="X1510" s="28">
        <v>0.92</v>
      </c>
      <c r="Y1510" s="28">
        <v>0.80929678188319398</v>
      </c>
      <c r="Z1510" s="28">
        <v>0.83691756272401396</v>
      </c>
      <c r="AA1510" s="28">
        <v>0.82946518668012104</v>
      </c>
      <c r="AB1510" s="28">
        <v>0.82340664633167404</v>
      </c>
      <c r="AC1510" s="28">
        <v>0.92</v>
      </c>
      <c r="AD1510" s="26">
        <v>1</v>
      </c>
      <c r="AE1510" s="26">
        <v>1</v>
      </c>
      <c r="AF1510" s="26">
        <v>1</v>
      </c>
      <c r="AG1510" s="26">
        <v>0.99652777777777801</v>
      </c>
      <c r="AH1510" s="28">
        <v>0.92</v>
      </c>
      <c r="AI1510" s="26">
        <v>0.84621155288822203</v>
      </c>
      <c r="AJ1510" s="26">
        <v>0.90473474044495195</v>
      </c>
      <c r="AK1510" s="26">
        <v>0.900316455696203</v>
      </c>
      <c r="AL1510" s="26">
        <v>0.88116607528003899</v>
      </c>
      <c r="AM1510" s="25">
        <v>0.99</v>
      </c>
      <c r="AN1510" s="30">
        <v>1</v>
      </c>
      <c r="AO1510" s="30">
        <v>1</v>
      </c>
      <c r="AP1510" s="30">
        <v>1</v>
      </c>
      <c r="AQ1510" s="30">
        <v>1</v>
      </c>
      <c r="AR1510" s="50">
        <v>0.110069253262963</v>
      </c>
      <c r="AS1510" s="34">
        <v>0</v>
      </c>
      <c r="AT1510" s="34">
        <v>0</v>
      </c>
      <c r="AU1510" s="34">
        <v>0</v>
      </c>
      <c r="AV1510" s="34">
        <v>6.6666666666666693E-2</v>
      </c>
      <c r="AW1510" s="10"/>
      <c r="AX1510" s="8"/>
    </row>
    <row r="1511" spans="1:50">
      <c r="A1511" s="7"/>
      <c r="B1511" s="10"/>
      <c r="C1511" s="45" t="s">
        <v>1468</v>
      </c>
      <c r="D1511" s="23" t="s">
        <v>27</v>
      </c>
      <c r="E1511" s="61" t="s">
        <v>1555</v>
      </c>
      <c r="F1511" s="61" t="s">
        <v>1555</v>
      </c>
      <c r="G1511" s="61" t="s">
        <v>1555</v>
      </c>
      <c r="H1511" s="61" t="s">
        <v>1555</v>
      </c>
      <c r="I1511" s="25">
        <v>0.9</v>
      </c>
      <c r="J1511" s="26">
        <v>1</v>
      </c>
      <c r="K1511" s="26">
        <v>0.95454545454545503</v>
      </c>
      <c r="L1511" s="27">
        <v>1</v>
      </c>
      <c r="M1511" s="26">
        <v>0.968992248062015</v>
      </c>
      <c r="N1511" s="28">
        <v>0.9</v>
      </c>
      <c r="O1511" s="26">
        <v>0.97380952380952401</v>
      </c>
      <c r="P1511" s="26">
        <v>0.94802694898941298</v>
      </c>
      <c r="Q1511" s="26">
        <v>0.866496907966533</v>
      </c>
      <c r="R1511" s="26">
        <v>0.92767962308598395</v>
      </c>
      <c r="S1511" s="28">
        <v>0.9</v>
      </c>
      <c r="T1511" s="26">
        <v>0.893452380952381</v>
      </c>
      <c r="U1511" s="26">
        <v>0.88017324350336901</v>
      </c>
      <c r="V1511" s="26">
        <v>0.89232448162968303</v>
      </c>
      <c r="W1511" s="26">
        <v>0.87530427954456202</v>
      </c>
      <c r="X1511" s="28">
        <v>0.92</v>
      </c>
      <c r="Y1511" s="28">
        <v>0</v>
      </c>
      <c r="Z1511" s="28">
        <v>0</v>
      </c>
      <c r="AA1511" s="28">
        <v>0</v>
      </c>
      <c r="AB1511" s="28">
        <v>0</v>
      </c>
      <c r="AC1511" s="28">
        <v>0.92</v>
      </c>
      <c r="AD1511" s="26">
        <v>0.83950617283950602</v>
      </c>
      <c r="AE1511" s="26">
        <v>0.91803278688524603</v>
      </c>
      <c r="AF1511" s="26">
        <v>0.81538461538461504</v>
      </c>
      <c r="AG1511" s="26">
        <v>0.875690607734807</v>
      </c>
      <c r="AH1511" s="28">
        <v>0.92</v>
      </c>
      <c r="AI1511" s="26">
        <v>0.9375</v>
      </c>
      <c r="AJ1511" s="26">
        <v>0.936477382098171</v>
      </c>
      <c r="AK1511" s="26">
        <v>0.94834485267369995</v>
      </c>
      <c r="AL1511" s="26">
        <v>0.94409108755398496</v>
      </c>
      <c r="AM1511" s="25">
        <v>0.99</v>
      </c>
      <c r="AN1511" s="30">
        <v>1</v>
      </c>
      <c r="AO1511" s="30">
        <v>1</v>
      </c>
      <c r="AP1511" s="30">
        <v>0</v>
      </c>
      <c r="AQ1511" s="30">
        <v>1</v>
      </c>
      <c r="AR1511" s="50">
        <v>0.110069253262963</v>
      </c>
      <c r="AS1511" s="34">
        <v>0.11111111111111099</v>
      </c>
      <c r="AT1511" s="34">
        <v>6.25E-2</v>
      </c>
      <c r="AU1511" s="34">
        <v>0.105263157894737</v>
      </c>
      <c r="AV1511" s="34">
        <v>7.4468085106383003E-2</v>
      </c>
      <c r="AW1511" s="10"/>
      <c r="AX1511" s="8"/>
    </row>
    <row r="1512" spans="1:50">
      <c r="A1512" s="7"/>
      <c r="B1512" s="10"/>
      <c r="C1512" s="45" t="s">
        <v>1468</v>
      </c>
      <c r="D1512" s="23" t="s">
        <v>27</v>
      </c>
      <c r="E1512" s="61" t="s">
        <v>1556</v>
      </c>
      <c r="F1512" s="61" t="s">
        <v>1556</v>
      </c>
      <c r="G1512" s="61" t="s">
        <v>1556</v>
      </c>
      <c r="H1512" s="61" t="s">
        <v>1556</v>
      </c>
      <c r="I1512" s="25">
        <v>0.9</v>
      </c>
      <c r="J1512" s="26">
        <v>1</v>
      </c>
      <c r="K1512" s="26">
        <v>1</v>
      </c>
      <c r="L1512" s="27">
        <v>1</v>
      </c>
      <c r="M1512" s="26">
        <v>1</v>
      </c>
      <c r="N1512" s="28">
        <v>0.9</v>
      </c>
      <c r="O1512" s="26">
        <v>0.96336206896551702</v>
      </c>
      <c r="P1512" s="26">
        <v>0.99141630901287603</v>
      </c>
      <c r="Q1512" s="26">
        <v>0.84711964549482999</v>
      </c>
      <c r="R1512" s="26">
        <v>0.95709485655208104</v>
      </c>
      <c r="S1512" s="28">
        <v>0.9</v>
      </c>
      <c r="T1512" s="26">
        <v>0.84159482758620696</v>
      </c>
      <c r="U1512" s="26">
        <v>0.63690987124463505</v>
      </c>
      <c r="V1512" s="26">
        <v>0.51329394387001503</v>
      </c>
      <c r="W1512" s="26">
        <v>0.63478935125355396</v>
      </c>
      <c r="X1512" s="28">
        <v>0.92</v>
      </c>
      <c r="Y1512" s="28">
        <v>0</v>
      </c>
      <c r="Z1512" s="28">
        <v>0</v>
      </c>
      <c r="AA1512" s="28">
        <v>0</v>
      </c>
      <c r="AB1512" s="28">
        <v>0</v>
      </c>
      <c r="AC1512" s="28">
        <v>0.92</v>
      </c>
      <c r="AD1512" s="26">
        <v>1</v>
      </c>
      <c r="AE1512" s="26">
        <v>1</v>
      </c>
      <c r="AF1512" s="26">
        <v>1</v>
      </c>
      <c r="AG1512" s="26">
        <v>1</v>
      </c>
      <c r="AH1512" s="28">
        <v>0.92</v>
      </c>
      <c r="AI1512" s="26">
        <v>0.92456896551724099</v>
      </c>
      <c r="AJ1512" s="26">
        <v>0.85836909871244604</v>
      </c>
      <c r="AK1512" s="26">
        <v>0.802067946824225</v>
      </c>
      <c r="AL1512" s="26">
        <v>0.88937710002584602</v>
      </c>
      <c r="AM1512" s="25">
        <v>0.99</v>
      </c>
      <c r="AN1512" s="30">
        <v>1</v>
      </c>
      <c r="AO1512" s="30">
        <v>1</v>
      </c>
      <c r="AP1512" s="30">
        <v>1</v>
      </c>
      <c r="AQ1512" s="30">
        <v>1</v>
      </c>
      <c r="AR1512" s="50">
        <v>0.110069253262963</v>
      </c>
      <c r="AS1512" s="34">
        <v>5.5555555555555601E-2</v>
      </c>
      <c r="AT1512" s="34">
        <v>0.11111111111111099</v>
      </c>
      <c r="AU1512" s="34">
        <v>0</v>
      </c>
      <c r="AV1512" s="34">
        <v>7.2289156626505993E-2</v>
      </c>
      <c r="AW1512" s="10"/>
      <c r="AX1512" s="8"/>
    </row>
    <row r="1513" spans="1:50">
      <c r="A1513" s="7"/>
      <c r="B1513" s="10"/>
      <c r="C1513" s="45" t="s">
        <v>1468</v>
      </c>
      <c r="D1513" s="23" t="s">
        <v>27</v>
      </c>
      <c r="E1513" s="61" t="s">
        <v>1557</v>
      </c>
      <c r="F1513" s="61" t="s">
        <v>1557</v>
      </c>
      <c r="G1513" s="61" t="s">
        <v>1557</v>
      </c>
      <c r="H1513" s="61" t="s">
        <v>1557</v>
      </c>
      <c r="I1513" s="25">
        <v>0.9</v>
      </c>
      <c r="J1513" s="26">
        <v>1</v>
      </c>
      <c r="K1513" s="26">
        <v>0.92307692307692302</v>
      </c>
      <c r="L1513" s="27">
        <v>1</v>
      </c>
      <c r="M1513" s="26">
        <v>0.97916666666666696</v>
      </c>
      <c r="N1513" s="28">
        <v>0.9</v>
      </c>
      <c r="O1513" s="26">
        <v>0.99281314168377799</v>
      </c>
      <c r="P1513" s="26">
        <v>0.98715753424657504</v>
      </c>
      <c r="Q1513" s="26">
        <v>0.98118466898954704</v>
      </c>
      <c r="R1513" s="26">
        <v>0.97247142681578003</v>
      </c>
      <c r="S1513" s="28">
        <v>0.9</v>
      </c>
      <c r="T1513" s="26">
        <v>0.80492813141683806</v>
      </c>
      <c r="U1513" s="26">
        <v>0.84760273972602695</v>
      </c>
      <c r="V1513" s="26">
        <v>0.65435540069686404</v>
      </c>
      <c r="W1513" s="26">
        <v>0.72274794150178201</v>
      </c>
      <c r="X1513" s="28">
        <v>0.92</v>
      </c>
      <c r="Y1513" s="28">
        <v>0</v>
      </c>
      <c r="Z1513" s="28">
        <v>0</v>
      </c>
      <c r="AA1513" s="28">
        <v>0</v>
      </c>
      <c r="AB1513" s="28">
        <v>0</v>
      </c>
      <c r="AC1513" s="28">
        <v>0.92</v>
      </c>
      <c r="AD1513" s="26">
        <v>1</v>
      </c>
      <c r="AE1513" s="26">
        <v>1</v>
      </c>
      <c r="AF1513" s="26">
        <v>1</v>
      </c>
      <c r="AG1513" s="26">
        <v>0.96721311475409799</v>
      </c>
      <c r="AH1513" s="28">
        <v>0.92</v>
      </c>
      <c r="AI1513" s="26">
        <v>0.94353182751539999</v>
      </c>
      <c r="AJ1513" s="26">
        <v>0.971746575342466</v>
      </c>
      <c r="AK1513" s="26">
        <v>0.95679442508710799</v>
      </c>
      <c r="AL1513" s="26">
        <v>0.95686370898365503</v>
      </c>
      <c r="AM1513" s="25">
        <v>0.99</v>
      </c>
      <c r="AN1513" s="30">
        <v>1</v>
      </c>
      <c r="AO1513" s="30">
        <v>1</v>
      </c>
      <c r="AP1513" s="30">
        <v>1</v>
      </c>
      <c r="AQ1513" s="30">
        <v>1</v>
      </c>
      <c r="AR1513" s="50">
        <v>0.110069253262963</v>
      </c>
      <c r="AS1513" s="34">
        <v>7.1428571428571397E-2</v>
      </c>
      <c r="AT1513" s="34">
        <v>0.1</v>
      </c>
      <c r="AU1513" s="34">
        <v>0</v>
      </c>
      <c r="AV1513" s="34">
        <v>0.138461538461538</v>
      </c>
      <c r="AW1513" s="10"/>
      <c r="AX1513" s="8"/>
    </row>
    <row r="1514" spans="1:50">
      <c r="A1514" s="7"/>
      <c r="B1514" s="10"/>
      <c r="C1514" s="45" t="s">
        <v>1468</v>
      </c>
      <c r="D1514" s="23" t="s">
        <v>27</v>
      </c>
      <c r="E1514" s="61" t="s">
        <v>1558</v>
      </c>
      <c r="F1514" s="61" t="s">
        <v>1558</v>
      </c>
      <c r="G1514" s="61" t="s">
        <v>1558</v>
      </c>
      <c r="H1514" s="61" t="s">
        <v>1558</v>
      </c>
      <c r="I1514" s="25">
        <v>0.9</v>
      </c>
      <c r="J1514" s="26">
        <v>0.95454545454545503</v>
      </c>
      <c r="K1514" s="26">
        <v>0.94594594594594605</v>
      </c>
      <c r="L1514" s="27">
        <v>1</v>
      </c>
      <c r="M1514" s="26">
        <v>0.93305439330543904</v>
      </c>
      <c r="N1514" s="28">
        <v>0.9</v>
      </c>
      <c r="O1514" s="26">
        <v>0.68780913587430903</v>
      </c>
      <c r="P1514" s="26">
        <v>0.73523131672597897</v>
      </c>
      <c r="Q1514" s="26">
        <v>0.68211538461538501</v>
      </c>
      <c r="R1514" s="26">
        <v>0.72812374300654503</v>
      </c>
      <c r="S1514" s="28">
        <v>0.9</v>
      </c>
      <c r="T1514" s="26">
        <v>0.76258364853069505</v>
      </c>
      <c r="U1514" s="26">
        <v>0.74756820877817298</v>
      </c>
      <c r="V1514" s="26">
        <v>0.77788461538461495</v>
      </c>
      <c r="W1514" s="26">
        <v>0.77229677844004796</v>
      </c>
      <c r="X1514" s="28">
        <v>0.92</v>
      </c>
      <c r="Y1514" s="28">
        <v>0</v>
      </c>
      <c r="Z1514" s="28">
        <v>0</v>
      </c>
      <c r="AA1514" s="28">
        <v>0</v>
      </c>
      <c r="AB1514" s="28">
        <v>0</v>
      </c>
      <c r="AC1514" s="28">
        <v>0.92</v>
      </c>
      <c r="AD1514" s="26">
        <v>0.85539215686274495</v>
      </c>
      <c r="AE1514" s="26">
        <v>0.74559193954659997</v>
      </c>
      <c r="AF1514" s="26">
        <v>0.75525525525525505</v>
      </c>
      <c r="AG1514" s="26">
        <v>0.816078877512325</v>
      </c>
      <c r="AH1514" s="28">
        <v>0.92</v>
      </c>
      <c r="AI1514" s="26">
        <v>0.93337212685481497</v>
      </c>
      <c r="AJ1514" s="26">
        <v>0.90059311981020196</v>
      </c>
      <c r="AK1514" s="26">
        <v>0.92230769230769205</v>
      </c>
      <c r="AL1514" s="26">
        <v>0.92222181592130803</v>
      </c>
      <c r="AM1514" s="25">
        <v>0.99</v>
      </c>
      <c r="AN1514" s="30">
        <v>1</v>
      </c>
      <c r="AO1514" s="30">
        <v>1</v>
      </c>
      <c r="AP1514" s="30">
        <v>1</v>
      </c>
      <c r="AQ1514" s="30">
        <v>1</v>
      </c>
      <c r="AR1514" s="50">
        <v>0.110069253262963</v>
      </c>
      <c r="AS1514" s="34">
        <v>3.03030303030303E-2</v>
      </c>
      <c r="AT1514" s="34">
        <v>0.125</v>
      </c>
      <c r="AU1514" s="34">
        <v>0.15625</v>
      </c>
      <c r="AV1514" s="34">
        <v>6.0913705583756299E-2</v>
      </c>
      <c r="AW1514" s="10"/>
      <c r="AX1514" s="8"/>
    </row>
    <row r="1515" spans="1:50">
      <c r="A1515" s="7"/>
      <c r="B1515" s="10"/>
      <c r="C1515" s="45" t="s">
        <v>1468</v>
      </c>
      <c r="D1515" s="23" t="s">
        <v>27</v>
      </c>
      <c r="E1515" s="61" t="s">
        <v>1559</v>
      </c>
      <c r="F1515" s="61" t="s">
        <v>1559</v>
      </c>
      <c r="G1515" s="61" t="s">
        <v>1559</v>
      </c>
      <c r="H1515" s="61" t="s">
        <v>1559</v>
      </c>
      <c r="I1515" s="25">
        <v>0.9</v>
      </c>
      <c r="J1515" s="26">
        <v>1</v>
      </c>
      <c r="K1515" s="26">
        <v>0.95833333333333304</v>
      </c>
      <c r="L1515" s="27">
        <v>0.95833333333333304</v>
      </c>
      <c r="M1515" s="26">
        <v>0.97810218978102204</v>
      </c>
      <c r="N1515" s="28">
        <v>0.9</v>
      </c>
      <c r="O1515" s="26">
        <v>0</v>
      </c>
      <c r="P1515" s="26">
        <v>0</v>
      </c>
      <c r="Q1515" s="26">
        <v>0</v>
      </c>
      <c r="R1515" s="26">
        <v>1</v>
      </c>
      <c r="S1515" s="28">
        <v>0.9</v>
      </c>
      <c r="T1515" s="26">
        <v>0</v>
      </c>
      <c r="U1515" s="26">
        <v>0</v>
      </c>
      <c r="V1515" s="26">
        <v>0</v>
      </c>
      <c r="W1515" s="26">
        <v>1</v>
      </c>
      <c r="X1515" s="28">
        <v>0.92</v>
      </c>
      <c r="Y1515" s="28">
        <v>0</v>
      </c>
      <c r="Z1515" s="28">
        <v>0</v>
      </c>
      <c r="AA1515" s="28">
        <v>0</v>
      </c>
      <c r="AB1515" s="28">
        <v>0</v>
      </c>
      <c r="AC1515" s="28">
        <v>0.92</v>
      </c>
      <c r="AD1515" s="26">
        <v>0</v>
      </c>
      <c r="AE1515" s="26">
        <v>0</v>
      </c>
      <c r="AF1515" s="26">
        <v>1</v>
      </c>
      <c r="AG1515" s="26">
        <v>0.4</v>
      </c>
      <c r="AH1515" s="28">
        <v>0.92</v>
      </c>
      <c r="AI1515" s="26">
        <v>0.90138067061144</v>
      </c>
      <c r="AJ1515" s="26">
        <v>0.82768204558087799</v>
      </c>
      <c r="AK1515" s="26">
        <v>0.64573762123532397</v>
      </c>
      <c r="AL1515" s="26">
        <v>0.84226107873068701</v>
      </c>
      <c r="AM1515" s="25">
        <v>0.99</v>
      </c>
      <c r="AN1515" s="30">
        <v>0</v>
      </c>
      <c r="AO1515" s="30">
        <v>0</v>
      </c>
      <c r="AP1515" s="30">
        <v>0</v>
      </c>
      <c r="AQ1515" s="30">
        <v>1</v>
      </c>
      <c r="AR1515" s="50">
        <v>0.110069253262963</v>
      </c>
      <c r="AS1515" s="34">
        <v>0</v>
      </c>
      <c r="AT1515" s="34">
        <v>0</v>
      </c>
      <c r="AU1515" s="34">
        <v>0</v>
      </c>
      <c r="AV1515" s="34">
        <v>4.1666666666666699E-2</v>
      </c>
      <c r="AW1515" s="10"/>
      <c r="AX1515" s="8"/>
    </row>
    <row r="1516" spans="1:50">
      <c r="A1516" s="7"/>
      <c r="B1516" s="10"/>
      <c r="C1516" s="45" t="s">
        <v>1468</v>
      </c>
      <c r="D1516" s="23" t="s">
        <v>27</v>
      </c>
      <c r="E1516" s="61" t="s">
        <v>1560</v>
      </c>
      <c r="F1516" s="61" t="s">
        <v>1560</v>
      </c>
      <c r="G1516" s="61" t="s">
        <v>1560</v>
      </c>
      <c r="H1516" s="61" t="s">
        <v>1560</v>
      </c>
      <c r="I1516" s="25">
        <v>0.9</v>
      </c>
      <c r="J1516" s="26">
        <v>1</v>
      </c>
      <c r="K1516" s="26">
        <v>1</v>
      </c>
      <c r="L1516" s="27">
        <v>0.89473684210526305</v>
      </c>
      <c r="M1516" s="26">
        <v>0.97115384615384603</v>
      </c>
      <c r="N1516" s="28">
        <v>0.9</v>
      </c>
      <c r="O1516" s="26">
        <v>0.99821587867975003</v>
      </c>
      <c r="P1516" s="26">
        <v>0.98025016458196201</v>
      </c>
      <c r="Q1516" s="26">
        <v>0.90996270644645705</v>
      </c>
      <c r="R1516" s="26">
        <v>0.97064839435467398</v>
      </c>
      <c r="S1516" s="28">
        <v>0.9</v>
      </c>
      <c r="T1516" s="26">
        <v>0.95807314897412998</v>
      </c>
      <c r="U1516" s="26">
        <v>0.94799210006583301</v>
      </c>
      <c r="V1516" s="26">
        <v>0.90356952583910499</v>
      </c>
      <c r="W1516" s="26">
        <v>0.93802413581509503</v>
      </c>
      <c r="X1516" s="28">
        <v>0.92</v>
      </c>
      <c r="Y1516" s="28">
        <v>0</v>
      </c>
      <c r="Z1516" s="28">
        <v>0</v>
      </c>
      <c r="AA1516" s="28">
        <v>0</v>
      </c>
      <c r="AB1516" s="28">
        <v>0</v>
      </c>
      <c r="AC1516" s="28">
        <v>0.92</v>
      </c>
      <c r="AD1516" s="26">
        <v>1</v>
      </c>
      <c r="AE1516" s="26">
        <v>0.97619047619047605</v>
      </c>
      <c r="AF1516" s="26">
        <v>1</v>
      </c>
      <c r="AG1516" s="26">
        <v>0.98031496062992096</v>
      </c>
      <c r="AH1516" s="28">
        <v>0.92</v>
      </c>
      <c r="AI1516" s="26">
        <v>0.97948260481712801</v>
      </c>
      <c r="AJ1516" s="26">
        <v>0.98946675444371301</v>
      </c>
      <c r="AK1516" s="26">
        <v>0.98668087373468305</v>
      </c>
      <c r="AL1516" s="26">
        <v>0.981284516260994</v>
      </c>
      <c r="AM1516" s="25">
        <v>0.99</v>
      </c>
      <c r="AN1516" s="30">
        <v>1</v>
      </c>
      <c r="AO1516" s="30">
        <v>1</v>
      </c>
      <c r="AP1516" s="30">
        <v>1</v>
      </c>
      <c r="AQ1516" s="30">
        <v>1</v>
      </c>
      <c r="AR1516" s="50">
        <v>0.110069253262963</v>
      </c>
      <c r="AS1516" s="34">
        <v>0</v>
      </c>
      <c r="AT1516" s="34">
        <v>0</v>
      </c>
      <c r="AU1516" s="34">
        <v>8.3333333333333301E-2</v>
      </c>
      <c r="AV1516" s="34">
        <v>8.0645161290322606E-2</v>
      </c>
      <c r="AW1516" s="10"/>
      <c r="AX1516" s="8"/>
    </row>
    <row r="1517" spans="1:50">
      <c r="A1517" s="7"/>
      <c r="B1517" s="10"/>
      <c r="C1517" s="45" t="s">
        <v>1468</v>
      </c>
      <c r="D1517" s="23" t="s">
        <v>27</v>
      </c>
      <c r="E1517" s="61" t="s">
        <v>1561</v>
      </c>
      <c r="F1517" s="61" t="s">
        <v>1561</v>
      </c>
      <c r="G1517" s="61" t="s">
        <v>1561</v>
      </c>
      <c r="H1517" s="61" t="s">
        <v>1561</v>
      </c>
      <c r="I1517" s="25">
        <v>0.9</v>
      </c>
      <c r="J1517" s="26">
        <v>1</v>
      </c>
      <c r="K1517" s="26">
        <v>1</v>
      </c>
      <c r="L1517" s="27">
        <v>1</v>
      </c>
      <c r="M1517" s="26">
        <v>1</v>
      </c>
      <c r="N1517" s="28">
        <v>0.9</v>
      </c>
      <c r="O1517" s="26">
        <v>0.99466463414634099</v>
      </c>
      <c r="P1517" s="26">
        <v>0.97591105620753504</v>
      </c>
      <c r="Q1517" s="26">
        <v>0.97663551401869197</v>
      </c>
      <c r="R1517" s="26">
        <v>0.96771531717380099</v>
      </c>
      <c r="S1517" s="28">
        <v>0.9</v>
      </c>
      <c r="T1517" s="26">
        <v>0.82317073170731703</v>
      </c>
      <c r="U1517" s="26">
        <v>0.83570105003088302</v>
      </c>
      <c r="V1517" s="26">
        <v>0.87324766355140204</v>
      </c>
      <c r="W1517" s="26">
        <v>0.85528623001547199</v>
      </c>
      <c r="X1517" s="28">
        <v>0.92</v>
      </c>
      <c r="Y1517" s="28">
        <v>0</v>
      </c>
      <c r="Z1517" s="28">
        <v>0</v>
      </c>
      <c r="AA1517" s="28">
        <v>0</v>
      </c>
      <c r="AB1517" s="28">
        <v>0</v>
      </c>
      <c r="AC1517" s="28">
        <v>0.92</v>
      </c>
      <c r="AD1517" s="26">
        <v>1</v>
      </c>
      <c r="AE1517" s="26">
        <v>1</v>
      </c>
      <c r="AF1517" s="26">
        <v>1</v>
      </c>
      <c r="AG1517" s="26">
        <v>0.96960926193921804</v>
      </c>
      <c r="AH1517" s="28">
        <v>0.92</v>
      </c>
      <c r="AI1517" s="26">
        <v>0.90936785986290902</v>
      </c>
      <c r="AJ1517" s="26">
        <v>0.90920321185917197</v>
      </c>
      <c r="AK1517" s="26">
        <v>0.94804436660828995</v>
      </c>
      <c r="AL1517" s="26">
        <v>0.92946272042899902</v>
      </c>
      <c r="AM1517" s="25">
        <v>0.99</v>
      </c>
      <c r="AN1517" s="30">
        <v>1</v>
      </c>
      <c r="AO1517" s="30">
        <v>1</v>
      </c>
      <c r="AP1517" s="30">
        <v>1</v>
      </c>
      <c r="AQ1517" s="30">
        <v>1</v>
      </c>
      <c r="AR1517" s="50">
        <v>0.110069253262963</v>
      </c>
      <c r="AS1517" s="34">
        <v>0</v>
      </c>
      <c r="AT1517" s="34">
        <v>0</v>
      </c>
      <c r="AU1517" s="34">
        <v>0</v>
      </c>
      <c r="AV1517" s="34">
        <v>5.9701492537313397E-2</v>
      </c>
      <c r="AW1517" s="10"/>
      <c r="AX1517" s="8"/>
    </row>
    <row r="1518" spans="1:50">
      <c r="A1518" s="7"/>
      <c r="B1518" s="10"/>
      <c r="C1518" s="45" t="s">
        <v>1468</v>
      </c>
      <c r="D1518" s="23" t="s">
        <v>27</v>
      </c>
      <c r="E1518" s="61" t="s">
        <v>1562</v>
      </c>
      <c r="F1518" s="61" t="s">
        <v>1562</v>
      </c>
      <c r="G1518" s="61" t="s">
        <v>1562</v>
      </c>
      <c r="H1518" s="61" t="s">
        <v>1562</v>
      </c>
      <c r="I1518" s="25">
        <v>0.9</v>
      </c>
      <c r="J1518" s="26">
        <v>1</v>
      </c>
      <c r="K1518" s="26">
        <v>1</v>
      </c>
      <c r="L1518" s="27">
        <v>1</v>
      </c>
      <c r="M1518" s="26">
        <v>1</v>
      </c>
      <c r="N1518" s="28">
        <v>0.9</v>
      </c>
      <c r="O1518" s="26">
        <v>0.99773550724637705</v>
      </c>
      <c r="P1518" s="26">
        <v>0.93483231707317105</v>
      </c>
      <c r="Q1518" s="26">
        <v>0.976902688375615</v>
      </c>
      <c r="R1518" s="26">
        <v>0.98382803141221897</v>
      </c>
      <c r="S1518" s="28">
        <v>0.9</v>
      </c>
      <c r="T1518" s="26">
        <v>0.97237318840579701</v>
      </c>
      <c r="U1518" s="26">
        <v>0.98742378048780499</v>
      </c>
      <c r="V1518" s="26">
        <v>0.98031048845134405</v>
      </c>
      <c r="W1518" s="26">
        <v>0.981432184214029</v>
      </c>
      <c r="X1518" s="28">
        <v>0.92</v>
      </c>
      <c r="Y1518" s="28">
        <v>0</v>
      </c>
      <c r="Z1518" s="28">
        <v>0</v>
      </c>
      <c r="AA1518" s="28">
        <v>0</v>
      </c>
      <c r="AB1518" s="28">
        <v>0</v>
      </c>
      <c r="AC1518" s="28">
        <v>0.92</v>
      </c>
      <c r="AD1518" s="26">
        <v>0.875</v>
      </c>
      <c r="AE1518" s="26">
        <v>0.96</v>
      </c>
      <c r="AF1518" s="26">
        <v>1</v>
      </c>
      <c r="AG1518" s="26">
        <v>0.96350364963503699</v>
      </c>
      <c r="AH1518" s="28">
        <v>0.92</v>
      </c>
      <c r="AI1518" s="26">
        <v>0.98731884057970998</v>
      </c>
      <c r="AJ1518" s="26">
        <v>0.99161585365853699</v>
      </c>
      <c r="AK1518" s="26">
        <v>0.99280575539568305</v>
      </c>
      <c r="AL1518" s="26">
        <v>0.99247970185012602</v>
      </c>
      <c r="AM1518" s="25">
        <v>0.99</v>
      </c>
      <c r="AN1518" s="30">
        <v>1</v>
      </c>
      <c r="AO1518" s="30">
        <v>1</v>
      </c>
      <c r="AP1518" s="30">
        <v>1</v>
      </c>
      <c r="AQ1518" s="30">
        <v>1</v>
      </c>
      <c r="AR1518" s="50">
        <v>0.110069253262963</v>
      </c>
      <c r="AS1518" s="34">
        <v>0</v>
      </c>
      <c r="AT1518" s="34">
        <v>0</v>
      </c>
      <c r="AU1518" s="34">
        <v>0.14285714285714299</v>
      </c>
      <c r="AV1518" s="34">
        <v>5.3763440860215103E-2</v>
      </c>
      <c r="AW1518" s="10"/>
      <c r="AX1518" s="8"/>
    </row>
    <row r="1519" spans="1:50">
      <c r="A1519" s="7"/>
      <c r="B1519" s="10"/>
      <c r="C1519" s="45" t="s">
        <v>1468</v>
      </c>
      <c r="D1519" s="23" t="s">
        <v>27</v>
      </c>
      <c r="E1519" s="61" t="s">
        <v>1563</v>
      </c>
      <c r="F1519" s="61" t="s">
        <v>1563</v>
      </c>
      <c r="G1519" s="61" t="s">
        <v>1563</v>
      </c>
      <c r="H1519" s="61" t="s">
        <v>1563</v>
      </c>
      <c r="I1519" s="25">
        <v>0.9</v>
      </c>
      <c r="J1519" s="26">
        <v>0.97777777777777797</v>
      </c>
      <c r="K1519" s="26">
        <v>1</v>
      </c>
      <c r="L1519" s="27">
        <v>0.95555555555555605</v>
      </c>
      <c r="M1519" s="26">
        <v>0.989169675090253</v>
      </c>
      <c r="N1519" s="28">
        <v>0.9</v>
      </c>
      <c r="O1519" s="26">
        <v>0.95101449275362304</v>
      </c>
      <c r="P1519" s="26">
        <v>0.95425756509500304</v>
      </c>
      <c r="Q1519" s="26">
        <v>0.90361220288227595</v>
      </c>
      <c r="R1519" s="26">
        <v>0.95385117730290603</v>
      </c>
      <c r="S1519" s="28">
        <v>0.9</v>
      </c>
      <c r="T1519" s="26">
        <v>0.93449275362318796</v>
      </c>
      <c r="U1519" s="26">
        <v>0.957307060755337</v>
      </c>
      <c r="V1519" s="26">
        <v>0.96406513194834398</v>
      </c>
      <c r="W1519" s="26">
        <v>0.94521641330769501</v>
      </c>
      <c r="X1519" s="28">
        <v>0.92</v>
      </c>
      <c r="Y1519" s="28">
        <v>0</v>
      </c>
      <c r="Z1519" s="28">
        <v>0</v>
      </c>
      <c r="AA1519" s="28">
        <v>0</v>
      </c>
      <c r="AB1519" s="28">
        <v>0</v>
      </c>
      <c r="AC1519" s="28">
        <v>0.92</v>
      </c>
      <c r="AD1519" s="26">
        <v>0.71929824561403499</v>
      </c>
      <c r="AE1519" s="26">
        <v>0.844444444444444</v>
      </c>
      <c r="AF1519" s="26">
        <v>0.98913043478260898</v>
      </c>
      <c r="AG1519" s="26">
        <v>0.90780141843971596</v>
      </c>
      <c r="AH1519" s="28">
        <v>0.92</v>
      </c>
      <c r="AI1519" s="26">
        <v>0.96492753623188399</v>
      </c>
      <c r="AJ1519" s="26">
        <v>0.98123387285948904</v>
      </c>
      <c r="AK1519" s="26">
        <v>0.98633726370952601</v>
      </c>
      <c r="AL1519" s="26">
        <v>0.980880165439176</v>
      </c>
      <c r="AM1519" s="25">
        <v>0.99</v>
      </c>
      <c r="AN1519" s="30">
        <v>1</v>
      </c>
      <c r="AO1519" s="30">
        <v>1</v>
      </c>
      <c r="AP1519" s="30">
        <v>1</v>
      </c>
      <c r="AQ1519" s="30">
        <v>1</v>
      </c>
      <c r="AR1519" s="50">
        <v>0.110069253262963</v>
      </c>
      <c r="AS1519" s="34">
        <v>4.5454545454545497E-2</v>
      </c>
      <c r="AT1519" s="34">
        <v>0.25</v>
      </c>
      <c r="AU1519" s="34">
        <v>6.6666666666666693E-2</v>
      </c>
      <c r="AV1519" s="34">
        <v>6.7669172932330796E-2</v>
      </c>
      <c r="AW1519" s="10"/>
      <c r="AX1519" s="8"/>
    </row>
    <row r="1520" spans="1:50">
      <c r="A1520" s="7"/>
      <c r="B1520" s="10"/>
      <c r="C1520" s="45" t="s">
        <v>1468</v>
      </c>
      <c r="D1520" s="23" t="s">
        <v>27</v>
      </c>
      <c r="E1520" s="61" t="s">
        <v>1564</v>
      </c>
      <c r="F1520" s="61" t="s">
        <v>1564</v>
      </c>
      <c r="G1520" s="61" t="s">
        <v>1564</v>
      </c>
      <c r="H1520" s="61" t="s">
        <v>1564</v>
      </c>
      <c r="I1520" s="25">
        <v>0.9</v>
      </c>
      <c r="J1520" s="26">
        <v>1</v>
      </c>
      <c r="K1520" s="26">
        <v>1</v>
      </c>
      <c r="L1520" s="27">
        <v>1</v>
      </c>
      <c r="M1520" s="26">
        <v>0.98876404494381998</v>
      </c>
      <c r="N1520" s="28">
        <v>0.9</v>
      </c>
      <c r="O1520" s="26">
        <v>0.98445273631840802</v>
      </c>
      <c r="P1520" s="26">
        <v>0.97891710589362702</v>
      </c>
      <c r="Q1520" s="26">
        <v>0.875440658049354</v>
      </c>
      <c r="R1520" s="26">
        <v>0.95985152639951499</v>
      </c>
      <c r="S1520" s="28">
        <v>0.9</v>
      </c>
      <c r="T1520" s="26">
        <v>0.89863184079601999</v>
      </c>
      <c r="U1520" s="26">
        <v>0.94058457115476801</v>
      </c>
      <c r="V1520" s="26">
        <v>0.95456325891108496</v>
      </c>
      <c r="W1520" s="26">
        <v>0.93644420877206302</v>
      </c>
      <c r="X1520" s="28">
        <v>0.92</v>
      </c>
      <c r="Y1520" s="28">
        <v>0</v>
      </c>
      <c r="Z1520" s="28">
        <v>0</v>
      </c>
      <c r="AA1520" s="28">
        <v>0</v>
      </c>
      <c r="AB1520" s="28">
        <v>0</v>
      </c>
      <c r="AC1520" s="28">
        <v>0.92</v>
      </c>
      <c r="AD1520" s="26">
        <v>0.97014925373134298</v>
      </c>
      <c r="AE1520" s="26">
        <v>1</v>
      </c>
      <c r="AF1520" s="26">
        <v>0.32051282051282098</v>
      </c>
      <c r="AG1520" s="26">
        <v>0.85111662531017396</v>
      </c>
      <c r="AH1520" s="28">
        <v>0.92</v>
      </c>
      <c r="AI1520" s="26">
        <v>0.97388059701492502</v>
      </c>
      <c r="AJ1520" s="26">
        <v>0.967417345471969</v>
      </c>
      <c r="AK1520" s="26">
        <v>0.98119858989424202</v>
      </c>
      <c r="AL1520" s="26">
        <v>0.97727444890538595</v>
      </c>
      <c r="AM1520" s="25">
        <v>0.99</v>
      </c>
      <c r="AN1520" s="30">
        <v>1</v>
      </c>
      <c r="AO1520" s="30">
        <v>1</v>
      </c>
      <c r="AP1520" s="30">
        <v>1</v>
      </c>
      <c r="AQ1520" s="30">
        <v>1</v>
      </c>
      <c r="AR1520" s="50">
        <v>0.110069253262963</v>
      </c>
      <c r="AS1520" s="34">
        <v>0</v>
      </c>
      <c r="AT1520" s="34">
        <v>0</v>
      </c>
      <c r="AU1520" s="34">
        <v>0.15384615384615399</v>
      </c>
      <c r="AV1520" s="34">
        <v>5.95238095238095E-2</v>
      </c>
      <c r="AW1520" s="10"/>
      <c r="AX1520" s="8"/>
    </row>
    <row r="1521" spans="1:50">
      <c r="A1521" s="7"/>
      <c r="B1521" s="10"/>
      <c r="C1521" s="45" t="s">
        <v>1468</v>
      </c>
      <c r="D1521" s="23" t="s">
        <v>27</v>
      </c>
      <c r="E1521" s="61" t="s">
        <v>1565</v>
      </c>
      <c r="F1521" s="61" t="s">
        <v>1565</v>
      </c>
      <c r="G1521" s="61" t="s">
        <v>1565</v>
      </c>
      <c r="H1521" s="61" t="s">
        <v>1565</v>
      </c>
      <c r="I1521" s="25">
        <v>0.9</v>
      </c>
      <c r="J1521" s="26">
        <v>0.9</v>
      </c>
      <c r="K1521" s="26">
        <v>0.952380952380952</v>
      </c>
      <c r="L1521" s="27">
        <v>0.95454545454545503</v>
      </c>
      <c r="M1521" s="26">
        <v>0.952755905511811</v>
      </c>
      <c r="N1521" s="28">
        <v>0.9</v>
      </c>
      <c r="O1521" s="26">
        <v>0.82815598149372105</v>
      </c>
      <c r="P1521" s="26">
        <v>0.89637305699481895</v>
      </c>
      <c r="Q1521" s="26">
        <v>0.94161606725829095</v>
      </c>
      <c r="R1521" s="26">
        <v>0.90347008404759899</v>
      </c>
      <c r="S1521" s="28">
        <v>0.9</v>
      </c>
      <c r="T1521" s="26">
        <v>0.73628552544613302</v>
      </c>
      <c r="U1521" s="26">
        <v>0.78031088082901601</v>
      </c>
      <c r="V1521" s="26">
        <v>0.73610462400747301</v>
      </c>
      <c r="W1521" s="26">
        <v>0.70391944744944701</v>
      </c>
      <c r="X1521" s="28">
        <v>0.92</v>
      </c>
      <c r="Y1521" s="28">
        <v>0</v>
      </c>
      <c r="Z1521" s="28">
        <v>0</v>
      </c>
      <c r="AA1521" s="28">
        <v>0</v>
      </c>
      <c r="AB1521" s="28">
        <v>0</v>
      </c>
      <c r="AC1521" s="28">
        <v>0.92</v>
      </c>
      <c r="AD1521" s="26">
        <v>1</v>
      </c>
      <c r="AE1521" s="26">
        <v>1</v>
      </c>
      <c r="AF1521" s="26">
        <v>1</v>
      </c>
      <c r="AG1521" s="26">
        <v>0.98765432098765404</v>
      </c>
      <c r="AH1521" s="28">
        <v>0.92</v>
      </c>
      <c r="AI1521" s="26">
        <v>0.94051553205551897</v>
      </c>
      <c r="AJ1521" s="26">
        <v>0.94715025906735795</v>
      </c>
      <c r="AK1521" s="26">
        <v>0.94628678187762705</v>
      </c>
      <c r="AL1521" s="26">
        <v>0.95115253391029397</v>
      </c>
      <c r="AM1521" s="25">
        <v>0.99</v>
      </c>
      <c r="AN1521" s="30">
        <v>1</v>
      </c>
      <c r="AO1521" s="30">
        <v>0</v>
      </c>
      <c r="AP1521" s="30">
        <v>0</v>
      </c>
      <c r="AQ1521" s="30">
        <v>1</v>
      </c>
      <c r="AR1521" s="50">
        <v>0.110069253262963</v>
      </c>
      <c r="AS1521" s="34">
        <v>3.7037037037037E-2</v>
      </c>
      <c r="AT1521" s="34">
        <v>0</v>
      </c>
      <c r="AU1521" s="34">
        <v>0</v>
      </c>
      <c r="AV1521" s="34">
        <v>5.7377049180327898E-2</v>
      </c>
      <c r="AW1521" s="10"/>
      <c r="AX1521" s="8"/>
    </row>
    <row r="1522" spans="1:50">
      <c r="A1522" s="7"/>
      <c r="B1522" s="10"/>
      <c r="C1522" s="45" t="s">
        <v>1468</v>
      </c>
      <c r="D1522" s="23" t="s">
        <v>27</v>
      </c>
      <c r="E1522" s="61" t="s">
        <v>1566</v>
      </c>
      <c r="F1522" s="61" t="s">
        <v>1566</v>
      </c>
      <c r="G1522" s="61" t="s">
        <v>1566</v>
      </c>
      <c r="H1522" s="61" t="s">
        <v>1566</v>
      </c>
      <c r="I1522" s="25">
        <v>0.9</v>
      </c>
      <c r="J1522" s="26">
        <v>1</v>
      </c>
      <c r="K1522" s="26">
        <v>1</v>
      </c>
      <c r="L1522" s="27">
        <v>1</v>
      </c>
      <c r="M1522" s="26">
        <v>0.99145299145299104</v>
      </c>
      <c r="N1522" s="28">
        <v>0.9</v>
      </c>
      <c r="O1522" s="26">
        <v>0.99013657056145699</v>
      </c>
      <c r="P1522" s="26">
        <v>0.95589088798607103</v>
      </c>
      <c r="Q1522" s="26">
        <v>0.99629237288135597</v>
      </c>
      <c r="R1522" s="26">
        <v>0.96684818954810403</v>
      </c>
      <c r="S1522" s="28">
        <v>0.9</v>
      </c>
      <c r="T1522" s="26">
        <v>0.92336874051593298</v>
      </c>
      <c r="U1522" s="26">
        <v>0.86128845037724899</v>
      </c>
      <c r="V1522" s="26">
        <v>0.93008474576271205</v>
      </c>
      <c r="W1522" s="26">
        <v>0.88611827648801</v>
      </c>
      <c r="X1522" s="28">
        <v>0.92</v>
      </c>
      <c r="Y1522" s="28">
        <v>0</v>
      </c>
      <c r="Z1522" s="28">
        <v>0</v>
      </c>
      <c r="AA1522" s="28">
        <v>0</v>
      </c>
      <c r="AB1522" s="28">
        <v>0</v>
      </c>
      <c r="AC1522" s="28">
        <v>0.92</v>
      </c>
      <c r="AD1522" s="26">
        <v>0.93023255813953498</v>
      </c>
      <c r="AE1522" s="26">
        <v>0.92500000000000004</v>
      </c>
      <c r="AF1522" s="26">
        <v>0.75675675675675702</v>
      </c>
      <c r="AG1522" s="26">
        <v>0.85975609756097604</v>
      </c>
      <c r="AH1522" s="28">
        <v>0.92</v>
      </c>
      <c r="AI1522" s="26">
        <v>0.97270659590598896</v>
      </c>
      <c r="AJ1522" s="26">
        <v>0.98897272199651798</v>
      </c>
      <c r="AK1522" s="26">
        <v>0.99152542372881403</v>
      </c>
      <c r="AL1522" s="26">
        <v>0.98567061520825405</v>
      </c>
      <c r="AM1522" s="25">
        <v>0.99</v>
      </c>
      <c r="AN1522" s="30">
        <v>1</v>
      </c>
      <c r="AO1522" s="30">
        <v>1</v>
      </c>
      <c r="AP1522" s="30">
        <v>1</v>
      </c>
      <c r="AQ1522" s="30">
        <v>1</v>
      </c>
      <c r="AR1522" s="50">
        <v>0.110069253262963</v>
      </c>
      <c r="AS1522" s="34">
        <v>0</v>
      </c>
      <c r="AT1522" s="34">
        <v>9.0909090909090898E-2</v>
      </c>
      <c r="AU1522" s="34">
        <v>0</v>
      </c>
      <c r="AV1522" s="34">
        <v>0.05</v>
      </c>
      <c r="AW1522" s="10"/>
      <c r="AX1522" s="8"/>
    </row>
    <row r="1523" spans="1:50">
      <c r="A1523" s="7"/>
      <c r="B1523" s="10"/>
      <c r="C1523" s="45" t="s">
        <v>1468</v>
      </c>
      <c r="D1523" s="23" t="s">
        <v>27</v>
      </c>
      <c r="E1523" s="61" t="s">
        <v>1567</v>
      </c>
      <c r="F1523" s="61" t="s">
        <v>1567</v>
      </c>
      <c r="G1523" s="61" t="s">
        <v>1567</v>
      </c>
      <c r="H1523" s="61" t="s">
        <v>1567</v>
      </c>
      <c r="I1523" s="25">
        <v>0.9</v>
      </c>
      <c r="J1523" s="26">
        <v>0</v>
      </c>
      <c r="K1523" s="26">
        <v>0</v>
      </c>
      <c r="L1523" s="27">
        <v>0</v>
      </c>
      <c r="M1523" s="26">
        <v>0</v>
      </c>
      <c r="N1523" s="28">
        <v>0.9</v>
      </c>
      <c r="O1523" s="26">
        <v>0</v>
      </c>
      <c r="P1523" s="26">
        <v>0</v>
      </c>
      <c r="Q1523" s="26">
        <v>0</v>
      </c>
      <c r="R1523" s="26">
        <v>0</v>
      </c>
      <c r="S1523" s="28">
        <v>0.9</v>
      </c>
      <c r="T1523" s="26">
        <v>0</v>
      </c>
      <c r="U1523" s="26">
        <v>0</v>
      </c>
      <c r="V1523" s="26">
        <v>0</v>
      </c>
      <c r="W1523" s="26">
        <v>0</v>
      </c>
      <c r="X1523" s="28">
        <v>0.92</v>
      </c>
      <c r="Y1523" s="28">
        <v>0</v>
      </c>
      <c r="Z1523" s="28">
        <v>0</v>
      </c>
      <c r="AA1523" s="28">
        <v>0</v>
      </c>
      <c r="AB1523" s="28">
        <v>0</v>
      </c>
      <c r="AC1523" s="28">
        <v>0.92</v>
      </c>
      <c r="AD1523" s="26">
        <v>1</v>
      </c>
      <c r="AE1523" s="26">
        <v>0.9765625</v>
      </c>
      <c r="AF1523" s="26">
        <v>0.993670886075949</v>
      </c>
      <c r="AG1523" s="26">
        <v>0.99377916018662504</v>
      </c>
      <c r="AH1523" s="28">
        <v>0.92</v>
      </c>
      <c r="AI1523" s="26">
        <v>0</v>
      </c>
      <c r="AJ1523" s="26">
        <v>0</v>
      </c>
      <c r="AK1523" s="26">
        <v>0</v>
      </c>
      <c r="AL1523" s="26">
        <v>0</v>
      </c>
      <c r="AM1523" s="25">
        <v>0.99</v>
      </c>
      <c r="AN1523" s="30">
        <v>0</v>
      </c>
      <c r="AO1523" s="30">
        <v>0</v>
      </c>
      <c r="AP1523" s="30">
        <v>0</v>
      </c>
      <c r="AQ1523" s="30">
        <v>1</v>
      </c>
      <c r="AR1523" s="50">
        <v>0.110069253262963</v>
      </c>
      <c r="AS1523" s="34">
        <v>0</v>
      </c>
      <c r="AT1523" s="34">
        <v>0</v>
      </c>
      <c r="AU1523" s="34">
        <v>0</v>
      </c>
      <c r="AV1523" s="34">
        <v>0</v>
      </c>
      <c r="AW1523" s="10"/>
      <c r="AX1523" s="8"/>
    </row>
    <row r="1524" spans="1:50">
      <c r="A1524" s="7"/>
      <c r="B1524" s="10"/>
      <c r="C1524" s="45" t="s">
        <v>1468</v>
      </c>
      <c r="D1524" s="23" t="s">
        <v>27</v>
      </c>
      <c r="E1524" s="61" t="s">
        <v>1568</v>
      </c>
      <c r="F1524" s="61" t="s">
        <v>1568</v>
      </c>
      <c r="G1524" s="61" t="s">
        <v>1568</v>
      </c>
      <c r="H1524" s="61" t="s">
        <v>1568</v>
      </c>
      <c r="I1524" s="25">
        <v>0.9</v>
      </c>
      <c r="J1524" s="26">
        <v>1</v>
      </c>
      <c r="K1524" s="26">
        <v>1</v>
      </c>
      <c r="L1524" s="27">
        <v>1</v>
      </c>
      <c r="M1524" s="26">
        <v>1</v>
      </c>
      <c r="N1524" s="28">
        <v>0.9</v>
      </c>
      <c r="O1524" s="26">
        <v>0.99450811843361997</v>
      </c>
      <c r="P1524" s="26">
        <v>0.97721021611002001</v>
      </c>
      <c r="Q1524" s="26">
        <v>0.98055360896986699</v>
      </c>
      <c r="R1524" s="26">
        <v>0.98938281717652199</v>
      </c>
      <c r="S1524" s="28">
        <v>0.9</v>
      </c>
      <c r="T1524" s="26">
        <v>0.93815663801337201</v>
      </c>
      <c r="U1524" s="26">
        <v>0.93713163064833005</v>
      </c>
      <c r="V1524" s="26">
        <v>0.95988086895585101</v>
      </c>
      <c r="W1524" s="26">
        <v>0.94149522699347798</v>
      </c>
      <c r="X1524" s="28">
        <v>0.92</v>
      </c>
      <c r="Y1524" s="28">
        <v>0</v>
      </c>
      <c r="Z1524" s="28">
        <v>0</v>
      </c>
      <c r="AA1524" s="28">
        <v>0</v>
      </c>
      <c r="AB1524" s="28">
        <v>0</v>
      </c>
      <c r="AC1524" s="28">
        <v>0.92</v>
      </c>
      <c r="AD1524" s="26">
        <v>0.97972972972973005</v>
      </c>
      <c r="AE1524" s="26">
        <v>0.98139534883720903</v>
      </c>
      <c r="AF1524" s="26">
        <v>0.99259259259259303</v>
      </c>
      <c r="AG1524" s="26">
        <v>0.99189985272459502</v>
      </c>
      <c r="AH1524" s="28">
        <v>0.92</v>
      </c>
      <c r="AI1524" s="26">
        <v>0.97397325692454595</v>
      </c>
      <c r="AJ1524" s="26">
        <v>0.979371316306483</v>
      </c>
      <c r="AK1524" s="26">
        <v>0.98475823405746299</v>
      </c>
      <c r="AL1524" s="26">
        <v>0.97974292735177404</v>
      </c>
      <c r="AM1524" s="25">
        <v>0.99</v>
      </c>
      <c r="AN1524" s="30">
        <v>1</v>
      </c>
      <c r="AO1524" s="30">
        <v>1</v>
      </c>
      <c r="AP1524" s="30">
        <v>1</v>
      </c>
      <c r="AQ1524" s="30">
        <v>1</v>
      </c>
      <c r="AR1524" s="50">
        <v>0.110069253262963</v>
      </c>
      <c r="AS1524" s="34">
        <v>0.194444444444444</v>
      </c>
      <c r="AT1524" s="34">
        <v>0.107142857142857</v>
      </c>
      <c r="AU1524" s="34">
        <v>5.5555555555555601E-2</v>
      </c>
      <c r="AV1524" s="34">
        <v>9.7014925373134303E-2</v>
      </c>
      <c r="AW1524" s="10"/>
      <c r="AX1524" s="8"/>
    </row>
    <row r="1525" spans="1:50">
      <c r="A1525" s="7"/>
      <c r="B1525" s="10"/>
      <c r="C1525" s="45" t="s">
        <v>1468</v>
      </c>
      <c r="D1525" s="23" t="s">
        <v>27</v>
      </c>
      <c r="E1525" s="61" t="s">
        <v>1569</v>
      </c>
      <c r="F1525" s="61" t="s">
        <v>1569</v>
      </c>
      <c r="G1525" s="61" t="s">
        <v>1569</v>
      </c>
      <c r="H1525" s="61" t="s">
        <v>1569</v>
      </c>
      <c r="I1525" s="25">
        <v>0.9</v>
      </c>
      <c r="J1525" s="26">
        <v>0.96296296296296302</v>
      </c>
      <c r="K1525" s="26">
        <v>1</v>
      </c>
      <c r="L1525" s="27">
        <v>0.952380952380952</v>
      </c>
      <c r="M1525" s="26">
        <v>0.95454545454545503</v>
      </c>
      <c r="N1525" s="28">
        <v>0.9</v>
      </c>
      <c r="O1525" s="26">
        <v>0.89265212399540805</v>
      </c>
      <c r="P1525" s="26">
        <v>0.68457619268179704</v>
      </c>
      <c r="Q1525" s="26">
        <v>0.77987846049966203</v>
      </c>
      <c r="R1525" s="26">
        <v>0.82232893157262898</v>
      </c>
      <c r="S1525" s="28">
        <v>0.9</v>
      </c>
      <c r="T1525" s="26">
        <v>0.75774971297359395</v>
      </c>
      <c r="U1525" s="26">
        <v>0.63594256600277899</v>
      </c>
      <c r="V1525" s="26">
        <v>0.76299797434166095</v>
      </c>
      <c r="W1525" s="26">
        <v>0.73424369747899199</v>
      </c>
      <c r="X1525" s="28">
        <v>0.92</v>
      </c>
      <c r="Y1525" s="28">
        <v>0</v>
      </c>
      <c r="Z1525" s="28">
        <v>0</v>
      </c>
      <c r="AA1525" s="28">
        <v>0</v>
      </c>
      <c r="AB1525" s="28">
        <v>0</v>
      </c>
      <c r="AC1525" s="28">
        <v>0.92</v>
      </c>
      <c r="AD1525" s="26">
        <v>1</v>
      </c>
      <c r="AE1525" s="26">
        <v>0.96531791907514497</v>
      </c>
      <c r="AF1525" s="26">
        <v>0.99386503067484699</v>
      </c>
      <c r="AG1525" s="26">
        <v>0.99054820415878997</v>
      </c>
      <c r="AH1525" s="28">
        <v>0.92</v>
      </c>
      <c r="AI1525" s="26">
        <v>0.91446613088404105</v>
      </c>
      <c r="AJ1525" s="26">
        <v>0.77721167207040298</v>
      </c>
      <c r="AK1525" s="26">
        <v>0.85752869682646904</v>
      </c>
      <c r="AL1525" s="26">
        <v>0.84873949579831898</v>
      </c>
      <c r="AM1525" s="25">
        <v>0.99</v>
      </c>
      <c r="AN1525" s="30">
        <v>1</v>
      </c>
      <c r="AO1525" s="30">
        <v>1</v>
      </c>
      <c r="AP1525" s="30">
        <v>1</v>
      </c>
      <c r="AQ1525" s="30">
        <v>1</v>
      </c>
      <c r="AR1525" s="50">
        <v>0.110069253262963</v>
      </c>
      <c r="AS1525" s="34">
        <v>0.16666666666666699</v>
      </c>
      <c r="AT1525" s="34">
        <v>0</v>
      </c>
      <c r="AU1525" s="34">
        <v>0</v>
      </c>
      <c r="AV1525" s="34">
        <v>5.7971014492753603E-2</v>
      </c>
      <c r="AW1525" s="10"/>
      <c r="AX1525" s="8"/>
    </row>
    <row r="1526" spans="1:50">
      <c r="A1526" s="7"/>
      <c r="B1526" s="10"/>
      <c r="C1526" s="45" t="s">
        <v>1468</v>
      </c>
      <c r="D1526" s="23" t="s">
        <v>27</v>
      </c>
      <c r="E1526" s="61" t="s">
        <v>1570</v>
      </c>
      <c r="F1526" s="61" t="s">
        <v>1570</v>
      </c>
      <c r="G1526" s="61" t="s">
        <v>1570</v>
      </c>
      <c r="H1526" s="61" t="s">
        <v>1570</v>
      </c>
      <c r="I1526" s="25">
        <v>0.9</v>
      </c>
      <c r="J1526" s="26">
        <v>0.97297297297297303</v>
      </c>
      <c r="K1526" s="26">
        <v>1</v>
      </c>
      <c r="L1526" s="27">
        <v>1</v>
      </c>
      <c r="M1526" s="26">
        <v>0.987179487179487</v>
      </c>
      <c r="N1526" s="28">
        <v>0.9</v>
      </c>
      <c r="O1526" s="26">
        <v>0.963063063063063</v>
      </c>
      <c r="P1526" s="26">
        <v>0.96474045053868795</v>
      </c>
      <c r="Q1526" s="26">
        <v>0.93130295397297902</v>
      </c>
      <c r="R1526" s="26">
        <v>0.96941292550567304</v>
      </c>
      <c r="S1526" s="28">
        <v>0.9</v>
      </c>
      <c r="T1526" s="26">
        <v>0.93483483483483498</v>
      </c>
      <c r="U1526" s="26">
        <v>0.95641527913809998</v>
      </c>
      <c r="V1526" s="26">
        <v>0.95053812686054495</v>
      </c>
      <c r="W1526" s="26">
        <v>0.94651373129419503</v>
      </c>
      <c r="X1526" s="28">
        <v>0.92</v>
      </c>
      <c r="Y1526" s="28">
        <v>0</v>
      </c>
      <c r="Z1526" s="28">
        <v>0</v>
      </c>
      <c r="AA1526" s="28">
        <v>0</v>
      </c>
      <c r="AB1526" s="28">
        <v>0</v>
      </c>
      <c r="AC1526" s="28">
        <v>0.92</v>
      </c>
      <c r="AD1526" s="26">
        <v>0.97549019607843102</v>
      </c>
      <c r="AE1526" s="26">
        <v>0.99166666666666703</v>
      </c>
      <c r="AF1526" s="26">
        <v>0.985611510791367</v>
      </c>
      <c r="AG1526" s="26">
        <v>0.95824175824175795</v>
      </c>
      <c r="AH1526" s="28">
        <v>0.92</v>
      </c>
      <c r="AI1526" s="26">
        <v>0.977177177177177</v>
      </c>
      <c r="AJ1526" s="26">
        <v>0.97943192948090096</v>
      </c>
      <c r="AK1526" s="26">
        <v>0.98717655140828897</v>
      </c>
      <c r="AL1526" s="26">
        <v>0.98413220422593095</v>
      </c>
      <c r="AM1526" s="25">
        <v>0.99</v>
      </c>
      <c r="AN1526" s="30">
        <v>1</v>
      </c>
      <c r="AO1526" s="30">
        <v>1</v>
      </c>
      <c r="AP1526" s="30">
        <v>1</v>
      </c>
      <c r="AQ1526" s="30">
        <v>1</v>
      </c>
      <c r="AR1526" s="50">
        <v>0.110069253262963</v>
      </c>
      <c r="AS1526" s="34">
        <v>5.8823529411764698E-2</v>
      </c>
      <c r="AT1526" s="34">
        <v>0.266666666666667</v>
      </c>
      <c r="AU1526" s="34">
        <v>4.7619047619047603E-2</v>
      </c>
      <c r="AV1526" s="34">
        <v>7.4074074074074098E-2</v>
      </c>
      <c r="AW1526" s="10"/>
      <c r="AX1526" s="8"/>
    </row>
    <row r="1527" spans="1:50">
      <c r="A1527" s="7"/>
      <c r="B1527" s="10"/>
      <c r="C1527" s="45" t="s">
        <v>1468</v>
      </c>
      <c r="D1527" s="23" t="s">
        <v>27</v>
      </c>
      <c r="E1527" s="61" t="s">
        <v>1571</v>
      </c>
      <c r="F1527" s="61" t="s">
        <v>1571</v>
      </c>
      <c r="G1527" s="61" t="s">
        <v>1571</v>
      </c>
      <c r="H1527" s="61" t="s">
        <v>1571</v>
      </c>
      <c r="I1527" s="25">
        <v>0.9</v>
      </c>
      <c r="J1527" s="26">
        <v>1</v>
      </c>
      <c r="K1527" s="26">
        <v>0.95348837209302295</v>
      </c>
      <c r="L1527" s="27">
        <v>0.97674418604651203</v>
      </c>
      <c r="M1527" s="26">
        <v>0.96442687747035605</v>
      </c>
      <c r="N1527" s="28">
        <v>0.9</v>
      </c>
      <c r="O1527" s="26">
        <v>0.93692543411644502</v>
      </c>
      <c r="P1527" s="26">
        <v>0.96596268197662505</v>
      </c>
      <c r="Q1527" s="26">
        <v>0.87776852622814305</v>
      </c>
      <c r="R1527" s="26">
        <v>0.93164565210308503</v>
      </c>
      <c r="S1527" s="28">
        <v>0.9</v>
      </c>
      <c r="T1527" s="26">
        <v>0.88764044943820197</v>
      </c>
      <c r="U1527" s="26">
        <v>0.92782448226368697</v>
      </c>
      <c r="V1527" s="26">
        <v>0.88576186511240596</v>
      </c>
      <c r="W1527" s="26">
        <v>0.87919069494673097</v>
      </c>
      <c r="X1527" s="28">
        <v>0.92</v>
      </c>
      <c r="Y1527" s="28">
        <v>0</v>
      </c>
      <c r="Z1527" s="28">
        <v>0</v>
      </c>
      <c r="AA1527" s="28">
        <v>0</v>
      </c>
      <c r="AB1527" s="28">
        <v>0</v>
      </c>
      <c r="AC1527" s="28">
        <v>0.92</v>
      </c>
      <c r="AD1527" s="26">
        <v>1</v>
      </c>
      <c r="AE1527" s="26">
        <v>0.98596491228070204</v>
      </c>
      <c r="AF1527" s="26">
        <v>1</v>
      </c>
      <c r="AG1527" s="26">
        <v>0.98745910577971696</v>
      </c>
      <c r="AH1527" s="28">
        <v>0.92</v>
      </c>
      <c r="AI1527" s="26">
        <v>0.95377936670071495</v>
      </c>
      <c r="AJ1527" s="26">
        <v>0.96985851958170999</v>
      </c>
      <c r="AK1527" s="26">
        <v>0.96869275603663596</v>
      </c>
      <c r="AL1527" s="26">
        <v>0.96223894699117096</v>
      </c>
      <c r="AM1527" s="25">
        <v>0.99</v>
      </c>
      <c r="AN1527" s="30">
        <v>1</v>
      </c>
      <c r="AO1527" s="30">
        <v>1</v>
      </c>
      <c r="AP1527" s="30">
        <v>1</v>
      </c>
      <c r="AQ1527" s="30">
        <v>1</v>
      </c>
      <c r="AR1527" s="50">
        <v>0.110069253262963</v>
      </c>
      <c r="AS1527" s="34">
        <v>5.8823529411764698E-2</v>
      </c>
      <c r="AT1527" s="34">
        <v>5.5555555555555601E-2</v>
      </c>
      <c r="AU1527" s="34">
        <v>7.69230769230769E-2</v>
      </c>
      <c r="AV1527" s="34">
        <v>7.8947368421052599E-2</v>
      </c>
      <c r="AW1527" s="10"/>
      <c r="AX1527" s="8"/>
    </row>
    <row r="1528" spans="1:50">
      <c r="A1528" s="7"/>
      <c r="B1528" s="10"/>
      <c r="C1528" s="45" t="s">
        <v>1468</v>
      </c>
      <c r="D1528" s="23" t="s">
        <v>27</v>
      </c>
      <c r="E1528" s="61" t="s">
        <v>1572</v>
      </c>
      <c r="F1528" s="61" t="s">
        <v>1572</v>
      </c>
      <c r="G1528" s="61" t="s">
        <v>1572</v>
      </c>
      <c r="H1528" s="61" t="s">
        <v>1572</v>
      </c>
      <c r="I1528" s="25">
        <v>0.9</v>
      </c>
      <c r="J1528" s="26">
        <v>0.94736842105263197</v>
      </c>
      <c r="K1528" s="26">
        <v>0.94444444444444398</v>
      </c>
      <c r="L1528" s="27">
        <v>0.94444444444444398</v>
      </c>
      <c r="M1528" s="26">
        <v>0.95535714285714302</v>
      </c>
      <c r="N1528" s="28">
        <v>0.9</v>
      </c>
      <c r="O1528" s="26">
        <v>0.99526346950858502</v>
      </c>
      <c r="P1528" s="26">
        <v>0.98989412897016404</v>
      </c>
      <c r="Q1528" s="26">
        <v>0.99401964972234103</v>
      </c>
      <c r="R1528" s="26">
        <v>0.98320472083522503</v>
      </c>
      <c r="S1528" s="28">
        <v>0.9</v>
      </c>
      <c r="T1528" s="26">
        <v>0.92658377738306696</v>
      </c>
      <c r="U1528" s="26">
        <v>0.90904716073147296</v>
      </c>
      <c r="V1528" s="26">
        <v>0.94019649722340903</v>
      </c>
      <c r="W1528" s="26">
        <v>0.91632622181873202</v>
      </c>
      <c r="X1528" s="28">
        <v>0.92</v>
      </c>
      <c r="Y1528" s="28">
        <v>0</v>
      </c>
      <c r="Z1528" s="28">
        <v>0</v>
      </c>
      <c r="AA1528" s="28">
        <v>0</v>
      </c>
      <c r="AB1528" s="28">
        <v>0</v>
      </c>
      <c r="AC1528" s="28">
        <v>0.92</v>
      </c>
      <c r="AD1528" s="26">
        <v>0.98701298701298701</v>
      </c>
      <c r="AE1528" s="26">
        <v>0.99082568807339499</v>
      </c>
      <c r="AF1528" s="26">
        <v>1</v>
      </c>
      <c r="AG1528" s="26">
        <v>0.99666666666666703</v>
      </c>
      <c r="AH1528" s="28">
        <v>0.92</v>
      </c>
      <c r="AI1528" s="26">
        <v>0.96092362344582605</v>
      </c>
      <c r="AJ1528" s="26">
        <v>0.96631376323387896</v>
      </c>
      <c r="AK1528" s="26">
        <v>0.98077744553609603</v>
      </c>
      <c r="AL1528" s="26">
        <v>0.97352095627175095</v>
      </c>
      <c r="AM1528" s="25">
        <v>0.99</v>
      </c>
      <c r="AN1528" s="30">
        <v>1</v>
      </c>
      <c r="AO1528" s="30">
        <v>1</v>
      </c>
      <c r="AP1528" s="30">
        <v>1</v>
      </c>
      <c r="AQ1528" s="30">
        <v>1</v>
      </c>
      <c r="AR1528" s="50">
        <v>0.110069253262963</v>
      </c>
      <c r="AS1528" s="34">
        <v>0.33333333333333298</v>
      </c>
      <c r="AT1528" s="34">
        <v>0.41176470588235298</v>
      </c>
      <c r="AU1528" s="34">
        <v>0.1</v>
      </c>
      <c r="AV1528" s="34">
        <v>0.179245283018868</v>
      </c>
      <c r="AW1528" s="10"/>
      <c r="AX1528" s="8"/>
    </row>
    <row r="1529" spans="1:50">
      <c r="A1529" s="7"/>
      <c r="B1529" s="10"/>
      <c r="C1529" s="45" t="s">
        <v>1468</v>
      </c>
      <c r="D1529" s="23" t="s">
        <v>27</v>
      </c>
      <c r="E1529" s="61" t="s">
        <v>1573</v>
      </c>
      <c r="F1529" s="61" t="s">
        <v>1573</v>
      </c>
      <c r="G1529" s="61" t="s">
        <v>1573</v>
      </c>
      <c r="H1529" s="61" t="s">
        <v>1573</v>
      </c>
      <c r="I1529" s="25">
        <v>0.9</v>
      </c>
      <c r="J1529" s="26">
        <v>0.90909090909090895</v>
      </c>
      <c r="K1529" s="26">
        <v>0.875</v>
      </c>
      <c r="L1529" s="27">
        <v>1</v>
      </c>
      <c r="M1529" s="26">
        <v>0.90370370370370401</v>
      </c>
      <c r="N1529" s="28">
        <v>0.9</v>
      </c>
      <c r="O1529" s="26">
        <v>0.96488294314381295</v>
      </c>
      <c r="P1529" s="26">
        <v>0.917888563049853</v>
      </c>
      <c r="Q1529" s="26">
        <v>0.90541632983023401</v>
      </c>
      <c r="R1529" s="26">
        <v>0.92684410646387805</v>
      </c>
      <c r="S1529" s="28">
        <v>0.9</v>
      </c>
      <c r="T1529" s="26">
        <v>0.93199554069119295</v>
      </c>
      <c r="U1529" s="26">
        <v>0.93129451193967305</v>
      </c>
      <c r="V1529" s="26">
        <v>0.91996766370250604</v>
      </c>
      <c r="W1529" s="26">
        <v>0.92380228136882103</v>
      </c>
      <c r="X1529" s="28">
        <v>0.92</v>
      </c>
      <c r="Y1529" s="28">
        <v>0</v>
      </c>
      <c r="Z1529" s="28">
        <v>0</v>
      </c>
      <c r="AA1529" s="28">
        <v>0</v>
      </c>
      <c r="AB1529" s="28">
        <v>0</v>
      </c>
      <c r="AC1529" s="28">
        <v>0.92</v>
      </c>
      <c r="AD1529" s="26">
        <v>0.99696969696969695</v>
      </c>
      <c r="AE1529" s="26">
        <v>0.97761194029850795</v>
      </c>
      <c r="AF1529" s="26">
        <v>1</v>
      </c>
      <c r="AG1529" s="26">
        <v>0.97788125727590203</v>
      </c>
      <c r="AH1529" s="28">
        <v>0.92</v>
      </c>
      <c r="AI1529" s="26">
        <v>0.95986622073578598</v>
      </c>
      <c r="AJ1529" s="26">
        <v>0.95684960201089198</v>
      </c>
      <c r="AK1529" s="26">
        <v>0.97413096200485005</v>
      </c>
      <c r="AL1529" s="26">
        <v>0.96235741444866896</v>
      </c>
      <c r="AM1529" s="25">
        <v>0.99</v>
      </c>
      <c r="AN1529" s="30">
        <v>1</v>
      </c>
      <c r="AO1529" s="30">
        <v>1</v>
      </c>
      <c r="AP1529" s="30">
        <v>1</v>
      </c>
      <c r="AQ1529" s="30">
        <v>1</v>
      </c>
      <c r="AR1529" s="50">
        <v>0.110069253262963</v>
      </c>
      <c r="AS1529" s="34">
        <v>0.230769230769231</v>
      </c>
      <c r="AT1529" s="34">
        <v>0.11764705882352899</v>
      </c>
      <c r="AU1529" s="34">
        <v>0.13043478260869601</v>
      </c>
      <c r="AV1529" s="34">
        <v>0.141666666666667</v>
      </c>
      <c r="AW1529" s="10"/>
      <c r="AX1529" s="8"/>
    </row>
    <row r="1530" spans="1:50">
      <c r="A1530" s="7"/>
      <c r="B1530" s="10"/>
      <c r="C1530" s="45" t="s">
        <v>1468</v>
      </c>
      <c r="D1530" s="23" t="s">
        <v>27</v>
      </c>
      <c r="E1530" s="61" t="s">
        <v>1574</v>
      </c>
      <c r="F1530" s="61" t="s">
        <v>1574</v>
      </c>
      <c r="G1530" s="61" t="s">
        <v>1574</v>
      </c>
      <c r="H1530" s="61" t="s">
        <v>1574</v>
      </c>
      <c r="I1530" s="25">
        <v>0.9</v>
      </c>
      <c r="J1530" s="26">
        <v>0.875</v>
      </c>
      <c r="K1530" s="26">
        <v>0.95454545454545503</v>
      </c>
      <c r="L1530" s="27">
        <v>1</v>
      </c>
      <c r="M1530" s="26">
        <v>0.94444444444444398</v>
      </c>
      <c r="N1530" s="28">
        <v>0.9</v>
      </c>
      <c r="O1530" s="26">
        <v>0.98819561551433399</v>
      </c>
      <c r="P1530" s="26">
        <v>0.98958333333333304</v>
      </c>
      <c r="Q1530" s="26">
        <v>0.92461005199306801</v>
      </c>
      <c r="R1530" s="26">
        <v>0.97509387692543503</v>
      </c>
      <c r="S1530" s="28">
        <v>0.9</v>
      </c>
      <c r="T1530" s="26">
        <v>0.91287240022484495</v>
      </c>
      <c r="U1530" s="26">
        <v>0.92753623188405798</v>
      </c>
      <c r="V1530" s="26">
        <v>0.901213171577123</v>
      </c>
      <c r="W1530" s="26">
        <v>0.91669859759368499</v>
      </c>
      <c r="X1530" s="28">
        <v>0.92</v>
      </c>
      <c r="Y1530" s="28">
        <v>0</v>
      </c>
      <c r="Z1530" s="28">
        <v>0</v>
      </c>
      <c r="AA1530" s="28">
        <v>0</v>
      </c>
      <c r="AB1530" s="28">
        <v>0</v>
      </c>
      <c r="AC1530" s="28">
        <v>0.92</v>
      </c>
      <c r="AD1530" s="26">
        <v>0.55172413793103403</v>
      </c>
      <c r="AE1530" s="26">
        <v>0.88372093023255804</v>
      </c>
      <c r="AF1530" s="26">
        <v>0.53125</v>
      </c>
      <c r="AG1530" s="26">
        <v>0.75454545454545496</v>
      </c>
      <c r="AH1530" s="28">
        <v>0.92</v>
      </c>
      <c r="AI1530" s="26">
        <v>0.95390668915120902</v>
      </c>
      <c r="AJ1530" s="26">
        <v>0.96331521739130399</v>
      </c>
      <c r="AK1530" s="26">
        <v>0.96620450606585795</v>
      </c>
      <c r="AL1530" s="26">
        <v>0.96773699134033297</v>
      </c>
      <c r="AM1530" s="25">
        <v>0.99</v>
      </c>
      <c r="AN1530" s="30">
        <v>1</v>
      </c>
      <c r="AO1530" s="30">
        <v>1</v>
      </c>
      <c r="AP1530" s="30">
        <v>1</v>
      </c>
      <c r="AQ1530" s="30">
        <v>1</v>
      </c>
      <c r="AR1530" s="50">
        <v>0.110069253262963</v>
      </c>
      <c r="AS1530" s="34">
        <v>7.1428571428571397E-2</v>
      </c>
      <c r="AT1530" s="34">
        <v>0.18181818181818199</v>
      </c>
      <c r="AU1530" s="34">
        <v>0</v>
      </c>
      <c r="AV1530" s="34">
        <v>8.8607594936708903E-2</v>
      </c>
      <c r="AW1530" s="10"/>
      <c r="AX1530" s="8"/>
    </row>
    <row r="1531" spans="1:50">
      <c r="A1531" s="7"/>
      <c r="B1531" s="10"/>
      <c r="C1531" s="45" t="s">
        <v>1468</v>
      </c>
      <c r="D1531" s="23" t="s">
        <v>27</v>
      </c>
      <c r="E1531" s="61" t="s">
        <v>1575</v>
      </c>
      <c r="F1531" s="61" t="s">
        <v>1575</v>
      </c>
      <c r="G1531" s="61" t="s">
        <v>1575</v>
      </c>
      <c r="H1531" s="61" t="s">
        <v>1575</v>
      </c>
      <c r="I1531" s="25">
        <v>0.9</v>
      </c>
      <c r="J1531" s="26">
        <v>1</v>
      </c>
      <c r="K1531" s="26">
        <v>0.96969696969696995</v>
      </c>
      <c r="L1531" s="27">
        <v>1</v>
      </c>
      <c r="M1531" s="26">
        <v>0.98984771573604102</v>
      </c>
      <c r="N1531" s="28">
        <v>0.9</v>
      </c>
      <c r="O1531" s="26">
        <v>0.97325327510917004</v>
      </c>
      <c r="P1531" s="26">
        <v>0.95994887089902003</v>
      </c>
      <c r="Q1531" s="26">
        <v>0.90351231328219594</v>
      </c>
      <c r="R1531" s="26">
        <v>0.95636655011655003</v>
      </c>
      <c r="S1531" s="28">
        <v>0.9</v>
      </c>
      <c r="T1531" s="26">
        <v>0.883187772925764</v>
      </c>
      <c r="U1531" s="26">
        <v>0.93097571367703402</v>
      </c>
      <c r="V1531" s="26">
        <v>0.93379087605974997</v>
      </c>
      <c r="W1531" s="26">
        <v>0.91856060606060597</v>
      </c>
      <c r="X1531" s="28">
        <v>0.92</v>
      </c>
      <c r="Y1531" s="28">
        <v>0</v>
      </c>
      <c r="Z1531" s="28">
        <v>0</v>
      </c>
      <c r="AA1531" s="28">
        <v>0</v>
      </c>
      <c r="AB1531" s="28">
        <v>0</v>
      </c>
      <c r="AC1531" s="28">
        <v>0.92</v>
      </c>
      <c r="AD1531" s="26">
        <v>0.970491803278689</v>
      </c>
      <c r="AE1531" s="26">
        <v>0.95409836065573805</v>
      </c>
      <c r="AF1531" s="26">
        <v>0.98661567877629097</v>
      </c>
      <c r="AG1531" s="26">
        <v>0.96988998262883597</v>
      </c>
      <c r="AH1531" s="28">
        <v>0.92</v>
      </c>
      <c r="AI1531" s="26">
        <v>0.941593886462882</v>
      </c>
      <c r="AJ1531" s="26">
        <v>0.95696634000852199</v>
      </c>
      <c r="AK1531" s="26">
        <v>0.95801372628179204</v>
      </c>
      <c r="AL1531" s="26">
        <v>0.95505536130536095</v>
      </c>
      <c r="AM1531" s="25">
        <v>0.99</v>
      </c>
      <c r="AN1531" s="30">
        <v>1</v>
      </c>
      <c r="AO1531" s="30">
        <v>1</v>
      </c>
      <c r="AP1531" s="30">
        <v>1</v>
      </c>
      <c r="AQ1531" s="30">
        <v>1</v>
      </c>
      <c r="AR1531" s="50">
        <v>0.110069253262963</v>
      </c>
      <c r="AS1531" s="34">
        <v>0</v>
      </c>
      <c r="AT1531" s="34">
        <v>0</v>
      </c>
      <c r="AU1531" s="34">
        <v>0.16666666666666699</v>
      </c>
      <c r="AV1531" s="34">
        <v>7.0422535211267595E-2</v>
      </c>
      <c r="AW1531" s="10"/>
      <c r="AX1531" s="8"/>
    </row>
    <row r="1532" spans="1:50">
      <c r="A1532" s="7"/>
      <c r="B1532" s="10"/>
      <c r="C1532" s="45" t="s">
        <v>1468</v>
      </c>
      <c r="D1532" s="23" t="s">
        <v>27</v>
      </c>
      <c r="E1532" s="61" t="s">
        <v>1576</v>
      </c>
      <c r="F1532" s="61" t="s">
        <v>1576</v>
      </c>
      <c r="G1532" s="61" t="s">
        <v>1576</v>
      </c>
      <c r="H1532" s="61" t="s">
        <v>1576</v>
      </c>
      <c r="I1532" s="25">
        <v>0.9</v>
      </c>
      <c r="J1532" s="26">
        <v>0</v>
      </c>
      <c r="K1532" s="26">
        <v>0</v>
      </c>
      <c r="L1532" s="27">
        <v>0</v>
      </c>
      <c r="M1532" s="26">
        <v>0</v>
      </c>
      <c r="N1532" s="28">
        <v>0.9</v>
      </c>
      <c r="O1532" s="26">
        <v>0</v>
      </c>
      <c r="P1532" s="26">
        <v>0</v>
      </c>
      <c r="Q1532" s="26">
        <v>0</v>
      </c>
      <c r="R1532" s="26">
        <v>0</v>
      </c>
      <c r="S1532" s="28">
        <v>0.9</v>
      </c>
      <c r="T1532" s="26">
        <v>0</v>
      </c>
      <c r="U1532" s="26">
        <v>0</v>
      </c>
      <c r="V1532" s="26">
        <v>0</v>
      </c>
      <c r="W1532" s="26">
        <v>0</v>
      </c>
      <c r="X1532" s="28">
        <v>0.92</v>
      </c>
      <c r="Y1532" s="28">
        <v>0</v>
      </c>
      <c r="Z1532" s="28">
        <v>0</v>
      </c>
      <c r="AA1532" s="28">
        <v>0</v>
      </c>
      <c r="AB1532" s="28">
        <v>0</v>
      </c>
      <c r="AC1532" s="28">
        <v>0.92</v>
      </c>
      <c r="AD1532" s="26">
        <v>0.99386503067484699</v>
      </c>
      <c r="AE1532" s="26">
        <v>0.95945945945945899</v>
      </c>
      <c r="AF1532" s="26">
        <v>0.99444444444444402</v>
      </c>
      <c r="AG1532" s="26">
        <v>0.98202247191011205</v>
      </c>
      <c r="AH1532" s="28">
        <v>0.92</v>
      </c>
      <c r="AI1532" s="26">
        <v>0</v>
      </c>
      <c r="AJ1532" s="26">
        <v>0</v>
      </c>
      <c r="AK1532" s="26">
        <v>0</v>
      </c>
      <c r="AL1532" s="26">
        <v>0</v>
      </c>
      <c r="AM1532" s="25">
        <v>0.99</v>
      </c>
      <c r="AN1532" s="30">
        <v>0</v>
      </c>
      <c r="AO1532" s="30">
        <v>0</v>
      </c>
      <c r="AP1532" s="30">
        <v>0</v>
      </c>
      <c r="AQ1532" s="30">
        <v>1</v>
      </c>
      <c r="AR1532" s="50">
        <v>0.110069253262963</v>
      </c>
      <c r="AS1532" s="34">
        <v>0</v>
      </c>
      <c r="AT1532" s="34">
        <v>0</v>
      </c>
      <c r="AU1532" s="34">
        <v>0</v>
      </c>
      <c r="AV1532" s="34">
        <v>0</v>
      </c>
      <c r="AW1532" s="10"/>
      <c r="AX1532" s="8"/>
    </row>
    <row r="1533" spans="1:50">
      <c r="A1533" s="7"/>
      <c r="B1533" s="10"/>
      <c r="C1533" s="45" t="s">
        <v>1468</v>
      </c>
      <c r="D1533" s="23" t="s">
        <v>27</v>
      </c>
      <c r="E1533" s="61" t="s">
        <v>1577</v>
      </c>
      <c r="F1533" s="61" t="s">
        <v>1577</v>
      </c>
      <c r="G1533" s="61" t="s">
        <v>1577</v>
      </c>
      <c r="H1533" s="61" t="s">
        <v>1577</v>
      </c>
      <c r="I1533" s="25">
        <v>0.9</v>
      </c>
      <c r="J1533" s="26">
        <v>0.95588235294117696</v>
      </c>
      <c r="K1533" s="26">
        <v>0.98412698412698396</v>
      </c>
      <c r="L1533" s="27">
        <v>0.93846153846153801</v>
      </c>
      <c r="M1533" s="26">
        <v>0.96124031007751898</v>
      </c>
      <c r="N1533" s="28">
        <v>0.9</v>
      </c>
      <c r="O1533" s="26">
        <v>0.97672352523098804</v>
      </c>
      <c r="P1533" s="26">
        <v>0.96743378202344799</v>
      </c>
      <c r="Q1533" s="26">
        <v>0.98254581722977197</v>
      </c>
      <c r="R1533" s="26">
        <v>0.96177564265422499</v>
      </c>
      <c r="S1533" s="28">
        <v>0.9</v>
      </c>
      <c r="T1533" s="26">
        <v>0.906183368869936</v>
      </c>
      <c r="U1533" s="26">
        <v>0.89434071500940804</v>
      </c>
      <c r="V1533" s="26">
        <v>0.92444832315172698</v>
      </c>
      <c r="W1533" s="26">
        <v>0.90396563272282104</v>
      </c>
      <c r="X1533" s="28">
        <v>0.92</v>
      </c>
      <c r="Y1533" s="28">
        <v>0</v>
      </c>
      <c r="Z1533" s="28">
        <v>0</v>
      </c>
      <c r="AA1533" s="28">
        <v>0</v>
      </c>
      <c r="AB1533" s="28">
        <v>0</v>
      </c>
      <c r="AC1533" s="28">
        <v>0.92</v>
      </c>
      <c r="AD1533" s="26">
        <v>0.98951048951048903</v>
      </c>
      <c r="AE1533" s="26">
        <v>0.98897058823529405</v>
      </c>
      <c r="AF1533" s="26">
        <v>0.98235294117647098</v>
      </c>
      <c r="AG1533" s="26">
        <v>0.98452380952381002</v>
      </c>
      <c r="AH1533" s="28">
        <v>0.92</v>
      </c>
      <c r="AI1533" s="26">
        <v>0.95079054894297399</v>
      </c>
      <c r="AJ1533" s="26">
        <v>0.95223621363439004</v>
      </c>
      <c r="AK1533" s="26">
        <v>0.96945518015210097</v>
      </c>
      <c r="AL1533" s="26">
        <v>0.96558732504965605</v>
      </c>
      <c r="AM1533" s="25">
        <v>0.99</v>
      </c>
      <c r="AN1533" s="30">
        <v>1</v>
      </c>
      <c r="AO1533" s="30">
        <v>1</v>
      </c>
      <c r="AP1533" s="30">
        <v>1</v>
      </c>
      <c r="AQ1533" s="30">
        <v>1</v>
      </c>
      <c r="AR1533" s="50">
        <v>0.110069253262963</v>
      </c>
      <c r="AS1533" s="34">
        <v>7.5757575757575801E-2</v>
      </c>
      <c r="AT1533" s="34">
        <v>1.88679245283019E-2</v>
      </c>
      <c r="AU1533" s="34">
        <v>0.16393442622950799</v>
      </c>
      <c r="AV1533" s="34">
        <v>7.61670761670762E-2</v>
      </c>
      <c r="AW1533" s="10"/>
      <c r="AX1533" s="8"/>
    </row>
    <row r="1534" spans="1:50">
      <c r="A1534" s="7"/>
      <c r="B1534" s="10"/>
      <c r="C1534" s="45" t="s">
        <v>1468</v>
      </c>
      <c r="D1534" s="23" t="s">
        <v>27</v>
      </c>
      <c r="E1534" s="61" t="s">
        <v>1578</v>
      </c>
      <c r="F1534" s="61" t="s">
        <v>1578</v>
      </c>
      <c r="G1534" s="61" t="s">
        <v>1578</v>
      </c>
      <c r="H1534" s="61" t="s">
        <v>1578</v>
      </c>
      <c r="I1534" s="25">
        <v>0.9</v>
      </c>
      <c r="J1534" s="26">
        <v>0.94117647058823495</v>
      </c>
      <c r="K1534" s="26">
        <v>1</v>
      </c>
      <c r="L1534" s="27">
        <v>0.9375</v>
      </c>
      <c r="M1534" s="26">
        <v>0.967741935483871</v>
      </c>
      <c r="N1534" s="28">
        <v>0.9</v>
      </c>
      <c r="O1534" s="26">
        <v>0.99652375434530704</v>
      </c>
      <c r="P1534" s="26">
        <v>0.99916107382550301</v>
      </c>
      <c r="Q1534" s="26">
        <v>0.99838449111470096</v>
      </c>
      <c r="R1534" s="26">
        <v>0.99385077890133899</v>
      </c>
      <c r="S1534" s="28">
        <v>0.9</v>
      </c>
      <c r="T1534" s="26">
        <v>0.95133256083429896</v>
      </c>
      <c r="U1534" s="26">
        <v>0.96392617449664397</v>
      </c>
      <c r="V1534" s="26">
        <v>0.96122778675282705</v>
      </c>
      <c r="W1534" s="26">
        <v>0.94178737359934395</v>
      </c>
      <c r="X1534" s="28">
        <v>0.92</v>
      </c>
      <c r="Y1534" s="28">
        <v>0</v>
      </c>
      <c r="Z1534" s="28">
        <v>0</v>
      </c>
      <c r="AA1534" s="28">
        <v>0</v>
      </c>
      <c r="AB1534" s="28">
        <v>0</v>
      </c>
      <c r="AC1534" s="28">
        <v>0.92</v>
      </c>
      <c r="AD1534" s="26">
        <v>1</v>
      </c>
      <c r="AE1534" s="26">
        <v>1</v>
      </c>
      <c r="AF1534" s="26">
        <v>1</v>
      </c>
      <c r="AG1534" s="26">
        <v>1</v>
      </c>
      <c r="AH1534" s="28">
        <v>0.92</v>
      </c>
      <c r="AI1534" s="26">
        <v>0.97798377752027799</v>
      </c>
      <c r="AJ1534" s="26">
        <v>0.98573825503355705</v>
      </c>
      <c r="AK1534" s="26">
        <v>0.98949919224555705</v>
      </c>
      <c r="AL1534" s="26">
        <v>0.98483192128996999</v>
      </c>
      <c r="AM1534" s="25">
        <v>0.99</v>
      </c>
      <c r="AN1534" s="30">
        <v>1</v>
      </c>
      <c r="AO1534" s="30">
        <v>1</v>
      </c>
      <c r="AP1534" s="30">
        <v>0</v>
      </c>
      <c r="AQ1534" s="30">
        <v>1</v>
      </c>
      <c r="AR1534" s="50">
        <v>0.110069253262963</v>
      </c>
      <c r="AS1534" s="34">
        <v>0.107142857142857</v>
      </c>
      <c r="AT1534" s="34">
        <v>0</v>
      </c>
      <c r="AU1534" s="34">
        <v>3.8461538461538498E-2</v>
      </c>
      <c r="AV1534" s="34">
        <v>3.59281437125748E-2</v>
      </c>
      <c r="AW1534" s="10"/>
      <c r="AX1534" s="8"/>
    </row>
    <row r="1535" spans="1:50">
      <c r="A1535" s="7"/>
      <c r="B1535" s="10"/>
      <c r="C1535" s="45" t="s">
        <v>1468</v>
      </c>
      <c r="D1535" s="23" t="s">
        <v>27</v>
      </c>
      <c r="E1535" s="61" t="s">
        <v>1579</v>
      </c>
      <c r="F1535" s="61" t="s">
        <v>1579</v>
      </c>
      <c r="G1535" s="61" t="s">
        <v>1579</v>
      </c>
      <c r="H1535" s="61" t="s">
        <v>1579</v>
      </c>
      <c r="I1535" s="25">
        <v>0.9</v>
      </c>
      <c r="J1535" s="26">
        <v>0.9</v>
      </c>
      <c r="K1535" s="26">
        <v>0.8</v>
      </c>
      <c r="L1535" s="27">
        <v>1</v>
      </c>
      <c r="M1535" s="26">
        <v>0.93220338983050799</v>
      </c>
      <c r="N1535" s="28">
        <v>0.9</v>
      </c>
      <c r="O1535" s="26">
        <v>0.99823165340406705</v>
      </c>
      <c r="P1535" s="26">
        <v>0.96623522791221195</v>
      </c>
      <c r="Q1535" s="26">
        <v>0.96508299942759002</v>
      </c>
      <c r="R1535" s="26">
        <v>0.95767972012188196</v>
      </c>
      <c r="S1535" s="28">
        <v>0.9</v>
      </c>
      <c r="T1535" s="26">
        <v>0.79045092838196296</v>
      </c>
      <c r="U1535" s="26">
        <v>0.77546426561620696</v>
      </c>
      <c r="V1535" s="26">
        <v>0.80137378362907796</v>
      </c>
      <c r="W1535" s="26">
        <v>0.78185306398826304</v>
      </c>
      <c r="X1535" s="28">
        <v>0.92</v>
      </c>
      <c r="Y1535" s="28">
        <v>0</v>
      </c>
      <c r="Z1535" s="28">
        <v>0</v>
      </c>
      <c r="AA1535" s="28">
        <v>0</v>
      </c>
      <c r="AB1535" s="28">
        <v>0</v>
      </c>
      <c r="AC1535" s="28">
        <v>0.92</v>
      </c>
      <c r="AD1535" s="26">
        <v>1</v>
      </c>
      <c r="AE1535" s="26">
        <v>0.98913043478260898</v>
      </c>
      <c r="AF1535" s="26">
        <v>1</v>
      </c>
      <c r="AG1535" s="26">
        <v>0.99822695035460995</v>
      </c>
      <c r="AH1535" s="28">
        <v>0.92</v>
      </c>
      <c r="AI1535" s="26">
        <v>0.88328912466843501</v>
      </c>
      <c r="AJ1535" s="26">
        <v>0.89364096792346603</v>
      </c>
      <c r="AK1535" s="26">
        <v>0.88036634230108801</v>
      </c>
      <c r="AL1535" s="26">
        <v>0.89346574878681895</v>
      </c>
      <c r="AM1535" s="25">
        <v>0.99</v>
      </c>
      <c r="AN1535" s="30">
        <v>1</v>
      </c>
      <c r="AO1535" s="30">
        <v>1</v>
      </c>
      <c r="AP1535" s="30">
        <v>0</v>
      </c>
      <c r="AQ1535" s="30">
        <v>1</v>
      </c>
      <c r="AR1535" s="50">
        <v>0.110069253262963</v>
      </c>
      <c r="AS1535" s="34">
        <v>0</v>
      </c>
      <c r="AT1535" s="34">
        <v>0</v>
      </c>
      <c r="AU1535" s="34">
        <v>0.20833333333333301</v>
      </c>
      <c r="AV1535" s="34">
        <v>8.0246913580246895E-2</v>
      </c>
      <c r="AW1535" s="10"/>
      <c r="AX1535" s="8"/>
    </row>
    <row r="1536" spans="1:50">
      <c r="A1536" s="7"/>
      <c r="B1536" s="10"/>
      <c r="C1536" s="45" t="s">
        <v>1468</v>
      </c>
      <c r="D1536" s="23" t="s">
        <v>27</v>
      </c>
      <c r="E1536" s="61" t="s">
        <v>1580</v>
      </c>
      <c r="F1536" s="61" t="s">
        <v>1580</v>
      </c>
      <c r="G1536" s="61" t="s">
        <v>1580</v>
      </c>
      <c r="H1536" s="61" t="s">
        <v>1580</v>
      </c>
      <c r="I1536" s="25">
        <v>0.9</v>
      </c>
      <c r="J1536" s="26">
        <v>1</v>
      </c>
      <c r="K1536" s="26">
        <v>1</v>
      </c>
      <c r="L1536" s="27">
        <v>1</v>
      </c>
      <c r="M1536" s="26">
        <v>0.99494949494949503</v>
      </c>
      <c r="N1536" s="28">
        <v>0.9</v>
      </c>
      <c r="O1536" s="26">
        <v>0.95093333333333296</v>
      </c>
      <c r="P1536" s="26">
        <v>0.99037138927097701</v>
      </c>
      <c r="Q1536" s="26">
        <v>0.90610510046367898</v>
      </c>
      <c r="R1536" s="26">
        <v>0.96608346479277196</v>
      </c>
      <c r="S1536" s="28">
        <v>0.9</v>
      </c>
      <c r="T1536" s="26">
        <v>0.94506666666666705</v>
      </c>
      <c r="U1536" s="26">
        <v>0.95369096744612603</v>
      </c>
      <c r="V1536" s="26">
        <v>0.92117465224111295</v>
      </c>
      <c r="W1536" s="26">
        <v>0.931378172952818</v>
      </c>
      <c r="X1536" s="28">
        <v>0.92</v>
      </c>
      <c r="Y1536" s="28">
        <v>0</v>
      </c>
      <c r="Z1536" s="28">
        <v>0</v>
      </c>
      <c r="AA1536" s="28">
        <v>0</v>
      </c>
      <c r="AB1536" s="28">
        <v>0</v>
      </c>
      <c r="AC1536" s="28">
        <v>0.92</v>
      </c>
      <c r="AD1536" s="26">
        <v>1</v>
      </c>
      <c r="AE1536" s="26">
        <v>1</v>
      </c>
      <c r="AF1536" s="26">
        <v>0.98979591836734704</v>
      </c>
      <c r="AG1536" s="26">
        <v>0.9979633401222</v>
      </c>
      <c r="AH1536" s="28">
        <v>0.92</v>
      </c>
      <c r="AI1536" s="26">
        <v>0.96906666666666696</v>
      </c>
      <c r="AJ1536" s="26">
        <v>0.98486932599724897</v>
      </c>
      <c r="AK1536" s="26">
        <v>0.96870170015455903</v>
      </c>
      <c r="AL1536" s="26">
        <v>0.97339738993259695</v>
      </c>
      <c r="AM1536" s="25">
        <v>0.99</v>
      </c>
      <c r="AN1536" s="30">
        <v>0</v>
      </c>
      <c r="AO1536" s="30">
        <v>1</v>
      </c>
      <c r="AP1536" s="30">
        <v>1</v>
      </c>
      <c r="AQ1536" s="30">
        <v>1</v>
      </c>
      <c r="AR1536" s="50">
        <v>0.110069253262963</v>
      </c>
      <c r="AS1536" s="34">
        <v>7.1428571428571397E-2</v>
      </c>
      <c r="AT1536" s="34">
        <v>0.16666666666666699</v>
      </c>
      <c r="AU1536" s="34">
        <v>8.8235294117647106E-2</v>
      </c>
      <c r="AV1536" s="34">
        <v>7.0512820512820498E-2</v>
      </c>
      <c r="AW1536" s="10"/>
      <c r="AX1536" s="8"/>
    </row>
    <row r="1537" spans="1:50">
      <c r="A1537" s="7"/>
      <c r="B1537" s="10"/>
      <c r="C1537" s="45" t="s">
        <v>1468</v>
      </c>
      <c r="D1537" s="23" t="s">
        <v>27</v>
      </c>
      <c r="E1537" s="61" t="s">
        <v>1581</v>
      </c>
      <c r="F1537" s="61" t="s">
        <v>1581</v>
      </c>
      <c r="G1537" s="61" t="s">
        <v>1581</v>
      </c>
      <c r="H1537" s="61" t="s">
        <v>1581</v>
      </c>
      <c r="I1537" s="25">
        <v>0.9</v>
      </c>
      <c r="J1537" s="26">
        <v>0.97368421052631604</v>
      </c>
      <c r="K1537" s="26">
        <v>0.91666666666666696</v>
      </c>
      <c r="L1537" s="27">
        <v>0.97297297297297303</v>
      </c>
      <c r="M1537" s="26">
        <v>0.95535714285714302</v>
      </c>
      <c r="N1537" s="28">
        <v>0.9</v>
      </c>
      <c r="O1537" s="26">
        <v>0.98963414634146296</v>
      </c>
      <c r="P1537" s="26">
        <v>0.98690835850956704</v>
      </c>
      <c r="Q1537" s="26">
        <v>0.99505506855473103</v>
      </c>
      <c r="R1537" s="26">
        <v>0.98575280717994096</v>
      </c>
      <c r="S1537" s="28">
        <v>0.9</v>
      </c>
      <c r="T1537" s="26">
        <v>0.95274390243902396</v>
      </c>
      <c r="U1537" s="26">
        <v>0.95468277945619295</v>
      </c>
      <c r="V1537" s="26">
        <v>0.96156439649359404</v>
      </c>
      <c r="W1537" s="26">
        <v>0.94912866744476199</v>
      </c>
      <c r="X1537" s="28">
        <v>0.92</v>
      </c>
      <c r="Y1537" s="28">
        <v>0</v>
      </c>
      <c r="Z1537" s="28">
        <v>0</v>
      </c>
      <c r="AA1537" s="28">
        <v>0</v>
      </c>
      <c r="AB1537" s="28">
        <v>0</v>
      </c>
      <c r="AC1537" s="28">
        <v>0.92</v>
      </c>
      <c r="AD1537" s="26">
        <v>0.986425339366516</v>
      </c>
      <c r="AE1537" s="26">
        <v>0.967592592592593</v>
      </c>
      <c r="AF1537" s="26">
        <v>0.96551724137931005</v>
      </c>
      <c r="AG1537" s="26">
        <v>0.97710547833197103</v>
      </c>
      <c r="AH1537" s="28">
        <v>0.92</v>
      </c>
      <c r="AI1537" s="26">
        <v>0.97835365853658496</v>
      </c>
      <c r="AJ1537" s="26">
        <v>0.98892245720040295</v>
      </c>
      <c r="AK1537" s="26">
        <v>0.98943582827601695</v>
      </c>
      <c r="AL1537" s="26">
        <v>0.986598518995493</v>
      </c>
      <c r="AM1537" s="25">
        <v>0.99</v>
      </c>
      <c r="AN1537" s="30">
        <v>1</v>
      </c>
      <c r="AO1537" s="30">
        <v>1</v>
      </c>
      <c r="AP1537" s="30">
        <v>1</v>
      </c>
      <c r="AQ1537" s="30">
        <v>1</v>
      </c>
      <c r="AR1537" s="50">
        <v>0.110069253262963</v>
      </c>
      <c r="AS1537" s="34">
        <v>3.2258064516128997E-2</v>
      </c>
      <c r="AT1537" s="34">
        <v>0.18421052631578899</v>
      </c>
      <c r="AU1537" s="34">
        <v>5.7142857142857099E-2</v>
      </c>
      <c r="AV1537" s="34">
        <v>9.6153846153846201E-2</v>
      </c>
      <c r="AW1537" s="10"/>
      <c r="AX1537" s="8"/>
    </row>
    <row r="1538" spans="1:50">
      <c r="A1538" s="7"/>
      <c r="B1538" s="10"/>
      <c r="C1538" s="45" t="s">
        <v>1468</v>
      </c>
      <c r="D1538" s="23" t="s">
        <v>27</v>
      </c>
      <c r="E1538" s="61" t="s">
        <v>1582</v>
      </c>
      <c r="F1538" s="61" t="s">
        <v>1582</v>
      </c>
      <c r="G1538" s="61" t="s">
        <v>1582</v>
      </c>
      <c r="H1538" s="61" t="s">
        <v>1582</v>
      </c>
      <c r="I1538" s="25">
        <v>0.9</v>
      </c>
      <c r="J1538" s="26">
        <v>0.91666666666666696</v>
      </c>
      <c r="K1538" s="26">
        <v>0.94594594594594605</v>
      </c>
      <c r="L1538" s="27">
        <v>0.94444444444444398</v>
      </c>
      <c r="M1538" s="26">
        <v>0.93023255813953498</v>
      </c>
      <c r="N1538" s="28">
        <v>0.9</v>
      </c>
      <c r="O1538" s="26">
        <v>0.95070070070070101</v>
      </c>
      <c r="P1538" s="26">
        <v>0.86729857819905198</v>
      </c>
      <c r="Q1538" s="26">
        <v>0.88707729468598995</v>
      </c>
      <c r="R1538" s="26">
        <v>0.91724039013195602</v>
      </c>
      <c r="S1538" s="28">
        <v>0.9</v>
      </c>
      <c r="T1538" s="26">
        <v>0.240990990990991</v>
      </c>
      <c r="U1538" s="26">
        <v>0.45142180094786699</v>
      </c>
      <c r="V1538" s="26">
        <v>0.29619565217391303</v>
      </c>
      <c r="W1538" s="26">
        <v>0.37679288582902998</v>
      </c>
      <c r="X1538" s="28">
        <v>0.92</v>
      </c>
      <c r="Y1538" s="28">
        <v>0</v>
      </c>
      <c r="Z1538" s="28">
        <v>0</v>
      </c>
      <c r="AA1538" s="28">
        <v>0</v>
      </c>
      <c r="AB1538" s="28">
        <v>0</v>
      </c>
      <c r="AC1538" s="28">
        <v>0.92</v>
      </c>
      <c r="AD1538" s="26">
        <v>0.980582524271845</v>
      </c>
      <c r="AE1538" s="26">
        <v>0.95890410958904104</v>
      </c>
      <c r="AF1538" s="26">
        <v>0.99115044247787598</v>
      </c>
      <c r="AG1538" s="26">
        <v>0.97485207100591698</v>
      </c>
      <c r="AH1538" s="28">
        <v>0.92</v>
      </c>
      <c r="AI1538" s="26">
        <v>0.87912912912912899</v>
      </c>
      <c r="AJ1538" s="26">
        <v>0.84281200631911501</v>
      </c>
      <c r="AK1538" s="26">
        <v>0.83242753623188404</v>
      </c>
      <c r="AL1538" s="26">
        <v>0.86058519793459598</v>
      </c>
      <c r="AM1538" s="25">
        <v>0.99</v>
      </c>
      <c r="AN1538" s="30">
        <v>1</v>
      </c>
      <c r="AO1538" s="30">
        <v>1</v>
      </c>
      <c r="AP1538" s="30">
        <v>1</v>
      </c>
      <c r="AQ1538" s="30">
        <v>1</v>
      </c>
      <c r="AR1538" s="50">
        <v>0.110069253262963</v>
      </c>
      <c r="AS1538" s="34">
        <v>0.1</v>
      </c>
      <c r="AT1538" s="34">
        <v>9.0909090909090898E-2</v>
      </c>
      <c r="AU1538" s="34">
        <v>0.16666666666666699</v>
      </c>
      <c r="AV1538" s="34">
        <v>0.115384615384615</v>
      </c>
      <c r="AW1538" s="10"/>
      <c r="AX1538" s="8"/>
    </row>
    <row r="1539" spans="1:50">
      <c r="A1539" s="7"/>
      <c r="B1539" s="10"/>
      <c r="C1539" s="45" t="s">
        <v>1468</v>
      </c>
      <c r="D1539" s="23" t="s">
        <v>27</v>
      </c>
      <c r="E1539" s="61" t="s">
        <v>1583</v>
      </c>
      <c r="F1539" s="61" t="s">
        <v>1583</v>
      </c>
      <c r="G1539" s="61" t="s">
        <v>1583</v>
      </c>
      <c r="H1539" s="61" t="s">
        <v>1583</v>
      </c>
      <c r="I1539" s="25">
        <v>0.9</v>
      </c>
      <c r="J1539" s="26">
        <v>0.95454545454545503</v>
      </c>
      <c r="K1539" s="26">
        <v>1</v>
      </c>
      <c r="L1539" s="27">
        <v>1</v>
      </c>
      <c r="M1539" s="26">
        <v>0.98360655737704905</v>
      </c>
      <c r="N1539" s="28">
        <v>0.9</v>
      </c>
      <c r="O1539" s="26">
        <v>0.94805194805194803</v>
      </c>
      <c r="P1539" s="26">
        <v>0.92105263157894701</v>
      </c>
      <c r="Q1539" s="26">
        <v>0.97344514325646403</v>
      </c>
      <c r="R1539" s="26">
        <v>0.92999556933983196</v>
      </c>
      <c r="S1539" s="28">
        <v>0.9</v>
      </c>
      <c r="T1539" s="26">
        <v>0.69545454545454499</v>
      </c>
      <c r="U1539" s="26">
        <v>0.81825657894736803</v>
      </c>
      <c r="V1539" s="26">
        <v>0.74283717679944095</v>
      </c>
      <c r="W1539" s="26">
        <v>0.70990252547629595</v>
      </c>
      <c r="X1539" s="28">
        <v>0.92</v>
      </c>
      <c r="Y1539" s="28">
        <v>0</v>
      </c>
      <c r="Z1539" s="28">
        <v>0</v>
      </c>
      <c r="AA1539" s="28">
        <v>0</v>
      </c>
      <c r="AB1539" s="28">
        <v>0</v>
      </c>
      <c r="AC1539" s="28">
        <v>0.92</v>
      </c>
      <c r="AD1539" s="26">
        <v>0.53333333333333299</v>
      </c>
      <c r="AE1539" s="26">
        <v>1</v>
      </c>
      <c r="AF1539" s="26">
        <v>1</v>
      </c>
      <c r="AG1539" s="26">
        <v>0.90909090909090895</v>
      </c>
      <c r="AH1539" s="28">
        <v>0.92</v>
      </c>
      <c r="AI1539" s="26">
        <v>0.90194805194805205</v>
      </c>
      <c r="AJ1539" s="26">
        <v>0.93996710526315796</v>
      </c>
      <c r="AK1539" s="26">
        <v>0.94689028651292795</v>
      </c>
      <c r="AL1539" s="26">
        <v>0.92268498006202904</v>
      </c>
      <c r="AM1539" s="25">
        <v>0.99</v>
      </c>
      <c r="AN1539" s="30">
        <v>1</v>
      </c>
      <c r="AO1539" s="30">
        <v>1</v>
      </c>
      <c r="AP1539" s="30">
        <v>1</v>
      </c>
      <c r="AQ1539" s="30">
        <v>1</v>
      </c>
      <c r="AR1539" s="50">
        <v>0.110069253262963</v>
      </c>
      <c r="AS1539" s="34">
        <v>0</v>
      </c>
      <c r="AT1539" s="34">
        <v>0.15384615384615399</v>
      </c>
      <c r="AU1539" s="34">
        <v>7.69230769230769E-2</v>
      </c>
      <c r="AV1539" s="34">
        <v>0.107692307692308</v>
      </c>
      <c r="AW1539" s="10"/>
      <c r="AX1539" s="8"/>
    </row>
    <row r="1540" spans="1:50">
      <c r="A1540" s="7"/>
      <c r="B1540" s="10"/>
      <c r="C1540" s="45" t="s">
        <v>1468</v>
      </c>
      <c r="D1540" s="23" t="s">
        <v>27</v>
      </c>
      <c r="E1540" s="61" t="s">
        <v>1584</v>
      </c>
      <c r="F1540" s="61" t="s">
        <v>1584</v>
      </c>
      <c r="G1540" s="61" t="s">
        <v>1584</v>
      </c>
      <c r="H1540" s="61" t="s">
        <v>1584</v>
      </c>
      <c r="I1540" s="25">
        <v>0.9</v>
      </c>
      <c r="J1540" s="26">
        <v>0.82051282051282004</v>
      </c>
      <c r="K1540" s="26">
        <v>0.73529411764705899</v>
      </c>
      <c r="L1540" s="27">
        <v>0.83870967741935498</v>
      </c>
      <c r="M1540" s="26">
        <v>0.81690140845070403</v>
      </c>
      <c r="N1540" s="28">
        <v>0.9</v>
      </c>
      <c r="O1540" s="26">
        <v>0.79508196721311497</v>
      </c>
      <c r="P1540" s="26">
        <v>0.76691559176284196</v>
      </c>
      <c r="Q1540" s="26">
        <v>0.84448653198653201</v>
      </c>
      <c r="R1540" s="26">
        <v>0.833009273107987</v>
      </c>
      <c r="S1540" s="28">
        <v>0.9</v>
      </c>
      <c r="T1540" s="26">
        <v>0.70316159250585497</v>
      </c>
      <c r="U1540" s="26">
        <v>0.66825073546051095</v>
      </c>
      <c r="V1540" s="26">
        <v>0.74873737373737403</v>
      </c>
      <c r="W1540" s="26">
        <v>0.73777295842057999</v>
      </c>
      <c r="X1540" s="28">
        <v>0.92</v>
      </c>
      <c r="Y1540" s="28">
        <v>1</v>
      </c>
      <c r="Z1540" s="28">
        <v>0.14285714285714299</v>
      </c>
      <c r="AA1540" s="28">
        <v>0.33333333333333298</v>
      </c>
      <c r="AB1540" s="28">
        <v>0.16666666666666699</v>
      </c>
      <c r="AC1540" s="28">
        <v>0.92</v>
      </c>
      <c r="AD1540" s="26">
        <v>0.78461538461538505</v>
      </c>
      <c r="AE1540" s="26">
        <v>0.66666666666666696</v>
      </c>
      <c r="AF1540" s="26">
        <v>1</v>
      </c>
      <c r="AG1540" s="26">
        <v>0.75196850393700798</v>
      </c>
      <c r="AH1540" s="28">
        <v>0.92</v>
      </c>
      <c r="AI1540" s="26">
        <v>0.82504388531304895</v>
      </c>
      <c r="AJ1540" s="26">
        <v>0.84636240397650297</v>
      </c>
      <c r="AK1540" s="26">
        <v>0.83827549947423796</v>
      </c>
      <c r="AL1540" s="26">
        <v>0.84824830059012502</v>
      </c>
      <c r="AM1540" s="25">
        <v>0.99</v>
      </c>
      <c r="AN1540" s="30">
        <v>1</v>
      </c>
      <c r="AO1540" s="30">
        <v>1</v>
      </c>
      <c r="AP1540" s="30">
        <v>1</v>
      </c>
      <c r="AQ1540" s="30">
        <v>1</v>
      </c>
      <c r="AR1540" s="50">
        <v>0.110069253262963</v>
      </c>
      <c r="AS1540" s="34">
        <v>0.2</v>
      </c>
      <c r="AT1540" s="34">
        <v>0.29166666666666702</v>
      </c>
      <c r="AU1540" s="34">
        <v>0.14285714285714299</v>
      </c>
      <c r="AV1540" s="34">
        <v>0.161971830985915</v>
      </c>
      <c r="AW1540" s="10"/>
      <c r="AX1540" s="8"/>
    </row>
    <row r="1541" spans="1:50">
      <c r="A1541" s="7"/>
      <c r="B1541" s="10"/>
      <c r="C1541" s="45" t="s">
        <v>1468</v>
      </c>
      <c r="D1541" s="23" t="s">
        <v>27</v>
      </c>
      <c r="E1541" s="61" t="s">
        <v>1585</v>
      </c>
      <c r="F1541" s="61" t="s">
        <v>1585</v>
      </c>
      <c r="G1541" s="61" t="s">
        <v>1585</v>
      </c>
      <c r="H1541" s="61" t="s">
        <v>1585</v>
      </c>
      <c r="I1541" s="25">
        <v>0.9</v>
      </c>
      <c r="J1541" s="26">
        <v>0</v>
      </c>
      <c r="K1541" s="26">
        <v>0</v>
      </c>
      <c r="L1541" s="27">
        <v>0</v>
      </c>
      <c r="M1541" s="26">
        <v>0</v>
      </c>
      <c r="N1541" s="28">
        <v>0.9</v>
      </c>
      <c r="O1541" s="26">
        <v>0</v>
      </c>
      <c r="P1541" s="26">
        <v>0</v>
      </c>
      <c r="Q1541" s="26">
        <v>0</v>
      </c>
      <c r="R1541" s="26">
        <v>0</v>
      </c>
      <c r="S1541" s="28">
        <v>0.9</v>
      </c>
      <c r="T1541" s="26">
        <v>0</v>
      </c>
      <c r="U1541" s="26">
        <v>0</v>
      </c>
      <c r="V1541" s="26">
        <v>0</v>
      </c>
      <c r="W1541" s="26">
        <v>0.33333333333333298</v>
      </c>
      <c r="X1541" s="28">
        <v>0.92</v>
      </c>
      <c r="Y1541" s="28">
        <v>0</v>
      </c>
      <c r="Z1541" s="28">
        <v>0</v>
      </c>
      <c r="AA1541" s="28">
        <v>0</v>
      </c>
      <c r="AB1541" s="28">
        <v>0</v>
      </c>
      <c r="AC1541" s="28">
        <v>0.92</v>
      </c>
      <c r="AD1541" s="26">
        <v>0.99838709677419402</v>
      </c>
      <c r="AE1541" s="26">
        <v>0.99245852187028705</v>
      </c>
      <c r="AF1541" s="26">
        <v>0.97867298578199002</v>
      </c>
      <c r="AG1541" s="26">
        <v>0.991907514450867</v>
      </c>
      <c r="AH1541" s="28">
        <v>0.92</v>
      </c>
      <c r="AI1541" s="26">
        <v>0.5</v>
      </c>
      <c r="AJ1541" s="26">
        <v>0</v>
      </c>
      <c r="AK1541" s="26">
        <v>0</v>
      </c>
      <c r="AL1541" s="26">
        <v>0.54545454545454497</v>
      </c>
      <c r="AM1541" s="25">
        <v>0.99</v>
      </c>
      <c r="AN1541" s="30">
        <v>1</v>
      </c>
      <c r="AO1541" s="30">
        <v>1</v>
      </c>
      <c r="AP1541" s="30">
        <v>1</v>
      </c>
      <c r="AQ1541" s="30">
        <v>1</v>
      </c>
      <c r="AR1541" s="50">
        <v>0.110069253262963</v>
      </c>
      <c r="AS1541" s="34">
        <v>0</v>
      </c>
      <c r="AT1541" s="34">
        <v>0</v>
      </c>
      <c r="AU1541" s="34">
        <v>0</v>
      </c>
      <c r="AV1541" s="34">
        <v>0</v>
      </c>
      <c r="AW1541" s="10"/>
      <c r="AX1541" s="8"/>
    </row>
    <row r="1542" spans="1:50">
      <c r="A1542" s="7"/>
      <c r="B1542" s="10"/>
      <c r="C1542" s="45" t="s">
        <v>1468</v>
      </c>
      <c r="D1542" s="23" t="s">
        <v>27</v>
      </c>
      <c r="E1542" s="61" t="s">
        <v>1586</v>
      </c>
      <c r="F1542" s="61" t="s">
        <v>1586</v>
      </c>
      <c r="G1542" s="61" t="s">
        <v>1586</v>
      </c>
      <c r="H1542" s="61" t="s">
        <v>1586</v>
      </c>
      <c r="I1542" s="25">
        <v>0.9</v>
      </c>
      <c r="J1542" s="26">
        <v>0</v>
      </c>
      <c r="K1542" s="26">
        <v>0</v>
      </c>
      <c r="L1542" s="27">
        <v>0</v>
      </c>
      <c r="M1542" s="26">
        <v>0</v>
      </c>
      <c r="N1542" s="28">
        <v>0.9</v>
      </c>
      <c r="O1542" s="26">
        <v>0</v>
      </c>
      <c r="P1542" s="26">
        <v>0</v>
      </c>
      <c r="Q1542" s="26">
        <v>0</v>
      </c>
      <c r="R1542" s="26">
        <v>0</v>
      </c>
      <c r="S1542" s="28">
        <v>0.9</v>
      </c>
      <c r="T1542" s="26">
        <v>0</v>
      </c>
      <c r="U1542" s="26">
        <v>0</v>
      </c>
      <c r="V1542" s="26">
        <v>1</v>
      </c>
      <c r="W1542" s="26">
        <v>1</v>
      </c>
      <c r="X1542" s="28">
        <v>0.92</v>
      </c>
      <c r="Y1542" s="28">
        <v>0</v>
      </c>
      <c r="Z1542" s="28">
        <v>0</v>
      </c>
      <c r="AA1542" s="28">
        <v>0</v>
      </c>
      <c r="AB1542" s="28">
        <v>0</v>
      </c>
      <c r="AC1542" s="28">
        <v>0.92</v>
      </c>
      <c r="AD1542" s="26">
        <v>0.98148148148148195</v>
      </c>
      <c r="AE1542" s="26">
        <v>0.98729582577132502</v>
      </c>
      <c r="AF1542" s="26">
        <v>0.98993288590604001</v>
      </c>
      <c r="AG1542" s="26">
        <v>0.98137678749584301</v>
      </c>
      <c r="AH1542" s="28">
        <v>0.92</v>
      </c>
      <c r="AI1542" s="26">
        <v>0</v>
      </c>
      <c r="AJ1542" s="26">
        <v>0</v>
      </c>
      <c r="AK1542" s="26">
        <v>1</v>
      </c>
      <c r="AL1542" s="26">
        <v>1</v>
      </c>
      <c r="AM1542" s="25">
        <v>0.99</v>
      </c>
      <c r="AN1542" s="30">
        <v>1</v>
      </c>
      <c r="AO1542" s="30">
        <v>1</v>
      </c>
      <c r="AP1542" s="30">
        <v>1</v>
      </c>
      <c r="AQ1542" s="30">
        <v>1</v>
      </c>
      <c r="AR1542" s="50">
        <v>0.110069253262963</v>
      </c>
      <c r="AS1542" s="34">
        <v>0</v>
      </c>
      <c r="AT1542" s="34">
        <v>0</v>
      </c>
      <c r="AU1542" s="34">
        <v>0</v>
      </c>
      <c r="AV1542" s="34">
        <v>0</v>
      </c>
      <c r="AW1542" s="10"/>
      <c r="AX1542" s="8"/>
    </row>
    <row r="1543" spans="1:50">
      <c r="A1543" s="7"/>
      <c r="B1543" s="10"/>
      <c r="C1543" s="45" t="s">
        <v>1468</v>
      </c>
      <c r="D1543" s="23" t="s">
        <v>27</v>
      </c>
      <c r="E1543" s="61" t="s">
        <v>1587</v>
      </c>
      <c r="F1543" s="61" t="s">
        <v>1587</v>
      </c>
      <c r="G1543" s="61" t="s">
        <v>1587</v>
      </c>
      <c r="H1543" s="61" t="s">
        <v>1587</v>
      </c>
      <c r="I1543" s="25">
        <v>0.9</v>
      </c>
      <c r="J1543" s="26">
        <v>0</v>
      </c>
      <c r="K1543" s="26">
        <v>0</v>
      </c>
      <c r="L1543" s="27">
        <v>0</v>
      </c>
      <c r="M1543" s="26">
        <v>0</v>
      </c>
      <c r="N1543" s="28">
        <v>0.9</v>
      </c>
      <c r="O1543" s="26">
        <v>0</v>
      </c>
      <c r="P1543" s="26">
        <v>0</v>
      </c>
      <c r="Q1543" s="26">
        <v>0</v>
      </c>
      <c r="R1543" s="26">
        <v>0</v>
      </c>
      <c r="S1543" s="28">
        <v>0.9</v>
      </c>
      <c r="T1543" s="26">
        <v>0</v>
      </c>
      <c r="U1543" s="26">
        <v>0</v>
      </c>
      <c r="V1543" s="26">
        <v>0</v>
      </c>
      <c r="W1543" s="26">
        <v>0</v>
      </c>
      <c r="X1543" s="28">
        <v>0.92</v>
      </c>
      <c r="Y1543" s="28">
        <v>0</v>
      </c>
      <c r="Z1543" s="28">
        <v>0</v>
      </c>
      <c r="AA1543" s="28">
        <v>0</v>
      </c>
      <c r="AB1543" s="28">
        <v>0</v>
      </c>
      <c r="AC1543" s="28">
        <v>0.92</v>
      </c>
      <c r="AD1543" s="26">
        <v>0.99285714285714299</v>
      </c>
      <c r="AE1543" s="26">
        <v>1</v>
      </c>
      <c r="AF1543" s="26">
        <v>0.87830687830687804</v>
      </c>
      <c r="AG1543" s="26">
        <v>0.96878751500600202</v>
      </c>
      <c r="AH1543" s="28">
        <v>0.92</v>
      </c>
      <c r="AI1543" s="26">
        <v>0</v>
      </c>
      <c r="AJ1543" s="26">
        <v>0</v>
      </c>
      <c r="AK1543" s="26">
        <v>0</v>
      </c>
      <c r="AL1543" s="26">
        <v>0</v>
      </c>
      <c r="AM1543" s="25">
        <v>0.99</v>
      </c>
      <c r="AN1543" s="30">
        <v>1</v>
      </c>
      <c r="AO1543" s="30">
        <v>1</v>
      </c>
      <c r="AP1543" s="30">
        <v>1</v>
      </c>
      <c r="AQ1543" s="30">
        <v>1</v>
      </c>
      <c r="AR1543" s="50">
        <v>0.110069253262963</v>
      </c>
      <c r="AS1543" s="34">
        <v>0</v>
      </c>
      <c r="AT1543" s="34">
        <v>0</v>
      </c>
      <c r="AU1543" s="34">
        <v>0</v>
      </c>
      <c r="AV1543" s="34">
        <v>0</v>
      </c>
      <c r="AW1543" s="10"/>
      <c r="AX1543" s="8"/>
    </row>
    <row r="1544" spans="1:50">
      <c r="A1544" s="7"/>
      <c r="B1544" s="10"/>
      <c r="C1544" s="45" t="s">
        <v>1468</v>
      </c>
      <c r="D1544" s="23" t="s">
        <v>27</v>
      </c>
      <c r="E1544" s="61" t="s">
        <v>1588</v>
      </c>
      <c r="F1544" s="61" t="s">
        <v>1588</v>
      </c>
      <c r="G1544" s="61" t="s">
        <v>1588</v>
      </c>
      <c r="H1544" s="61" t="s">
        <v>1588</v>
      </c>
      <c r="I1544" s="25">
        <v>0.9</v>
      </c>
      <c r="J1544" s="26">
        <v>0.90625</v>
      </c>
      <c r="K1544" s="26">
        <v>0.90625</v>
      </c>
      <c r="L1544" s="27">
        <v>0.97058823529411797</v>
      </c>
      <c r="M1544" s="26">
        <v>0.93367346938775497</v>
      </c>
      <c r="N1544" s="28">
        <v>0.9</v>
      </c>
      <c r="O1544" s="26">
        <v>0.94802547770700596</v>
      </c>
      <c r="P1544" s="26">
        <v>0.96034591858257801</v>
      </c>
      <c r="Q1544" s="26">
        <v>0.98451373115837304</v>
      </c>
      <c r="R1544" s="26">
        <v>0.94185468993898103</v>
      </c>
      <c r="S1544" s="28">
        <v>0.9</v>
      </c>
      <c r="T1544" s="26">
        <v>0.84687898089171998</v>
      </c>
      <c r="U1544" s="26">
        <v>0.85699219573929597</v>
      </c>
      <c r="V1544" s="26">
        <v>0.86103654759446602</v>
      </c>
      <c r="W1544" s="26">
        <v>0.86469419611182097</v>
      </c>
      <c r="X1544" s="28">
        <v>0.92</v>
      </c>
      <c r="Y1544" s="28">
        <v>0</v>
      </c>
      <c r="Z1544" s="28">
        <v>0</v>
      </c>
      <c r="AA1544" s="28">
        <v>0</v>
      </c>
      <c r="AB1544" s="28">
        <v>0.5</v>
      </c>
      <c r="AC1544" s="28">
        <v>0.92</v>
      </c>
      <c r="AD1544" s="26">
        <v>1</v>
      </c>
      <c r="AE1544" s="26">
        <v>0.98571428571428599</v>
      </c>
      <c r="AF1544" s="26">
        <v>0.68333333333333302</v>
      </c>
      <c r="AG1544" s="26">
        <v>0.85843373493975905</v>
      </c>
      <c r="AH1544" s="28">
        <v>0.92</v>
      </c>
      <c r="AI1544" s="26">
        <v>0.90828025477706997</v>
      </c>
      <c r="AJ1544" s="26">
        <v>0.90782535330099101</v>
      </c>
      <c r="AK1544" s="26">
        <v>0.91802601693165398</v>
      </c>
      <c r="AL1544" s="26">
        <v>0.92004540456174</v>
      </c>
      <c r="AM1544" s="25">
        <v>0.99</v>
      </c>
      <c r="AN1544" s="30">
        <v>0</v>
      </c>
      <c r="AO1544" s="30">
        <v>1</v>
      </c>
      <c r="AP1544" s="30">
        <v>0</v>
      </c>
      <c r="AQ1544" s="30">
        <v>1</v>
      </c>
      <c r="AR1544" s="50">
        <v>0.110069253262963</v>
      </c>
      <c r="AS1544" s="34">
        <v>7.8947368421052599E-2</v>
      </c>
      <c r="AT1544" s="34">
        <v>0</v>
      </c>
      <c r="AU1544" s="34">
        <v>2.4390243902439001E-2</v>
      </c>
      <c r="AV1544" s="34">
        <v>5.7851239669421503E-2</v>
      </c>
      <c r="AW1544" s="10"/>
      <c r="AX1544" s="8"/>
    </row>
    <row r="1545" spans="1:50">
      <c r="A1545" s="7"/>
      <c r="B1545" s="10"/>
      <c r="C1545" s="45" t="s">
        <v>1468</v>
      </c>
      <c r="D1545" s="23" t="s">
        <v>27</v>
      </c>
      <c r="E1545" s="61" t="s">
        <v>1589</v>
      </c>
      <c r="F1545" s="61" t="s">
        <v>1589</v>
      </c>
      <c r="G1545" s="61" t="s">
        <v>1589</v>
      </c>
      <c r="H1545" s="61" t="s">
        <v>1589</v>
      </c>
      <c r="I1545" s="25">
        <v>0.9</v>
      </c>
      <c r="J1545" s="26">
        <v>0.93548387096774199</v>
      </c>
      <c r="K1545" s="26">
        <v>0.82142857142857095</v>
      </c>
      <c r="L1545" s="27">
        <v>1</v>
      </c>
      <c r="M1545" s="26">
        <v>0.89830508474576298</v>
      </c>
      <c r="N1545" s="28">
        <v>0.9</v>
      </c>
      <c r="O1545" s="26">
        <v>0.861363636363636</v>
      </c>
      <c r="P1545" s="26">
        <v>0.88872348343877905</v>
      </c>
      <c r="Q1545" s="26">
        <v>0.91503267973856195</v>
      </c>
      <c r="R1545" s="26">
        <v>0.89595458791406202</v>
      </c>
      <c r="S1545" s="28">
        <v>0.9</v>
      </c>
      <c r="T1545" s="26">
        <v>0.85409090909090901</v>
      </c>
      <c r="U1545" s="26">
        <v>0.87979158913286204</v>
      </c>
      <c r="V1545" s="26">
        <v>0.91625816993464004</v>
      </c>
      <c r="W1545" s="26">
        <v>0.88805058561471595</v>
      </c>
      <c r="X1545" s="28">
        <v>0.92</v>
      </c>
      <c r="Y1545" s="28">
        <v>0.93233082706766901</v>
      </c>
      <c r="Z1545" s="28">
        <v>0.94250363901018896</v>
      </c>
      <c r="AA1545" s="28">
        <v>0.96872358410819903</v>
      </c>
      <c r="AB1545" s="28">
        <v>0.90400811770674805</v>
      </c>
      <c r="AC1545" s="28">
        <v>0.92</v>
      </c>
      <c r="AD1545" s="26">
        <v>0.91596638655462204</v>
      </c>
      <c r="AE1545" s="26">
        <v>0.86046511627906996</v>
      </c>
      <c r="AF1545" s="26">
        <v>0.95321637426900596</v>
      </c>
      <c r="AG1545" s="26">
        <v>0.91057797164667398</v>
      </c>
      <c r="AH1545" s="28">
        <v>0.92</v>
      </c>
      <c r="AI1545" s="26">
        <v>0.94849911712772195</v>
      </c>
      <c r="AJ1545" s="26">
        <v>0.96060083723220901</v>
      </c>
      <c r="AK1545" s="26">
        <v>0.97851831451390803</v>
      </c>
      <c r="AL1545" s="26">
        <v>0.94451922268023902</v>
      </c>
      <c r="AM1545" s="25">
        <v>0.99</v>
      </c>
      <c r="AN1545" s="30">
        <v>1</v>
      </c>
      <c r="AO1545" s="30">
        <v>1</v>
      </c>
      <c r="AP1545" s="30">
        <v>1</v>
      </c>
      <c r="AQ1545" s="30">
        <v>1</v>
      </c>
      <c r="AR1545" s="50">
        <v>0.110069253262963</v>
      </c>
      <c r="AS1545" s="34">
        <v>0</v>
      </c>
      <c r="AT1545" s="34">
        <v>8.3333333333333301E-2</v>
      </c>
      <c r="AU1545" s="34">
        <v>5.5555555555555601E-2</v>
      </c>
      <c r="AV1545" s="34">
        <v>9.9173553719008295E-2</v>
      </c>
      <c r="AW1545" s="10"/>
      <c r="AX1545" s="8"/>
    </row>
    <row r="1546" spans="1:50">
      <c r="A1546" s="7"/>
      <c r="B1546" s="10"/>
      <c r="C1546" s="45" t="s">
        <v>1468</v>
      </c>
      <c r="D1546" s="23" t="s">
        <v>27</v>
      </c>
      <c r="E1546" s="61" t="s">
        <v>1590</v>
      </c>
      <c r="F1546" s="61" t="s">
        <v>1590</v>
      </c>
      <c r="G1546" s="61" t="s">
        <v>1590</v>
      </c>
      <c r="H1546" s="61" t="s">
        <v>1590</v>
      </c>
      <c r="I1546" s="25">
        <v>0.9</v>
      </c>
      <c r="J1546" s="26">
        <v>1</v>
      </c>
      <c r="K1546" s="26">
        <v>1</v>
      </c>
      <c r="L1546" s="27">
        <v>1</v>
      </c>
      <c r="M1546" s="26">
        <v>1</v>
      </c>
      <c r="N1546" s="28">
        <v>0.9</v>
      </c>
      <c r="O1546" s="26">
        <v>0.99811083123425703</v>
      </c>
      <c r="P1546" s="26">
        <v>0.92023554603854396</v>
      </c>
      <c r="Q1546" s="26">
        <v>0.99782962561041799</v>
      </c>
      <c r="R1546" s="26">
        <v>0.98279233476730499</v>
      </c>
      <c r="S1546" s="28">
        <v>0.9</v>
      </c>
      <c r="T1546" s="26">
        <v>0.95843828715365198</v>
      </c>
      <c r="U1546" s="26">
        <v>0.96841541755888605</v>
      </c>
      <c r="V1546" s="26">
        <v>0.96690179055887104</v>
      </c>
      <c r="W1546" s="26">
        <v>0.96353148220571005</v>
      </c>
      <c r="X1546" s="28">
        <v>0.92</v>
      </c>
      <c r="Y1546" s="28">
        <v>0</v>
      </c>
      <c r="Z1546" s="28">
        <v>0</v>
      </c>
      <c r="AA1546" s="28">
        <v>0</v>
      </c>
      <c r="AB1546" s="28">
        <v>0</v>
      </c>
      <c r="AC1546" s="28">
        <v>0.92</v>
      </c>
      <c r="AD1546" s="26">
        <v>1</v>
      </c>
      <c r="AE1546" s="26">
        <v>0.96153846153846201</v>
      </c>
      <c r="AF1546" s="26">
        <v>1</v>
      </c>
      <c r="AG1546" s="26">
        <v>0.99239543726235702</v>
      </c>
      <c r="AH1546" s="28">
        <v>0.92</v>
      </c>
      <c r="AI1546" s="26">
        <v>0.98047858942065502</v>
      </c>
      <c r="AJ1546" s="26">
        <v>0.98072805139186303</v>
      </c>
      <c r="AK1546" s="26">
        <v>0.984264785675529</v>
      </c>
      <c r="AL1546" s="26">
        <v>0.98259679311693404</v>
      </c>
      <c r="AM1546" s="25">
        <v>0.99</v>
      </c>
      <c r="AN1546" s="30">
        <v>1</v>
      </c>
      <c r="AO1546" s="30">
        <v>1</v>
      </c>
      <c r="AP1546" s="30">
        <v>1</v>
      </c>
      <c r="AQ1546" s="30">
        <v>1</v>
      </c>
      <c r="AR1546" s="50">
        <v>0.110069253262963</v>
      </c>
      <c r="AS1546" s="34">
        <v>0.125</v>
      </c>
      <c r="AT1546" s="34">
        <v>0</v>
      </c>
      <c r="AU1546" s="34">
        <v>0.2</v>
      </c>
      <c r="AV1546" s="34">
        <v>5.8823529411764698E-2</v>
      </c>
      <c r="AW1546" s="10"/>
      <c r="AX1546" s="8"/>
    </row>
    <row r="1547" spans="1:50">
      <c r="A1547" s="7"/>
      <c r="B1547" s="10"/>
      <c r="C1547" s="45" t="s">
        <v>1468</v>
      </c>
      <c r="D1547" s="23" t="s">
        <v>27</v>
      </c>
      <c r="E1547" s="61" t="s">
        <v>1591</v>
      </c>
      <c r="F1547" s="61" t="s">
        <v>1591</v>
      </c>
      <c r="G1547" s="61" t="s">
        <v>1591</v>
      </c>
      <c r="H1547" s="61" t="s">
        <v>1591</v>
      </c>
      <c r="I1547" s="25">
        <v>0.9</v>
      </c>
      <c r="J1547" s="26">
        <v>1</v>
      </c>
      <c r="K1547" s="26">
        <v>1</v>
      </c>
      <c r="L1547" s="27">
        <v>0.96</v>
      </c>
      <c r="M1547" s="26">
        <v>0.91156462585034004</v>
      </c>
      <c r="N1547" s="28">
        <v>0.9</v>
      </c>
      <c r="O1547" s="26">
        <v>0.97053231939163498</v>
      </c>
      <c r="P1547" s="26">
        <v>0.99134396355353105</v>
      </c>
      <c r="Q1547" s="26">
        <v>0.997591328783621</v>
      </c>
      <c r="R1547" s="26">
        <v>0.99168399168399202</v>
      </c>
      <c r="S1547" s="28">
        <v>0.9</v>
      </c>
      <c r="T1547" s="26">
        <v>0.83982889733840305</v>
      </c>
      <c r="U1547" s="26">
        <v>0.85284738041002295</v>
      </c>
      <c r="V1547" s="26">
        <v>0.86150140505821005</v>
      </c>
      <c r="W1547" s="26">
        <v>0.84801009801009797</v>
      </c>
      <c r="X1547" s="28">
        <v>0.92</v>
      </c>
      <c r="Y1547" s="28">
        <v>0</v>
      </c>
      <c r="Z1547" s="28">
        <v>0</v>
      </c>
      <c r="AA1547" s="28">
        <v>0</v>
      </c>
      <c r="AB1547" s="28">
        <v>0</v>
      </c>
      <c r="AC1547" s="28">
        <v>0.92</v>
      </c>
      <c r="AD1547" s="26">
        <v>0.94444444444444398</v>
      </c>
      <c r="AE1547" s="26">
        <v>1</v>
      </c>
      <c r="AF1547" s="26">
        <v>1</v>
      </c>
      <c r="AG1547" s="26">
        <v>0.94029850746268695</v>
      </c>
      <c r="AH1547" s="28">
        <v>0.92</v>
      </c>
      <c r="AI1547" s="26">
        <v>0.91492395437262397</v>
      </c>
      <c r="AJ1547" s="26">
        <v>0.94259681093394099</v>
      </c>
      <c r="AK1547" s="26">
        <v>0.95142513046969102</v>
      </c>
      <c r="AL1547" s="26">
        <v>0.94223344223344196</v>
      </c>
      <c r="AM1547" s="25">
        <v>0.99</v>
      </c>
      <c r="AN1547" s="30">
        <v>1</v>
      </c>
      <c r="AO1547" s="30">
        <v>1</v>
      </c>
      <c r="AP1547" s="30">
        <v>1</v>
      </c>
      <c r="AQ1547" s="30">
        <v>1</v>
      </c>
      <c r="AR1547" s="50">
        <v>0.110069253262963</v>
      </c>
      <c r="AS1547" s="34">
        <v>7.1428571428571397E-2</v>
      </c>
      <c r="AT1547" s="34">
        <v>0</v>
      </c>
      <c r="AU1547" s="34">
        <v>4.3478260869565202E-2</v>
      </c>
      <c r="AV1547" s="34">
        <v>6.7226890756302504E-2</v>
      </c>
      <c r="AW1547" s="10"/>
      <c r="AX1547" s="8"/>
    </row>
    <row r="1548" spans="1:50">
      <c r="A1548" s="7"/>
      <c r="B1548" s="10"/>
      <c r="C1548" s="45" t="s">
        <v>1468</v>
      </c>
      <c r="D1548" s="23" t="s">
        <v>27</v>
      </c>
      <c r="E1548" s="61" t="s">
        <v>1592</v>
      </c>
      <c r="F1548" s="61" t="s">
        <v>1592</v>
      </c>
      <c r="G1548" s="61" t="s">
        <v>1592</v>
      </c>
      <c r="H1548" s="61" t="s">
        <v>1592</v>
      </c>
      <c r="I1548" s="25">
        <v>0.9</v>
      </c>
      <c r="J1548" s="26">
        <v>1</v>
      </c>
      <c r="K1548" s="26">
        <v>1</v>
      </c>
      <c r="L1548" s="27">
        <v>1</v>
      </c>
      <c r="M1548" s="26">
        <v>0.98823529411764699</v>
      </c>
      <c r="N1548" s="28">
        <v>0.9</v>
      </c>
      <c r="O1548" s="26">
        <v>0.98004201680672298</v>
      </c>
      <c r="P1548" s="26">
        <v>0.90759493670886104</v>
      </c>
      <c r="Q1548" s="26">
        <v>0.840509817430245</v>
      </c>
      <c r="R1548" s="26">
        <v>0.94023771367521403</v>
      </c>
      <c r="S1548" s="28">
        <v>0.9</v>
      </c>
      <c r="T1548" s="26">
        <v>0.93802521008403394</v>
      </c>
      <c r="U1548" s="26">
        <v>0.92362869198312203</v>
      </c>
      <c r="V1548" s="26">
        <v>0.94729590079228398</v>
      </c>
      <c r="W1548" s="26">
        <v>0.94103899572649596</v>
      </c>
      <c r="X1548" s="28">
        <v>0.92</v>
      </c>
      <c r="Y1548" s="28">
        <v>0</v>
      </c>
      <c r="Z1548" s="28">
        <v>0</v>
      </c>
      <c r="AA1548" s="28">
        <v>0</v>
      </c>
      <c r="AB1548" s="28">
        <v>0</v>
      </c>
      <c r="AC1548" s="28">
        <v>0.92</v>
      </c>
      <c r="AD1548" s="26">
        <v>0.98876404494381998</v>
      </c>
      <c r="AE1548" s="26">
        <v>0.92</v>
      </c>
      <c r="AF1548" s="26">
        <v>0.97599999999999998</v>
      </c>
      <c r="AG1548" s="26">
        <v>0.97613882863340595</v>
      </c>
      <c r="AH1548" s="28">
        <v>0.92</v>
      </c>
      <c r="AI1548" s="26">
        <v>0.96638655462184897</v>
      </c>
      <c r="AJ1548" s="26">
        <v>0.97215189873417696</v>
      </c>
      <c r="AK1548" s="26">
        <v>0.97829831209093998</v>
      </c>
      <c r="AL1548" s="26">
        <v>0.97622863247863201</v>
      </c>
      <c r="AM1548" s="25">
        <v>0.99</v>
      </c>
      <c r="AN1548" s="30">
        <v>1</v>
      </c>
      <c r="AO1548" s="30">
        <v>1</v>
      </c>
      <c r="AP1548" s="30">
        <v>1</v>
      </c>
      <c r="AQ1548" s="30">
        <v>1</v>
      </c>
      <c r="AR1548" s="50">
        <v>0.110069253262963</v>
      </c>
      <c r="AS1548" s="34">
        <v>0</v>
      </c>
      <c r="AT1548" s="34">
        <v>9.0909090909090898E-2</v>
      </c>
      <c r="AU1548" s="34">
        <v>0</v>
      </c>
      <c r="AV1548" s="34">
        <v>5.6179775280898903E-2</v>
      </c>
      <c r="AW1548" s="10"/>
      <c r="AX1548" s="8"/>
    </row>
    <row r="1549" spans="1:50">
      <c r="A1549" s="7"/>
      <c r="B1549" s="10"/>
      <c r="C1549" s="45" t="s">
        <v>1468</v>
      </c>
      <c r="D1549" s="23" t="s">
        <v>27</v>
      </c>
      <c r="E1549" s="61" t="s">
        <v>1593</v>
      </c>
      <c r="F1549" s="61" t="s">
        <v>1593</v>
      </c>
      <c r="G1549" s="61" t="s">
        <v>1593</v>
      </c>
      <c r="H1549" s="61" t="s">
        <v>1593</v>
      </c>
      <c r="I1549" s="25">
        <v>0.9</v>
      </c>
      <c r="J1549" s="26">
        <v>1</v>
      </c>
      <c r="K1549" s="26">
        <v>1</v>
      </c>
      <c r="L1549" s="27">
        <v>1</v>
      </c>
      <c r="M1549" s="26">
        <v>1</v>
      </c>
      <c r="N1549" s="28">
        <v>0.9</v>
      </c>
      <c r="O1549" s="26">
        <v>0.92342931937172801</v>
      </c>
      <c r="P1549" s="26">
        <v>0.97554347826086996</v>
      </c>
      <c r="Q1549" s="26">
        <v>0.95540935672514604</v>
      </c>
      <c r="R1549" s="26">
        <v>0.92160319699106696</v>
      </c>
      <c r="S1549" s="28">
        <v>0.9</v>
      </c>
      <c r="T1549" s="26">
        <v>0.66492146596858603</v>
      </c>
      <c r="U1549" s="26">
        <v>0.79438405797101497</v>
      </c>
      <c r="V1549" s="26">
        <v>0.69005847953216404</v>
      </c>
      <c r="W1549" s="26">
        <v>0.68641278796426897</v>
      </c>
      <c r="X1549" s="28">
        <v>0.92</v>
      </c>
      <c r="Y1549" s="28">
        <v>0</v>
      </c>
      <c r="Z1549" s="28">
        <v>0</v>
      </c>
      <c r="AA1549" s="28">
        <v>0</v>
      </c>
      <c r="AB1549" s="28">
        <v>0</v>
      </c>
      <c r="AC1549" s="28">
        <v>0.92</v>
      </c>
      <c r="AD1549" s="26">
        <v>0.93243243243243201</v>
      </c>
      <c r="AE1549" s="26">
        <v>0.92647058823529405</v>
      </c>
      <c r="AF1549" s="26">
        <v>1</v>
      </c>
      <c r="AG1549" s="26">
        <v>0.97885835095137397</v>
      </c>
      <c r="AH1549" s="28">
        <v>0.92</v>
      </c>
      <c r="AI1549" s="26">
        <v>0.93717277486910999</v>
      </c>
      <c r="AJ1549" s="26">
        <v>0.94927536231884102</v>
      </c>
      <c r="AK1549" s="26">
        <v>0.96198830409356695</v>
      </c>
      <c r="AL1549" s="26">
        <v>0.92136812411847702</v>
      </c>
      <c r="AM1549" s="25">
        <v>0.99</v>
      </c>
      <c r="AN1549" s="30">
        <v>1</v>
      </c>
      <c r="AO1549" s="30">
        <v>1</v>
      </c>
      <c r="AP1549" s="30">
        <v>1</v>
      </c>
      <c r="AQ1549" s="30">
        <v>1</v>
      </c>
      <c r="AR1549" s="50">
        <v>0.110069253262963</v>
      </c>
      <c r="AS1549" s="34">
        <v>0</v>
      </c>
      <c r="AT1549" s="34">
        <v>0.25</v>
      </c>
      <c r="AU1549" s="34">
        <v>7.69230769230769E-2</v>
      </c>
      <c r="AV1549" s="34">
        <v>7.69230769230769E-2</v>
      </c>
      <c r="AW1549" s="10"/>
      <c r="AX1549" s="8"/>
    </row>
    <row r="1550" spans="1:50">
      <c r="A1550" s="7"/>
      <c r="B1550" s="10"/>
      <c r="C1550" s="45" t="s">
        <v>1468</v>
      </c>
      <c r="D1550" s="23" t="s">
        <v>27</v>
      </c>
      <c r="E1550" s="61" t="s">
        <v>1594</v>
      </c>
      <c r="F1550" s="61" t="s">
        <v>1594</v>
      </c>
      <c r="G1550" s="61" t="s">
        <v>1594</v>
      </c>
      <c r="H1550" s="61" t="s">
        <v>1594</v>
      </c>
      <c r="I1550" s="25">
        <v>0.9</v>
      </c>
      <c r="J1550" s="26">
        <v>0.92857142857142905</v>
      </c>
      <c r="K1550" s="26">
        <v>0.91666666666666696</v>
      </c>
      <c r="L1550" s="27">
        <v>0.92</v>
      </c>
      <c r="M1550" s="26">
        <v>0.88679245283018904</v>
      </c>
      <c r="N1550" s="28">
        <v>0.9</v>
      </c>
      <c r="O1550" s="26">
        <v>0.86113125453227002</v>
      </c>
      <c r="P1550" s="26">
        <v>0.89049686444765996</v>
      </c>
      <c r="Q1550" s="26">
        <v>0.94610281923714801</v>
      </c>
      <c r="R1550" s="26">
        <v>0.87279082036402</v>
      </c>
      <c r="S1550" s="28">
        <v>0.9</v>
      </c>
      <c r="T1550" s="26">
        <v>0.52139231327048596</v>
      </c>
      <c r="U1550" s="26">
        <v>0.48576941630487203</v>
      </c>
      <c r="V1550" s="26">
        <v>0.51492537313432796</v>
      </c>
      <c r="W1550" s="26">
        <v>0.51318913215510398</v>
      </c>
      <c r="X1550" s="28">
        <v>0.92</v>
      </c>
      <c r="Y1550" s="28">
        <v>0</v>
      </c>
      <c r="Z1550" s="28">
        <v>0</v>
      </c>
      <c r="AA1550" s="28">
        <v>0</v>
      </c>
      <c r="AB1550" s="28">
        <v>0</v>
      </c>
      <c r="AC1550" s="28">
        <v>0.92</v>
      </c>
      <c r="AD1550" s="26">
        <v>0.96195652173913004</v>
      </c>
      <c r="AE1550" s="26">
        <v>1</v>
      </c>
      <c r="AF1550" s="26">
        <v>1</v>
      </c>
      <c r="AG1550" s="26">
        <v>0.98774259448416801</v>
      </c>
      <c r="AH1550" s="28">
        <v>0.92</v>
      </c>
      <c r="AI1550" s="26">
        <v>0.89376359680928197</v>
      </c>
      <c r="AJ1550" s="26">
        <v>0.73902556681138398</v>
      </c>
      <c r="AK1550" s="26">
        <v>0.83084577114427904</v>
      </c>
      <c r="AL1550" s="26">
        <v>0.85254550250593497</v>
      </c>
      <c r="AM1550" s="25">
        <v>0.99</v>
      </c>
      <c r="AN1550" s="30">
        <v>1</v>
      </c>
      <c r="AO1550" s="30">
        <v>1</v>
      </c>
      <c r="AP1550" s="30">
        <v>1</v>
      </c>
      <c r="AQ1550" s="30">
        <v>1</v>
      </c>
      <c r="AR1550" s="50">
        <v>0.110069253262963</v>
      </c>
      <c r="AS1550" s="34">
        <v>3.8961038961039002E-2</v>
      </c>
      <c r="AT1550" s="34">
        <v>2.7397260273972601E-2</v>
      </c>
      <c r="AU1550" s="34">
        <v>0</v>
      </c>
      <c r="AV1550" s="34">
        <v>5.0739957716701901E-2</v>
      </c>
      <c r="AW1550" s="10"/>
      <c r="AX1550" s="8"/>
    </row>
    <row r="1551" spans="1:50">
      <c r="A1551" s="7"/>
      <c r="B1551" s="10"/>
      <c r="C1551" s="45" t="s">
        <v>1468</v>
      </c>
      <c r="D1551" s="23" t="s">
        <v>27</v>
      </c>
      <c r="E1551" s="61" t="s">
        <v>1595</v>
      </c>
      <c r="F1551" s="61" t="s">
        <v>1595</v>
      </c>
      <c r="G1551" s="61" t="s">
        <v>1595</v>
      </c>
      <c r="H1551" s="61" t="s">
        <v>1595</v>
      </c>
      <c r="I1551" s="25">
        <v>0.9</v>
      </c>
      <c r="J1551" s="26">
        <v>0.9</v>
      </c>
      <c r="K1551" s="26">
        <v>0.72222222222222199</v>
      </c>
      <c r="L1551" s="27">
        <v>0.94736842105263197</v>
      </c>
      <c r="M1551" s="26">
        <v>0.90598290598290598</v>
      </c>
      <c r="N1551" s="28">
        <v>0.9</v>
      </c>
      <c r="O1551" s="26">
        <v>0</v>
      </c>
      <c r="P1551" s="26">
        <v>1</v>
      </c>
      <c r="Q1551" s="26">
        <v>0</v>
      </c>
      <c r="R1551" s="26">
        <v>0.5</v>
      </c>
      <c r="S1551" s="28">
        <v>0.9</v>
      </c>
      <c r="T1551" s="26">
        <v>0</v>
      </c>
      <c r="U1551" s="26">
        <v>0</v>
      </c>
      <c r="V1551" s="26">
        <v>0</v>
      </c>
      <c r="W1551" s="26">
        <v>0</v>
      </c>
      <c r="X1551" s="28">
        <v>0.92</v>
      </c>
      <c r="Y1551" s="28">
        <v>0</v>
      </c>
      <c r="Z1551" s="28">
        <v>0</v>
      </c>
      <c r="AA1551" s="28">
        <v>0</v>
      </c>
      <c r="AB1551" s="28">
        <v>0</v>
      </c>
      <c r="AC1551" s="28">
        <v>0.92</v>
      </c>
      <c r="AD1551" s="26">
        <v>0.77777777777777801</v>
      </c>
      <c r="AE1551" s="26">
        <v>0.75</v>
      </c>
      <c r="AF1551" s="26">
        <v>0.77272727272727304</v>
      </c>
      <c r="AG1551" s="26">
        <v>0.78461538461538505</v>
      </c>
      <c r="AH1551" s="28">
        <v>0.92</v>
      </c>
      <c r="AI1551" s="26">
        <v>0.91942740286298597</v>
      </c>
      <c r="AJ1551" s="26">
        <v>0.96136640910939397</v>
      </c>
      <c r="AK1551" s="26">
        <v>0.97874852420307001</v>
      </c>
      <c r="AL1551" s="26">
        <v>0.96742719903932795</v>
      </c>
      <c r="AM1551" s="25">
        <v>0.99</v>
      </c>
      <c r="AN1551" s="30">
        <v>1</v>
      </c>
      <c r="AO1551" s="30">
        <v>1</v>
      </c>
      <c r="AP1551" s="30">
        <v>1</v>
      </c>
      <c r="AQ1551" s="30">
        <v>1</v>
      </c>
      <c r="AR1551" s="50">
        <v>0.110069253262963</v>
      </c>
      <c r="AS1551" s="34">
        <v>6.6666666666666693E-2</v>
      </c>
      <c r="AT1551" s="34">
        <v>5.5555555555555601E-2</v>
      </c>
      <c r="AU1551" s="34">
        <v>0</v>
      </c>
      <c r="AV1551" s="34">
        <v>7.8947368421052599E-2</v>
      </c>
      <c r="AW1551" s="10"/>
      <c r="AX1551" s="8"/>
    </row>
    <row r="1552" spans="1:50">
      <c r="A1552" s="7"/>
      <c r="B1552" s="10"/>
      <c r="C1552" s="45" t="s">
        <v>1468</v>
      </c>
      <c r="D1552" s="23" t="s">
        <v>27</v>
      </c>
      <c r="E1552" s="61" t="s">
        <v>1596</v>
      </c>
      <c r="F1552" s="61" t="s">
        <v>1596</v>
      </c>
      <c r="G1552" s="61" t="s">
        <v>1596</v>
      </c>
      <c r="H1552" s="61" t="s">
        <v>1596</v>
      </c>
      <c r="I1552" s="25">
        <v>0.9</v>
      </c>
      <c r="J1552" s="26">
        <v>0.97222222222222199</v>
      </c>
      <c r="K1552" s="26">
        <v>0.91891891891891897</v>
      </c>
      <c r="L1552" s="27">
        <v>0.94594594594594605</v>
      </c>
      <c r="M1552" s="26">
        <v>0.94418604651162796</v>
      </c>
      <c r="N1552" s="28">
        <v>0.9</v>
      </c>
      <c r="O1552" s="26">
        <v>0.98780085723705902</v>
      </c>
      <c r="P1552" s="26">
        <v>0.95531174739095504</v>
      </c>
      <c r="Q1552" s="26">
        <v>0.97012658227848103</v>
      </c>
      <c r="R1552" s="26">
        <v>0.96250109774304005</v>
      </c>
      <c r="S1552" s="28">
        <v>0.9</v>
      </c>
      <c r="T1552" s="26">
        <v>0.87866798549291103</v>
      </c>
      <c r="U1552" s="26">
        <v>0.87797698688787795</v>
      </c>
      <c r="V1552" s="26">
        <v>0.88481012658227898</v>
      </c>
      <c r="W1552" s="26">
        <v>0.86085009221041497</v>
      </c>
      <c r="X1552" s="28">
        <v>0.92</v>
      </c>
      <c r="Y1552" s="28">
        <v>0</v>
      </c>
      <c r="Z1552" s="28">
        <v>0</v>
      </c>
      <c r="AA1552" s="28">
        <v>0</v>
      </c>
      <c r="AB1552" s="28">
        <v>0</v>
      </c>
      <c r="AC1552" s="28">
        <v>0.92</v>
      </c>
      <c r="AD1552" s="26">
        <v>0.86301369863013699</v>
      </c>
      <c r="AE1552" s="26">
        <v>1</v>
      </c>
      <c r="AF1552" s="26">
        <v>0.98780487804878003</v>
      </c>
      <c r="AG1552" s="26">
        <v>0.98184357541899403</v>
      </c>
      <c r="AH1552" s="28">
        <v>0.92</v>
      </c>
      <c r="AI1552" s="26">
        <v>0.96044825313117999</v>
      </c>
      <c r="AJ1552" s="26">
        <v>0.95477655873695499</v>
      </c>
      <c r="AK1552" s="26">
        <v>0.968101265822785</v>
      </c>
      <c r="AL1552" s="26">
        <v>0.96122941822173402</v>
      </c>
      <c r="AM1552" s="25">
        <v>0.99</v>
      </c>
      <c r="AN1552" s="30">
        <v>1</v>
      </c>
      <c r="AO1552" s="30">
        <v>1</v>
      </c>
      <c r="AP1552" s="30">
        <v>1</v>
      </c>
      <c r="AQ1552" s="30">
        <v>1</v>
      </c>
      <c r="AR1552" s="50">
        <v>0.110069253262963</v>
      </c>
      <c r="AS1552" s="34">
        <v>6.4935064935064901E-2</v>
      </c>
      <c r="AT1552" s="34">
        <v>8.6956521739130405E-2</v>
      </c>
      <c r="AU1552" s="34">
        <v>3.2258064516128997E-2</v>
      </c>
      <c r="AV1552" s="34">
        <v>5.0761421319797002E-2</v>
      </c>
      <c r="AW1552" s="10"/>
      <c r="AX1552" s="8"/>
    </row>
    <row r="1553" spans="1:50">
      <c r="A1553" s="7"/>
      <c r="B1553" s="10"/>
      <c r="C1553" s="45" t="s">
        <v>1468</v>
      </c>
      <c r="D1553" s="23" t="s">
        <v>27</v>
      </c>
      <c r="E1553" s="61" t="s">
        <v>1597</v>
      </c>
      <c r="F1553" s="61" t="s">
        <v>1597</v>
      </c>
      <c r="G1553" s="61" t="s">
        <v>1597</v>
      </c>
      <c r="H1553" s="61" t="s">
        <v>1597</v>
      </c>
      <c r="I1553" s="25">
        <v>0.9</v>
      </c>
      <c r="J1553" s="26">
        <v>0</v>
      </c>
      <c r="K1553" s="26">
        <v>0</v>
      </c>
      <c r="L1553" s="27">
        <v>0</v>
      </c>
      <c r="M1553" s="26">
        <v>0</v>
      </c>
      <c r="N1553" s="28">
        <v>0.9</v>
      </c>
      <c r="O1553" s="26">
        <v>0</v>
      </c>
      <c r="P1553" s="26">
        <v>0</v>
      </c>
      <c r="Q1553" s="26">
        <v>0</v>
      </c>
      <c r="R1553" s="26">
        <v>0</v>
      </c>
      <c r="S1553" s="28">
        <v>0.9</v>
      </c>
      <c r="T1553" s="26">
        <v>0</v>
      </c>
      <c r="U1553" s="26">
        <v>0</v>
      </c>
      <c r="V1553" s="26">
        <v>0</v>
      </c>
      <c r="W1553" s="26">
        <v>0</v>
      </c>
      <c r="X1553" s="28">
        <v>0.92</v>
      </c>
      <c r="Y1553" s="28">
        <v>0</v>
      </c>
      <c r="Z1553" s="28">
        <v>0</v>
      </c>
      <c r="AA1553" s="28">
        <v>0</v>
      </c>
      <c r="AB1553" s="28">
        <v>0</v>
      </c>
      <c r="AC1553" s="28">
        <v>0.92</v>
      </c>
      <c r="AD1553" s="26">
        <v>0</v>
      </c>
      <c r="AE1553" s="26">
        <v>0</v>
      </c>
      <c r="AF1553" s="26">
        <v>0</v>
      </c>
      <c r="AG1553" s="26">
        <v>0</v>
      </c>
      <c r="AH1553" s="28">
        <v>0.92</v>
      </c>
      <c r="AI1553" s="26">
        <v>0</v>
      </c>
      <c r="AJ1553" s="26">
        <v>0</v>
      </c>
      <c r="AK1553" s="26">
        <v>0</v>
      </c>
      <c r="AL1553" s="26">
        <v>0</v>
      </c>
      <c r="AM1553" s="25">
        <v>0.99</v>
      </c>
      <c r="AN1553" s="30">
        <v>0</v>
      </c>
      <c r="AO1553" s="30">
        <v>0</v>
      </c>
      <c r="AP1553" s="30">
        <v>0</v>
      </c>
      <c r="AQ1553" s="30">
        <v>0</v>
      </c>
      <c r="AR1553" s="50">
        <v>0.110069253262963</v>
      </c>
      <c r="AS1553" s="34">
        <v>0</v>
      </c>
      <c r="AT1553" s="34">
        <v>0</v>
      </c>
      <c r="AU1553" s="34">
        <v>0</v>
      </c>
      <c r="AV1553" s="34">
        <v>0</v>
      </c>
      <c r="AW1553" s="10"/>
      <c r="AX1553" s="8"/>
    </row>
    <row r="1554" spans="1:50">
      <c r="A1554" s="7"/>
      <c r="B1554" s="10"/>
      <c r="C1554" s="45" t="s">
        <v>1468</v>
      </c>
      <c r="D1554" s="23" t="s">
        <v>27</v>
      </c>
      <c r="E1554" s="61" t="s">
        <v>1598</v>
      </c>
      <c r="F1554" s="61" t="s">
        <v>1598</v>
      </c>
      <c r="G1554" s="61" t="s">
        <v>1598</v>
      </c>
      <c r="H1554" s="61" t="s">
        <v>1598</v>
      </c>
      <c r="I1554" s="25">
        <v>0.9</v>
      </c>
      <c r="J1554" s="26">
        <v>1</v>
      </c>
      <c r="K1554" s="26">
        <v>0.9375</v>
      </c>
      <c r="L1554" s="27">
        <v>1</v>
      </c>
      <c r="M1554" s="26">
        <v>0.99065420560747697</v>
      </c>
      <c r="N1554" s="28">
        <v>0.9</v>
      </c>
      <c r="O1554" s="26">
        <v>0.97074672825250197</v>
      </c>
      <c r="P1554" s="26">
        <v>0.96650035637918696</v>
      </c>
      <c r="Q1554" s="26">
        <v>0.97204045211183798</v>
      </c>
      <c r="R1554" s="26">
        <v>0.97311827956989205</v>
      </c>
      <c r="S1554" s="28">
        <v>0.9</v>
      </c>
      <c r="T1554" s="26">
        <v>0.61123941493456502</v>
      </c>
      <c r="U1554" s="26">
        <v>0.52245188880969395</v>
      </c>
      <c r="V1554" s="26">
        <v>0.465794170136823</v>
      </c>
      <c r="W1554" s="26">
        <v>0.53053357679042401</v>
      </c>
      <c r="X1554" s="28">
        <v>0.92</v>
      </c>
      <c r="Y1554" s="28">
        <v>0</v>
      </c>
      <c r="Z1554" s="28">
        <v>0</v>
      </c>
      <c r="AA1554" s="28">
        <v>0</v>
      </c>
      <c r="AB1554" s="28">
        <v>0</v>
      </c>
      <c r="AC1554" s="28">
        <v>0.92</v>
      </c>
      <c r="AD1554" s="26">
        <v>1</v>
      </c>
      <c r="AE1554" s="26">
        <v>0.94444444444444398</v>
      </c>
      <c r="AF1554" s="26">
        <v>1</v>
      </c>
      <c r="AG1554" s="26">
        <v>0.97368421052631604</v>
      </c>
      <c r="AH1554" s="28">
        <v>0.92</v>
      </c>
      <c r="AI1554" s="26">
        <v>0.86143187066974602</v>
      </c>
      <c r="AJ1554" s="26">
        <v>0.87883107626514601</v>
      </c>
      <c r="AK1554" s="26">
        <v>0.91969066032123703</v>
      </c>
      <c r="AL1554" s="26">
        <v>0.90018259281801605</v>
      </c>
      <c r="AM1554" s="25">
        <v>0.99</v>
      </c>
      <c r="AN1554" s="30">
        <v>1</v>
      </c>
      <c r="AO1554" s="30">
        <v>1</v>
      </c>
      <c r="AP1554" s="30">
        <v>1</v>
      </c>
      <c r="AQ1554" s="30">
        <v>1</v>
      </c>
      <c r="AR1554" s="50">
        <v>0.110069253262963</v>
      </c>
      <c r="AS1554" s="34">
        <v>9.0909090909090898E-2</v>
      </c>
      <c r="AT1554" s="34">
        <v>0</v>
      </c>
      <c r="AU1554" s="34">
        <v>0</v>
      </c>
      <c r="AV1554" s="34">
        <v>6.0606060606060601E-2</v>
      </c>
      <c r="AW1554" s="10"/>
      <c r="AX1554" s="8"/>
    </row>
    <row r="1555" spans="1:50">
      <c r="A1555" s="7"/>
      <c r="B1555" s="10"/>
      <c r="C1555" s="45" t="s">
        <v>1468</v>
      </c>
      <c r="D1555" s="23" t="s">
        <v>27</v>
      </c>
      <c r="E1555" s="61" t="s">
        <v>1599</v>
      </c>
      <c r="F1555" s="61" t="s">
        <v>1599</v>
      </c>
      <c r="G1555" s="61" t="s">
        <v>1599</v>
      </c>
      <c r="H1555" s="61" t="s">
        <v>1599</v>
      </c>
      <c r="I1555" s="25">
        <v>0.9</v>
      </c>
      <c r="J1555" s="26">
        <v>0.94736842105263197</v>
      </c>
      <c r="K1555" s="26">
        <v>0.88888888888888895</v>
      </c>
      <c r="L1555" s="27">
        <v>1</v>
      </c>
      <c r="M1555" s="26">
        <v>0.94594594594594605</v>
      </c>
      <c r="N1555" s="28">
        <v>0.9</v>
      </c>
      <c r="O1555" s="26">
        <v>0</v>
      </c>
      <c r="P1555" s="26">
        <v>0</v>
      </c>
      <c r="Q1555" s="26">
        <v>0</v>
      </c>
      <c r="R1555" s="26">
        <v>0</v>
      </c>
      <c r="S1555" s="28">
        <v>0.9</v>
      </c>
      <c r="T1555" s="26">
        <v>0</v>
      </c>
      <c r="U1555" s="26">
        <v>0</v>
      </c>
      <c r="V1555" s="26">
        <v>1</v>
      </c>
      <c r="W1555" s="26">
        <v>1</v>
      </c>
      <c r="X1555" s="28">
        <v>0.92</v>
      </c>
      <c r="Y1555" s="28">
        <v>0</v>
      </c>
      <c r="Z1555" s="28">
        <v>0</v>
      </c>
      <c r="AA1555" s="28">
        <v>0</v>
      </c>
      <c r="AB1555" s="28">
        <v>0</v>
      </c>
      <c r="AC1555" s="28">
        <v>0.92</v>
      </c>
      <c r="AD1555" s="26">
        <v>1</v>
      </c>
      <c r="AE1555" s="26">
        <v>0</v>
      </c>
      <c r="AF1555" s="26">
        <v>0</v>
      </c>
      <c r="AG1555" s="26">
        <v>0.16666666666666699</v>
      </c>
      <c r="AH1555" s="28">
        <v>0.92</v>
      </c>
      <c r="AI1555" s="26">
        <v>0.79060402684563802</v>
      </c>
      <c r="AJ1555" s="26">
        <v>0.83291139240506296</v>
      </c>
      <c r="AK1555" s="26">
        <v>0.834975369458128</v>
      </c>
      <c r="AL1555" s="26">
        <v>0.84197689345314497</v>
      </c>
      <c r="AM1555" s="25">
        <v>0.99</v>
      </c>
      <c r="AN1555" s="30">
        <v>0</v>
      </c>
      <c r="AO1555" s="30">
        <v>0</v>
      </c>
      <c r="AP1555" s="30">
        <v>0</v>
      </c>
      <c r="AQ1555" s="30">
        <v>1</v>
      </c>
      <c r="AR1555" s="50">
        <v>0.110069253262963</v>
      </c>
      <c r="AS1555" s="34">
        <v>0.407407407407407</v>
      </c>
      <c r="AT1555" s="34">
        <v>6.25E-2</v>
      </c>
      <c r="AU1555" s="34">
        <v>0.1</v>
      </c>
      <c r="AV1555" s="34">
        <v>0.181372549019608</v>
      </c>
      <c r="AW1555" s="10"/>
      <c r="AX1555" s="8"/>
    </row>
    <row r="1556" spans="1:50">
      <c r="A1556" s="7"/>
      <c r="B1556" s="10"/>
      <c r="C1556" s="45" t="s">
        <v>1468</v>
      </c>
      <c r="D1556" s="23" t="s">
        <v>27</v>
      </c>
      <c r="E1556" s="61" t="s">
        <v>1600</v>
      </c>
      <c r="F1556" s="61" t="s">
        <v>1600</v>
      </c>
      <c r="G1556" s="61" t="s">
        <v>1600</v>
      </c>
      <c r="H1556" s="61" t="s">
        <v>1600</v>
      </c>
      <c r="I1556" s="25">
        <v>0.9</v>
      </c>
      <c r="J1556" s="26">
        <v>0.94285714285714295</v>
      </c>
      <c r="K1556" s="26">
        <v>0.88888888888888895</v>
      </c>
      <c r="L1556" s="27">
        <v>0.94117647058823495</v>
      </c>
      <c r="M1556" s="26">
        <v>0.93658536585365904</v>
      </c>
      <c r="N1556" s="28">
        <v>0.9</v>
      </c>
      <c r="O1556" s="26">
        <v>0.99202279202279198</v>
      </c>
      <c r="P1556" s="26">
        <v>0.97570194384449205</v>
      </c>
      <c r="Q1556" s="26">
        <v>0.98712121212121196</v>
      </c>
      <c r="R1556" s="26">
        <v>0.98439490445859901</v>
      </c>
      <c r="S1556" s="28">
        <v>0.9</v>
      </c>
      <c r="T1556" s="26">
        <v>0.87008547008546999</v>
      </c>
      <c r="U1556" s="26">
        <v>0.87877969762418995</v>
      </c>
      <c r="V1556" s="26">
        <v>0.86944444444444402</v>
      </c>
      <c r="W1556" s="26">
        <v>0.86792538671519603</v>
      </c>
      <c r="X1556" s="28">
        <v>0.92</v>
      </c>
      <c r="Y1556" s="28">
        <v>0</v>
      </c>
      <c r="Z1556" s="28">
        <v>0</v>
      </c>
      <c r="AA1556" s="28">
        <v>0</v>
      </c>
      <c r="AB1556" s="28">
        <v>0</v>
      </c>
      <c r="AC1556" s="28">
        <v>0.92</v>
      </c>
      <c r="AD1556" s="26">
        <v>0.73684210526315796</v>
      </c>
      <c r="AE1556" s="26">
        <v>0.64705882352941202</v>
      </c>
      <c r="AF1556" s="26">
        <v>0.88461538461538503</v>
      </c>
      <c r="AG1556" s="26">
        <v>0.75423728813559299</v>
      </c>
      <c r="AH1556" s="28">
        <v>0.92</v>
      </c>
      <c r="AI1556" s="26">
        <v>0.92763532763532797</v>
      </c>
      <c r="AJ1556" s="26">
        <v>0.95545356371490298</v>
      </c>
      <c r="AK1556" s="26">
        <v>0.96137339055794002</v>
      </c>
      <c r="AL1556" s="26">
        <v>0.95841863427505603</v>
      </c>
      <c r="AM1556" s="25">
        <v>0.99</v>
      </c>
      <c r="AN1556" s="30">
        <v>1</v>
      </c>
      <c r="AO1556" s="30">
        <v>1</v>
      </c>
      <c r="AP1556" s="30">
        <v>0</v>
      </c>
      <c r="AQ1556" s="30">
        <v>1</v>
      </c>
      <c r="AR1556" s="50">
        <v>0.110069253262963</v>
      </c>
      <c r="AS1556" s="34">
        <v>0</v>
      </c>
      <c r="AT1556" s="34">
        <v>0.238095238095238</v>
      </c>
      <c r="AU1556" s="34">
        <v>4.5454545454545497E-2</v>
      </c>
      <c r="AV1556" s="34">
        <v>0.14159292035398199</v>
      </c>
      <c r="AW1556" s="10"/>
      <c r="AX1556" s="8"/>
    </row>
    <row r="1557" spans="1:50">
      <c r="A1557" s="7"/>
      <c r="B1557" s="10"/>
      <c r="C1557" s="45" t="s">
        <v>1468</v>
      </c>
      <c r="D1557" s="23" t="s">
        <v>27</v>
      </c>
      <c r="E1557" s="61" t="s">
        <v>1601</v>
      </c>
      <c r="F1557" s="61" t="s">
        <v>1601</v>
      </c>
      <c r="G1557" s="61" t="s">
        <v>1601</v>
      </c>
      <c r="H1557" s="61" t="s">
        <v>1601</v>
      </c>
      <c r="I1557" s="25">
        <v>0.9</v>
      </c>
      <c r="J1557" s="26">
        <v>0.92307692307692302</v>
      </c>
      <c r="K1557" s="26">
        <v>0.85714285714285698</v>
      </c>
      <c r="L1557" s="27">
        <v>0.81481481481481499</v>
      </c>
      <c r="M1557" s="26">
        <v>0.86666666666666703</v>
      </c>
      <c r="N1557" s="28">
        <v>0.9</v>
      </c>
      <c r="O1557" s="26">
        <v>0.99051339285714302</v>
      </c>
      <c r="P1557" s="26">
        <v>0.96242923314462203</v>
      </c>
      <c r="Q1557" s="26">
        <v>0.96693060083837901</v>
      </c>
      <c r="R1557" s="26">
        <v>0.981277911370663</v>
      </c>
      <c r="S1557" s="28">
        <v>0.9</v>
      </c>
      <c r="T1557" s="26">
        <v>0.91685267857142905</v>
      </c>
      <c r="U1557" s="26">
        <v>0.92125579001544</v>
      </c>
      <c r="V1557" s="26">
        <v>0.91429902189101098</v>
      </c>
      <c r="W1557" s="26">
        <v>0.92622810030917202</v>
      </c>
      <c r="X1557" s="28">
        <v>0.92</v>
      </c>
      <c r="Y1557" s="28">
        <v>0</v>
      </c>
      <c r="Z1557" s="28">
        <v>0</v>
      </c>
      <c r="AA1557" s="28">
        <v>0</v>
      </c>
      <c r="AB1557" s="28">
        <v>0</v>
      </c>
      <c r="AC1557" s="28">
        <v>0.92</v>
      </c>
      <c r="AD1557" s="26">
        <v>1</v>
      </c>
      <c r="AE1557" s="26">
        <v>0.47826086956521702</v>
      </c>
      <c r="AF1557" s="26">
        <v>0</v>
      </c>
      <c r="AG1557" s="26">
        <v>0.59649122807017496</v>
      </c>
      <c r="AH1557" s="28">
        <v>0.92</v>
      </c>
      <c r="AI1557" s="26">
        <v>0.95200892857142905</v>
      </c>
      <c r="AJ1557" s="26">
        <v>0.97478126608337601</v>
      </c>
      <c r="AK1557" s="26">
        <v>0.96880819366852899</v>
      </c>
      <c r="AL1557" s="26">
        <v>0.97269448737763997</v>
      </c>
      <c r="AM1557" s="25">
        <v>0.99</v>
      </c>
      <c r="AN1557" s="30">
        <v>1</v>
      </c>
      <c r="AO1557" s="30">
        <v>1</v>
      </c>
      <c r="AP1557" s="30">
        <v>1</v>
      </c>
      <c r="AQ1557" s="30">
        <v>1</v>
      </c>
      <c r="AR1557" s="50">
        <v>0.110069253262963</v>
      </c>
      <c r="AS1557" s="34">
        <v>0</v>
      </c>
      <c r="AT1557" s="34">
        <v>0.2</v>
      </c>
      <c r="AU1557" s="34">
        <v>0</v>
      </c>
      <c r="AV1557" s="34">
        <v>0.2</v>
      </c>
      <c r="AW1557" s="10"/>
      <c r="AX1557" s="8"/>
    </row>
    <row r="1558" spans="1:50">
      <c r="A1558" s="7"/>
      <c r="B1558" s="10"/>
      <c r="C1558" s="45" t="s">
        <v>1468</v>
      </c>
      <c r="D1558" s="23" t="s">
        <v>27</v>
      </c>
      <c r="E1558" s="61" t="s">
        <v>1602</v>
      </c>
      <c r="F1558" s="61" t="s">
        <v>1602</v>
      </c>
      <c r="G1558" s="61" t="s">
        <v>1602</v>
      </c>
      <c r="H1558" s="61" t="s">
        <v>1602</v>
      </c>
      <c r="I1558" s="25">
        <v>0.9</v>
      </c>
      <c r="J1558" s="26">
        <v>1</v>
      </c>
      <c r="K1558" s="26">
        <v>1</v>
      </c>
      <c r="L1558" s="27">
        <v>1</v>
      </c>
      <c r="M1558" s="26">
        <v>1</v>
      </c>
      <c r="N1558" s="28">
        <v>0.9</v>
      </c>
      <c r="O1558" s="26">
        <v>0.98851269649334905</v>
      </c>
      <c r="P1558" s="26">
        <v>0.86084452975047998</v>
      </c>
      <c r="Q1558" s="26">
        <v>0.80817843866171002</v>
      </c>
      <c r="R1558" s="26">
        <v>0.84759418974126199</v>
      </c>
      <c r="S1558" s="28">
        <v>0.9</v>
      </c>
      <c r="T1558" s="26">
        <v>0.41233373639661403</v>
      </c>
      <c r="U1558" s="26">
        <v>0.63243761996161196</v>
      </c>
      <c r="V1558" s="26">
        <v>0.40743494423791798</v>
      </c>
      <c r="W1558" s="26">
        <v>0.42669087607807499</v>
      </c>
      <c r="X1558" s="28">
        <v>0.92</v>
      </c>
      <c r="Y1558" s="28">
        <v>0</v>
      </c>
      <c r="Z1558" s="28">
        <v>0</v>
      </c>
      <c r="AA1558" s="28">
        <v>0</v>
      </c>
      <c r="AB1558" s="28">
        <v>0</v>
      </c>
      <c r="AC1558" s="28">
        <v>0.92</v>
      </c>
      <c r="AD1558" s="26">
        <v>1</v>
      </c>
      <c r="AE1558" s="26">
        <v>1</v>
      </c>
      <c r="AF1558" s="26">
        <v>1</v>
      </c>
      <c r="AG1558" s="26">
        <v>0.99874843554443005</v>
      </c>
      <c r="AH1558" s="28">
        <v>0.92</v>
      </c>
      <c r="AI1558" s="26">
        <v>0.89238210399032603</v>
      </c>
      <c r="AJ1558" s="26">
        <v>0.90307101727447203</v>
      </c>
      <c r="AK1558" s="26">
        <v>0.84312267657992601</v>
      </c>
      <c r="AL1558" s="26">
        <v>0.84226055379028597</v>
      </c>
      <c r="AM1558" s="25">
        <v>0.99</v>
      </c>
      <c r="AN1558" s="30">
        <v>0</v>
      </c>
      <c r="AO1558" s="30">
        <v>0</v>
      </c>
      <c r="AP1558" s="30">
        <v>0</v>
      </c>
      <c r="AQ1558" s="30">
        <v>1</v>
      </c>
      <c r="AR1558" s="50">
        <v>0.110069253262963</v>
      </c>
      <c r="AS1558" s="34">
        <v>0</v>
      </c>
      <c r="AT1558" s="34">
        <v>0</v>
      </c>
      <c r="AU1558" s="34">
        <v>0</v>
      </c>
      <c r="AV1558" s="34">
        <v>2.8169014084507001E-2</v>
      </c>
      <c r="AW1558" s="10"/>
      <c r="AX1558" s="8"/>
    </row>
    <row r="1559" spans="1:50">
      <c r="A1559" s="7"/>
      <c r="B1559" s="10"/>
      <c r="C1559" s="45" t="s">
        <v>1468</v>
      </c>
      <c r="D1559" s="23" t="s">
        <v>27</v>
      </c>
      <c r="E1559" s="61" t="s">
        <v>1603</v>
      </c>
      <c r="F1559" s="61" t="s">
        <v>1603</v>
      </c>
      <c r="G1559" s="61" t="s">
        <v>1603</v>
      </c>
      <c r="H1559" s="61" t="s">
        <v>1603</v>
      </c>
      <c r="I1559" s="25">
        <v>0.9</v>
      </c>
      <c r="J1559" s="26">
        <v>0.66666666666666696</v>
      </c>
      <c r="K1559" s="26">
        <v>0.81818181818181801</v>
      </c>
      <c r="L1559" s="27">
        <v>0.75</v>
      </c>
      <c r="M1559" s="26">
        <v>0.68656716417910402</v>
      </c>
      <c r="N1559" s="28">
        <v>0.9</v>
      </c>
      <c r="O1559" s="26">
        <v>0</v>
      </c>
      <c r="P1559" s="26">
        <v>0</v>
      </c>
      <c r="Q1559" s="26">
        <v>0</v>
      </c>
      <c r="R1559" s="26">
        <v>0.5</v>
      </c>
      <c r="S1559" s="28">
        <v>0.9</v>
      </c>
      <c r="T1559" s="26">
        <v>1</v>
      </c>
      <c r="U1559" s="26">
        <v>0</v>
      </c>
      <c r="V1559" s="26">
        <v>0</v>
      </c>
      <c r="W1559" s="26">
        <v>0.5</v>
      </c>
      <c r="X1559" s="28">
        <v>0.92</v>
      </c>
      <c r="Y1559" s="28">
        <v>0</v>
      </c>
      <c r="Z1559" s="28">
        <v>0</v>
      </c>
      <c r="AA1559" s="28">
        <v>0</v>
      </c>
      <c r="AB1559" s="28">
        <v>0</v>
      </c>
      <c r="AC1559" s="28">
        <v>0.92</v>
      </c>
      <c r="AD1559" s="26">
        <v>1</v>
      </c>
      <c r="AE1559" s="26">
        <v>1</v>
      </c>
      <c r="AF1559" s="26">
        <v>1</v>
      </c>
      <c r="AG1559" s="26">
        <v>0.91666666666666696</v>
      </c>
      <c r="AH1559" s="28">
        <v>0.92</v>
      </c>
      <c r="AI1559" s="26">
        <v>0.78700000000000003</v>
      </c>
      <c r="AJ1559" s="26">
        <v>0.72486033519553095</v>
      </c>
      <c r="AK1559" s="26">
        <v>0.79889298892988903</v>
      </c>
      <c r="AL1559" s="26">
        <v>0.69859329747621002</v>
      </c>
      <c r="AM1559" s="25">
        <v>0.99</v>
      </c>
      <c r="AN1559" s="30">
        <v>1</v>
      </c>
      <c r="AO1559" s="30">
        <v>1</v>
      </c>
      <c r="AP1559" s="30">
        <v>1</v>
      </c>
      <c r="AQ1559" s="30">
        <v>1</v>
      </c>
      <c r="AR1559" s="50">
        <v>0.110069253262963</v>
      </c>
      <c r="AS1559" s="34">
        <v>0</v>
      </c>
      <c r="AT1559" s="34">
        <v>0.6</v>
      </c>
      <c r="AU1559" s="34">
        <v>6.6666666666666693E-2</v>
      </c>
      <c r="AV1559" s="34">
        <v>0.20689655172413801</v>
      </c>
      <c r="AW1559" s="10"/>
      <c r="AX1559" s="8"/>
    </row>
    <row r="1560" spans="1:50">
      <c r="A1560" s="7"/>
      <c r="B1560" s="10"/>
      <c r="C1560" s="45" t="s">
        <v>1468</v>
      </c>
      <c r="D1560" s="23" t="s">
        <v>27</v>
      </c>
      <c r="E1560" s="61" t="s">
        <v>1604</v>
      </c>
      <c r="F1560" s="61" t="s">
        <v>1604</v>
      </c>
      <c r="G1560" s="61" t="s">
        <v>1604</v>
      </c>
      <c r="H1560" s="61" t="s">
        <v>1604</v>
      </c>
      <c r="I1560" s="25">
        <v>0.9</v>
      </c>
      <c r="J1560" s="26">
        <v>1</v>
      </c>
      <c r="K1560" s="26">
        <v>0.84210526315789502</v>
      </c>
      <c r="L1560" s="27">
        <v>0.9</v>
      </c>
      <c r="M1560" s="26">
        <v>0.92920353982300896</v>
      </c>
      <c r="N1560" s="28">
        <v>0.9</v>
      </c>
      <c r="O1560" s="26">
        <v>0</v>
      </c>
      <c r="P1560" s="26">
        <v>0</v>
      </c>
      <c r="Q1560" s="26">
        <v>0</v>
      </c>
      <c r="R1560" s="26">
        <v>0</v>
      </c>
      <c r="S1560" s="28">
        <v>0.9</v>
      </c>
      <c r="T1560" s="26">
        <v>0</v>
      </c>
      <c r="U1560" s="26">
        <v>0</v>
      </c>
      <c r="V1560" s="26">
        <v>0</v>
      </c>
      <c r="W1560" s="26">
        <v>0</v>
      </c>
      <c r="X1560" s="28">
        <v>0.92</v>
      </c>
      <c r="Y1560" s="28">
        <v>0</v>
      </c>
      <c r="Z1560" s="28">
        <v>0</v>
      </c>
      <c r="AA1560" s="28">
        <v>0</v>
      </c>
      <c r="AB1560" s="28">
        <v>0</v>
      </c>
      <c r="AC1560" s="28">
        <v>0.92</v>
      </c>
      <c r="AD1560" s="26">
        <v>0</v>
      </c>
      <c r="AE1560" s="26">
        <v>0</v>
      </c>
      <c r="AF1560" s="26">
        <v>0</v>
      </c>
      <c r="AG1560" s="26">
        <v>0.16129032258064499</v>
      </c>
      <c r="AH1560" s="28">
        <v>0.92</v>
      </c>
      <c r="AI1560" s="26">
        <v>0.71611631345490401</v>
      </c>
      <c r="AJ1560" s="26">
        <v>0.71447781264007204</v>
      </c>
      <c r="AK1560" s="26">
        <v>0.74781181619255999</v>
      </c>
      <c r="AL1560" s="26">
        <v>0.73405051449953196</v>
      </c>
      <c r="AM1560" s="25">
        <v>0.99</v>
      </c>
      <c r="AN1560" s="30">
        <v>0</v>
      </c>
      <c r="AO1560" s="30">
        <v>0</v>
      </c>
      <c r="AP1560" s="30">
        <v>0</v>
      </c>
      <c r="AQ1560" s="30">
        <v>0</v>
      </c>
      <c r="AR1560" s="50">
        <v>0.110069253262963</v>
      </c>
      <c r="AS1560" s="34">
        <v>0</v>
      </c>
      <c r="AT1560" s="34">
        <v>2.2222222222222199E-2</v>
      </c>
      <c r="AU1560" s="34">
        <v>4.6511627906976702E-2</v>
      </c>
      <c r="AV1560" s="34">
        <v>7.03125E-2</v>
      </c>
      <c r="AW1560" s="10"/>
      <c r="AX1560" s="8"/>
    </row>
    <row r="1561" spans="1:50">
      <c r="A1561" s="7"/>
      <c r="B1561" s="10"/>
      <c r="C1561" s="45" t="s">
        <v>1468</v>
      </c>
      <c r="D1561" s="23" t="s">
        <v>27</v>
      </c>
      <c r="E1561" s="61" t="s">
        <v>1605</v>
      </c>
      <c r="F1561" s="61" t="s">
        <v>1605</v>
      </c>
      <c r="G1561" s="61" t="s">
        <v>1605</v>
      </c>
      <c r="H1561" s="61" t="s">
        <v>1605</v>
      </c>
      <c r="I1561" s="25">
        <v>0.9</v>
      </c>
      <c r="J1561" s="26">
        <v>1</v>
      </c>
      <c r="K1561" s="26">
        <v>1</v>
      </c>
      <c r="L1561" s="27">
        <v>1</v>
      </c>
      <c r="M1561" s="26">
        <v>1</v>
      </c>
      <c r="N1561" s="28">
        <v>0.9</v>
      </c>
      <c r="O1561" s="26">
        <v>0</v>
      </c>
      <c r="P1561" s="26">
        <v>0</v>
      </c>
      <c r="Q1561" s="26">
        <v>0</v>
      </c>
      <c r="R1561" s="26">
        <v>0</v>
      </c>
      <c r="S1561" s="28">
        <v>0.9</v>
      </c>
      <c r="T1561" s="26">
        <v>0</v>
      </c>
      <c r="U1561" s="26">
        <v>0</v>
      </c>
      <c r="V1561" s="26">
        <v>0</v>
      </c>
      <c r="W1561" s="26">
        <v>0</v>
      </c>
      <c r="X1561" s="28">
        <v>0.92</v>
      </c>
      <c r="Y1561" s="28">
        <v>0</v>
      </c>
      <c r="Z1561" s="28">
        <v>0</v>
      </c>
      <c r="AA1561" s="28">
        <v>0</v>
      </c>
      <c r="AB1561" s="28">
        <v>0</v>
      </c>
      <c r="AC1561" s="28">
        <v>0.92</v>
      </c>
      <c r="AD1561" s="26">
        <v>0</v>
      </c>
      <c r="AE1561" s="26">
        <v>0</v>
      </c>
      <c r="AF1561" s="26">
        <v>0</v>
      </c>
      <c r="AG1561" s="26">
        <v>5.5555555555555601E-2</v>
      </c>
      <c r="AH1561" s="28">
        <v>0.92</v>
      </c>
      <c r="AI1561" s="26">
        <v>0.97965116279069797</v>
      </c>
      <c r="AJ1561" s="26">
        <v>0.92927864214992895</v>
      </c>
      <c r="AK1561" s="26">
        <v>0.99255583126550895</v>
      </c>
      <c r="AL1561" s="26">
        <v>0.96314655172413799</v>
      </c>
      <c r="AM1561" s="25">
        <v>0.99</v>
      </c>
      <c r="AN1561" s="30">
        <v>0</v>
      </c>
      <c r="AO1561" s="30">
        <v>0</v>
      </c>
      <c r="AP1561" s="30">
        <v>0</v>
      </c>
      <c r="AQ1561" s="30">
        <v>0</v>
      </c>
      <c r="AR1561" s="50">
        <v>0.110069253262963</v>
      </c>
      <c r="AS1561" s="34">
        <v>0</v>
      </c>
      <c r="AT1561" s="34">
        <v>0.33333333333333298</v>
      </c>
      <c r="AU1561" s="34">
        <v>0</v>
      </c>
      <c r="AV1561" s="34">
        <v>0.08</v>
      </c>
      <c r="AW1561" s="10"/>
      <c r="AX1561" s="8"/>
    </row>
    <row r="1562" spans="1:50">
      <c r="A1562" s="7"/>
      <c r="B1562" s="10"/>
      <c r="C1562" s="45" t="s">
        <v>1468</v>
      </c>
      <c r="D1562" s="23" t="s">
        <v>27</v>
      </c>
      <c r="E1562" s="61" t="s">
        <v>1606</v>
      </c>
      <c r="F1562" s="61" t="s">
        <v>1606</v>
      </c>
      <c r="G1562" s="61" t="s">
        <v>1606</v>
      </c>
      <c r="H1562" s="61" t="s">
        <v>1606</v>
      </c>
      <c r="I1562" s="25">
        <v>0.9</v>
      </c>
      <c r="J1562" s="26">
        <v>0.75</v>
      </c>
      <c r="K1562" s="26">
        <v>0.81818181818181801</v>
      </c>
      <c r="L1562" s="27">
        <v>0.90909090909090895</v>
      </c>
      <c r="M1562" s="26">
        <v>0.80303030303030298</v>
      </c>
      <c r="N1562" s="28">
        <v>0.9</v>
      </c>
      <c r="O1562" s="26">
        <v>0</v>
      </c>
      <c r="P1562" s="26">
        <v>0</v>
      </c>
      <c r="Q1562" s="26">
        <v>0</v>
      </c>
      <c r="R1562" s="26">
        <v>0.5</v>
      </c>
      <c r="S1562" s="28">
        <v>0.9</v>
      </c>
      <c r="T1562" s="26">
        <v>0</v>
      </c>
      <c r="U1562" s="26">
        <v>0</v>
      </c>
      <c r="V1562" s="26">
        <v>0</v>
      </c>
      <c r="W1562" s="26">
        <v>0.5</v>
      </c>
      <c r="X1562" s="28">
        <v>0.92</v>
      </c>
      <c r="Y1562" s="28">
        <v>0</v>
      </c>
      <c r="Z1562" s="28">
        <v>0</v>
      </c>
      <c r="AA1562" s="28">
        <v>0</v>
      </c>
      <c r="AB1562" s="28">
        <v>0</v>
      </c>
      <c r="AC1562" s="28">
        <v>0.92</v>
      </c>
      <c r="AD1562" s="26">
        <v>0</v>
      </c>
      <c r="AE1562" s="26">
        <v>1</v>
      </c>
      <c r="AF1562" s="26">
        <v>1</v>
      </c>
      <c r="AG1562" s="26">
        <v>0.44444444444444398</v>
      </c>
      <c r="AH1562" s="28">
        <v>0.92</v>
      </c>
      <c r="AI1562" s="26">
        <v>0.99358386801099896</v>
      </c>
      <c r="AJ1562" s="26">
        <v>0.99675675675675701</v>
      </c>
      <c r="AK1562" s="26">
        <v>0.99895615866388299</v>
      </c>
      <c r="AL1562" s="26">
        <v>0.99685204616998901</v>
      </c>
      <c r="AM1562" s="25">
        <v>0.99</v>
      </c>
      <c r="AN1562" s="30">
        <v>1</v>
      </c>
      <c r="AO1562" s="30">
        <v>1</v>
      </c>
      <c r="AP1562" s="30">
        <v>1</v>
      </c>
      <c r="AQ1562" s="30">
        <v>1</v>
      </c>
      <c r="AR1562" s="50">
        <v>0.110069253262963</v>
      </c>
      <c r="AS1562" s="34">
        <v>0.21052631578947401</v>
      </c>
      <c r="AT1562" s="34">
        <v>0.13636363636363599</v>
      </c>
      <c r="AU1562" s="34">
        <v>0</v>
      </c>
      <c r="AV1562" s="34">
        <v>0.116504854368932</v>
      </c>
      <c r="AW1562" s="10"/>
      <c r="AX1562" s="8"/>
    </row>
    <row r="1563" spans="1:50">
      <c r="A1563" s="7"/>
      <c r="B1563" s="10"/>
      <c r="C1563" s="45" t="s">
        <v>1468</v>
      </c>
      <c r="D1563" s="23" t="s">
        <v>27</v>
      </c>
      <c r="E1563" s="61" t="s">
        <v>1607</v>
      </c>
      <c r="F1563" s="61" t="s">
        <v>1607</v>
      </c>
      <c r="G1563" s="61" t="s">
        <v>1607</v>
      </c>
      <c r="H1563" s="61" t="s">
        <v>1607</v>
      </c>
      <c r="I1563" s="25">
        <v>0.9</v>
      </c>
      <c r="J1563" s="26">
        <v>0.75</v>
      </c>
      <c r="K1563" s="26">
        <v>0.86666666666666703</v>
      </c>
      <c r="L1563" s="27">
        <v>0.85714285714285698</v>
      </c>
      <c r="M1563" s="26">
        <v>0.84090909090909105</v>
      </c>
      <c r="N1563" s="28">
        <v>0.9</v>
      </c>
      <c r="O1563" s="26">
        <v>0</v>
      </c>
      <c r="P1563" s="26">
        <v>0</v>
      </c>
      <c r="Q1563" s="26">
        <v>0</v>
      </c>
      <c r="R1563" s="26">
        <v>0</v>
      </c>
      <c r="S1563" s="28">
        <v>0.9</v>
      </c>
      <c r="T1563" s="26">
        <v>1</v>
      </c>
      <c r="U1563" s="26">
        <v>0</v>
      </c>
      <c r="V1563" s="26">
        <v>0</v>
      </c>
      <c r="W1563" s="26">
        <v>1</v>
      </c>
      <c r="X1563" s="28">
        <v>0.92</v>
      </c>
      <c r="Y1563" s="28">
        <v>0</v>
      </c>
      <c r="Z1563" s="28">
        <v>0</v>
      </c>
      <c r="AA1563" s="28">
        <v>0</v>
      </c>
      <c r="AB1563" s="28">
        <v>0</v>
      </c>
      <c r="AC1563" s="28">
        <v>0.92</v>
      </c>
      <c r="AD1563" s="26">
        <v>1</v>
      </c>
      <c r="AE1563" s="26">
        <v>0.875</v>
      </c>
      <c r="AF1563" s="26">
        <v>0</v>
      </c>
      <c r="AG1563" s="26">
        <v>0.375</v>
      </c>
      <c r="AH1563" s="28">
        <v>0.92</v>
      </c>
      <c r="AI1563" s="26">
        <v>0.68006700167504197</v>
      </c>
      <c r="AJ1563" s="26">
        <v>0.73783783783783796</v>
      </c>
      <c r="AK1563" s="26">
        <v>0.69453376205787798</v>
      </c>
      <c r="AL1563" s="26">
        <v>0.69911997326501096</v>
      </c>
      <c r="AM1563" s="25">
        <v>0.99</v>
      </c>
      <c r="AN1563" s="30">
        <v>1</v>
      </c>
      <c r="AO1563" s="30">
        <v>1</v>
      </c>
      <c r="AP1563" s="30">
        <v>1</v>
      </c>
      <c r="AQ1563" s="30">
        <v>1</v>
      </c>
      <c r="AR1563" s="50">
        <v>0.110069253262963</v>
      </c>
      <c r="AS1563" s="34">
        <v>0.230769230769231</v>
      </c>
      <c r="AT1563" s="34">
        <v>8.3333333333333301E-2</v>
      </c>
      <c r="AU1563" s="34">
        <v>5.2631578947368397E-2</v>
      </c>
      <c r="AV1563" s="34">
        <v>0.10891089108910899</v>
      </c>
      <c r="AW1563" s="10"/>
      <c r="AX1563" s="8"/>
    </row>
    <row r="1564" spans="1:50">
      <c r="A1564" s="7"/>
      <c r="B1564" s="10"/>
      <c r="C1564" s="45" t="s">
        <v>1468</v>
      </c>
      <c r="D1564" s="23" t="s">
        <v>27</v>
      </c>
      <c r="E1564" s="61" t="s">
        <v>1608</v>
      </c>
      <c r="F1564" s="61" t="s">
        <v>1608</v>
      </c>
      <c r="G1564" s="61" t="s">
        <v>1608</v>
      </c>
      <c r="H1564" s="61" t="s">
        <v>1608</v>
      </c>
      <c r="I1564" s="25">
        <v>0.9</v>
      </c>
      <c r="J1564" s="26">
        <v>0.95833333333333304</v>
      </c>
      <c r="K1564" s="26">
        <v>0.95833333333333304</v>
      </c>
      <c r="L1564" s="27">
        <v>1</v>
      </c>
      <c r="M1564" s="26">
        <v>0.95945945945945899</v>
      </c>
      <c r="N1564" s="28">
        <v>0.9</v>
      </c>
      <c r="O1564" s="26">
        <v>0.99596163553760697</v>
      </c>
      <c r="P1564" s="26">
        <v>0.99751984126984095</v>
      </c>
      <c r="Q1564" s="26">
        <v>0.99524838012959005</v>
      </c>
      <c r="R1564" s="26">
        <v>0.99589735339071705</v>
      </c>
      <c r="S1564" s="28">
        <v>0.9</v>
      </c>
      <c r="T1564" s="26">
        <v>0.95456839979808195</v>
      </c>
      <c r="U1564" s="26">
        <v>0.91666666666666696</v>
      </c>
      <c r="V1564" s="26">
        <v>0.94946004319654398</v>
      </c>
      <c r="W1564" s="26">
        <v>0.94690692623280504</v>
      </c>
      <c r="X1564" s="28">
        <v>0.92</v>
      </c>
      <c r="Y1564" s="28">
        <v>0</v>
      </c>
      <c r="Z1564" s="28">
        <v>0</v>
      </c>
      <c r="AA1564" s="28">
        <v>0</v>
      </c>
      <c r="AB1564" s="28">
        <v>1</v>
      </c>
      <c r="AC1564" s="28">
        <v>0.92</v>
      </c>
      <c r="AD1564" s="26">
        <v>0.83333333333333304</v>
      </c>
      <c r="AE1564" s="26">
        <v>0.86956521739130399</v>
      </c>
      <c r="AF1564" s="26">
        <v>0.88235294117647101</v>
      </c>
      <c r="AG1564" s="26">
        <v>0.86991869918699205</v>
      </c>
      <c r="AH1564" s="28">
        <v>0.92</v>
      </c>
      <c r="AI1564" s="26">
        <v>0.97375063099444703</v>
      </c>
      <c r="AJ1564" s="26">
        <v>0.97569444444444398</v>
      </c>
      <c r="AK1564" s="26">
        <v>0.98012958963282903</v>
      </c>
      <c r="AL1564" s="26">
        <v>0.97884491634491599</v>
      </c>
      <c r="AM1564" s="25">
        <v>0.99</v>
      </c>
      <c r="AN1564" s="30">
        <v>1</v>
      </c>
      <c r="AO1564" s="30">
        <v>1</v>
      </c>
      <c r="AP1564" s="30">
        <v>1</v>
      </c>
      <c r="AQ1564" s="30">
        <v>1</v>
      </c>
      <c r="AR1564" s="50">
        <v>0.110069253262963</v>
      </c>
      <c r="AS1564" s="34">
        <v>0</v>
      </c>
      <c r="AT1564" s="34">
        <v>0</v>
      </c>
      <c r="AU1564" s="34">
        <v>0.125</v>
      </c>
      <c r="AV1564" s="34">
        <v>0.104166666666667</v>
      </c>
      <c r="AW1564" s="10"/>
      <c r="AX1564" s="8"/>
    </row>
    <row r="1565" spans="1:50">
      <c r="A1565" s="7"/>
      <c r="B1565" s="10"/>
      <c r="C1565" s="45" t="s">
        <v>1468</v>
      </c>
      <c r="D1565" s="23" t="s">
        <v>27</v>
      </c>
      <c r="E1565" s="61" t="s">
        <v>1609</v>
      </c>
      <c r="F1565" s="61" t="s">
        <v>1609</v>
      </c>
      <c r="G1565" s="61" t="s">
        <v>1609</v>
      </c>
      <c r="H1565" s="61" t="s">
        <v>1609</v>
      </c>
      <c r="I1565" s="25">
        <v>0.9</v>
      </c>
      <c r="J1565" s="26">
        <v>1</v>
      </c>
      <c r="K1565" s="26">
        <v>0.94736842105263197</v>
      </c>
      <c r="L1565" s="27">
        <v>1</v>
      </c>
      <c r="M1565" s="26">
        <v>0.97222222222222199</v>
      </c>
      <c r="N1565" s="28">
        <v>0.9</v>
      </c>
      <c r="O1565" s="26">
        <v>0.99873015873015902</v>
      </c>
      <c r="P1565" s="26">
        <v>0.99876314162028401</v>
      </c>
      <c r="Q1565" s="26">
        <v>0.98890122086570498</v>
      </c>
      <c r="R1565" s="26">
        <v>0.98823649754500797</v>
      </c>
      <c r="S1565" s="28">
        <v>0.9</v>
      </c>
      <c r="T1565" s="26">
        <v>0.92698412698412702</v>
      </c>
      <c r="U1565" s="26">
        <v>0.95670995670995695</v>
      </c>
      <c r="V1565" s="26">
        <v>0.89012208657047698</v>
      </c>
      <c r="W1565" s="26">
        <v>0.87898936170212805</v>
      </c>
      <c r="X1565" s="28">
        <v>0.92</v>
      </c>
      <c r="Y1565" s="28">
        <v>0</v>
      </c>
      <c r="Z1565" s="28">
        <v>0</v>
      </c>
      <c r="AA1565" s="28">
        <v>0</v>
      </c>
      <c r="AB1565" s="28">
        <v>0</v>
      </c>
      <c r="AC1565" s="28">
        <v>0.92</v>
      </c>
      <c r="AD1565" s="26">
        <v>1</v>
      </c>
      <c r="AE1565" s="26">
        <v>0.77272727272727304</v>
      </c>
      <c r="AF1565" s="26">
        <v>1</v>
      </c>
      <c r="AG1565" s="26">
        <v>0.92532467532467499</v>
      </c>
      <c r="AH1565" s="28">
        <v>0.92</v>
      </c>
      <c r="AI1565" s="26">
        <v>0.96952380952381001</v>
      </c>
      <c r="AJ1565" s="26">
        <v>0.98268398268398305</v>
      </c>
      <c r="AK1565" s="26">
        <v>0.96448390677025497</v>
      </c>
      <c r="AL1565" s="26">
        <v>0.96399345335515596</v>
      </c>
      <c r="AM1565" s="25">
        <v>0.99</v>
      </c>
      <c r="AN1565" s="30">
        <v>0</v>
      </c>
      <c r="AO1565" s="30">
        <v>1</v>
      </c>
      <c r="AP1565" s="30">
        <v>0</v>
      </c>
      <c r="AQ1565" s="30">
        <v>1</v>
      </c>
      <c r="AR1565" s="50">
        <v>0.110069253262963</v>
      </c>
      <c r="AS1565" s="34">
        <v>0</v>
      </c>
      <c r="AT1565" s="34">
        <v>0</v>
      </c>
      <c r="AU1565" s="34">
        <v>0</v>
      </c>
      <c r="AV1565" s="34">
        <v>2.27272727272727E-2</v>
      </c>
      <c r="AW1565" s="10"/>
      <c r="AX1565" s="8"/>
    </row>
    <row r="1566" spans="1:50">
      <c r="A1566" s="7"/>
      <c r="B1566" s="10"/>
      <c r="C1566" s="45" t="s">
        <v>1468</v>
      </c>
      <c r="D1566" s="23" t="s">
        <v>27</v>
      </c>
      <c r="E1566" s="61" t="s">
        <v>1610</v>
      </c>
      <c r="F1566" s="61" t="s">
        <v>1610</v>
      </c>
      <c r="G1566" s="61" t="s">
        <v>1610</v>
      </c>
      <c r="H1566" s="61" t="s">
        <v>1610</v>
      </c>
      <c r="I1566" s="25">
        <v>0.9</v>
      </c>
      <c r="J1566" s="26">
        <v>0.7</v>
      </c>
      <c r="K1566" s="26">
        <v>0.88888888888888895</v>
      </c>
      <c r="L1566" s="27">
        <v>0.875</v>
      </c>
      <c r="M1566" s="26">
        <v>0.81132075471698095</v>
      </c>
      <c r="N1566" s="28">
        <v>0.9</v>
      </c>
      <c r="O1566" s="26">
        <v>0</v>
      </c>
      <c r="P1566" s="26">
        <v>0</v>
      </c>
      <c r="Q1566" s="26">
        <v>0</v>
      </c>
      <c r="R1566" s="26">
        <v>0</v>
      </c>
      <c r="S1566" s="28">
        <v>0.9</v>
      </c>
      <c r="T1566" s="26">
        <v>0</v>
      </c>
      <c r="U1566" s="26">
        <v>0</v>
      </c>
      <c r="V1566" s="26">
        <v>0</v>
      </c>
      <c r="W1566" s="26">
        <v>0</v>
      </c>
      <c r="X1566" s="28">
        <v>0.92</v>
      </c>
      <c r="Y1566" s="28">
        <v>0</v>
      </c>
      <c r="Z1566" s="28">
        <v>0</v>
      </c>
      <c r="AA1566" s="28">
        <v>0</v>
      </c>
      <c r="AB1566" s="28">
        <v>0</v>
      </c>
      <c r="AC1566" s="28">
        <v>0.92</v>
      </c>
      <c r="AD1566" s="26">
        <v>0</v>
      </c>
      <c r="AE1566" s="26">
        <v>0</v>
      </c>
      <c r="AF1566" s="26">
        <v>0.8</v>
      </c>
      <c r="AG1566" s="26">
        <v>0.13559322033898299</v>
      </c>
      <c r="AH1566" s="28">
        <v>0.92</v>
      </c>
      <c r="AI1566" s="26">
        <v>0.93955461293743403</v>
      </c>
      <c r="AJ1566" s="26">
        <v>0.93776641091219104</v>
      </c>
      <c r="AK1566" s="26">
        <v>0.92722117202268395</v>
      </c>
      <c r="AL1566" s="26">
        <v>0.94947121034077597</v>
      </c>
      <c r="AM1566" s="25">
        <v>0.99</v>
      </c>
      <c r="AN1566" s="30">
        <v>0</v>
      </c>
      <c r="AO1566" s="30">
        <v>1</v>
      </c>
      <c r="AP1566" s="30">
        <v>1</v>
      </c>
      <c r="AQ1566" s="30">
        <v>1</v>
      </c>
      <c r="AR1566" s="50">
        <v>0.110069253262963</v>
      </c>
      <c r="AS1566" s="34">
        <v>6.25E-2</v>
      </c>
      <c r="AT1566" s="34">
        <v>0</v>
      </c>
      <c r="AU1566" s="34">
        <v>0.22222222222222199</v>
      </c>
      <c r="AV1566" s="34">
        <v>7.2463768115942004E-2</v>
      </c>
      <c r="AW1566" s="10"/>
      <c r="AX1566" s="8"/>
    </row>
    <row r="1567" spans="1:50">
      <c r="A1567" s="7"/>
      <c r="B1567" s="10"/>
      <c r="C1567" s="45" t="s">
        <v>1468</v>
      </c>
      <c r="D1567" s="23" t="s">
        <v>27</v>
      </c>
      <c r="E1567" s="61" t="s">
        <v>1611</v>
      </c>
      <c r="F1567" s="61" t="s">
        <v>1611</v>
      </c>
      <c r="G1567" s="61" t="s">
        <v>1611</v>
      </c>
      <c r="H1567" s="61" t="s">
        <v>1611</v>
      </c>
      <c r="I1567" s="25">
        <v>0.9</v>
      </c>
      <c r="J1567" s="26">
        <v>1</v>
      </c>
      <c r="K1567" s="26">
        <v>0.94444444444444398</v>
      </c>
      <c r="L1567" s="27">
        <v>0.89473684210526305</v>
      </c>
      <c r="M1567" s="26">
        <v>0.93693693693693703</v>
      </c>
      <c r="N1567" s="28">
        <v>0.9</v>
      </c>
      <c r="O1567" s="26">
        <v>0</v>
      </c>
      <c r="P1567" s="26">
        <v>0</v>
      </c>
      <c r="Q1567" s="26">
        <v>0</v>
      </c>
      <c r="R1567" s="26">
        <v>0</v>
      </c>
      <c r="S1567" s="28">
        <v>0.9</v>
      </c>
      <c r="T1567" s="26">
        <v>0</v>
      </c>
      <c r="U1567" s="26">
        <v>0</v>
      </c>
      <c r="V1567" s="26">
        <v>1</v>
      </c>
      <c r="W1567" s="26">
        <v>2.7777777777777801E-2</v>
      </c>
      <c r="X1567" s="28">
        <v>0.92</v>
      </c>
      <c r="Y1567" s="28">
        <v>0</v>
      </c>
      <c r="Z1567" s="28">
        <v>0</v>
      </c>
      <c r="AA1567" s="28">
        <v>0</v>
      </c>
      <c r="AB1567" s="28">
        <v>0</v>
      </c>
      <c r="AC1567" s="28">
        <v>0.92</v>
      </c>
      <c r="AD1567" s="26">
        <v>0</v>
      </c>
      <c r="AE1567" s="26">
        <v>0</v>
      </c>
      <c r="AF1567" s="26">
        <v>0.33333333333333298</v>
      </c>
      <c r="AG1567" s="26">
        <v>0.160919540229885</v>
      </c>
      <c r="AH1567" s="28">
        <v>0.92</v>
      </c>
      <c r="AI1567" s="26">
        <v>0.86140350877192995</v>
      </c>
      <c r="AJ1567" s="26">
        <v>0.82060266292922202</v>
      </c>
      <c r="AK1567" s="26">
        <v>0.87241379310344802</v>
      </c>
      <c r="AL1567" s="26">
        <v>0.86103117505995197</v>
      </c>
      <c r="AM1567" s="25">
        <v>0.99</v>
      </c>
      <c r="AN1567" s="30">
        <v>1</v>
      </c>
      <c r="AO1567" s="30">
        <v>1</v>
      </c>
      <c r="AP1567" s="30">
        <v>1</v>
      </c>
      <c r="AQ1567" s="30">
        <v>1</v>
      </c>
      <c r="AR1567" s="50">
        <v>0.110069253262963</v>
      </c>
      <c r="AS1567" s="34">
        <v>0.105263157894737</v>
      </c>
      <c r="AT1567" s="34">
        <v>0.1</v>
      </c>
      <c r="AU1567" s="34">
        <v>4.5454545454545497E-2</v>
      </c>
      <c r="AV1567" s="34">
        <v>0.108527131782946</v>
      </c>
      <c r="AW1567" s="10"/>
      <c r="AX1567" s="8"/>
    </row>
    <row r="1568" spans="1:50">
      <c r="A1568" s="7"/>
      <c r="B1568" s="10"/>
      <c r="C1568" s="45" t="s">
        <v>1468</v>
      </c>
      <c r="D1568" s="23" t="s">
        <v>27</v>
      </c>
      <c r="E1568" s="61" t="s">
        <v>1612</v>
      </c>
      <c r="F1568" s="61" t="s">
        <v>1612</v>
      </c>
      <c r="G1568" s="61" t="s">
        <v>1612</v>
      </c>
      <c r="H1568" s="61" t="s">
        <v>1612</v>
      </c>
      <c r="I1568" s="25">
        <v>0.9</v>
      </c>
      <c r="J1568" s="26">
        <v>0.95833333333333304</v>
      </c>
      <c r="K1568" s="26">
        <v>0.90909090909090895</v>
      </c>
      <c r="L1568" s="27">
        <v>1</v>
      </c>
      <c r="M1568" s="26">
        <v>0.97202797202797198</v>
      </c>
      <c r="N1568" s="28">
        <v>0.9</v>
      </c>
      <c r="O1568" s="26">
        <v>0.90787119856887299</v>
      </c>
      <c r="P1568" s="26">
        <v>0.847401247401247</v>
      </c>
      <c r="Q1568" s="26">
        <v>0.97256637168141602</v>
      </c>
      <c r="R1568" s="26">
        <v>0.94245064343377805</v>
      </c>
      <c r="S1568" s="28">
        <v>0.9</v>
      </c>
      <c r="T1568" s="26">
        <v>0.875223613595707</v>
      </c>
      <c r="U1568" s="26">
        <v>0.82536382536382502</v>
      </c>
      <c r="V1568" s="26">
        <v>0.93274336283185799</v>
      </c>
      <c r="W1568" s="26">
        <v>0.917352729597954</v>
      </c>
      <c r="X1568" s="28">
        <v>0.92</v>
      </c>
      <c r="Y1568" s="28">
        <v>0</v>
      </c>
      <c r="Z1568" s="28">
        <v>0</v>
      </c>
      <c r="AA1568" s="28">
        <v>0</v>
      </c>
      <c r="AB1568" s="28">
        <v>0</v>
      </c>
      <c r="AC1568" s="28">
        <v>0.92</v>
      </c>
      <c r="AD1568" s="26">
        <v>0</v>
      </c>
      <c r="AE1568" s="26">
        <v>0.18181818181818199</v>
      </c>
      <c r="AF1568" s="26">
        <v>0.2</v>
      </c>
      <c r="AG1568" s="26">
        <v>0.493506493506494</v>
      </c>
      <c r="AH1568" s="28">
        <v>0.92</v>
      </c>
      <c r="AI1568" s="26">
        <v>0.93627450980392202</v>
      </c>
      <c r="AJ1568" s="26">
        <v>0.89724619810933004</v>
      </c>
      <c r="AK1568" s="26">
        <v>0.95137976346912001</v>
      </c>
      <c r="AL1568" s="26">
        <v>0.95195052331113195</v>
      </c>
      <c r="AM1568" s="25">
        <v>0.99</v>
      </c>
      <c r="AN1568" s="30">
        <v>0</v>
      </c>
      <c r="AO1568" s="30">
        <v>0</v>
      </c>
      <c r="AP1568" s="30">
        <v>1</v>
      </c>
      <c r="AQ1568" s="30">
        <v>1</v>
      </c>
      <c r="AR1568" s="50">
        <v>0.110069253262963</v>
      </c>
      <c r="AS1568" s="34">
        <v>0</v>
      </c>
      <c r="AT1568" s="34">
        <v>0</v>
      </c>
      <c r="AU1568" s="34">
        <v>0</v>
      </c>
      <c r="AV1568" s="34">
        <v>4.1666666666666699E-2</v>
      </c>
      <c r="AW1568" s="10"/>
      <c r="AX1568" s="8"/>
    </row>
    <row r="1569" spans="1:50">
      <c r="A1569" s="7"/>
      <c r="B1569" s="10"/>
      <c r="C1569" s="45" t="s">
        <v>1468</v>
      </c>
      <c r="D1569" s="23" t="s">
        <v>27</v>
      </c>
      <c r="E1569" s="61" t="s">
        <v>1613</v>
      </c>
      <c r="F1569" s="61" t="s">
        <v>1613</v>
      </c>
      <c r="G1569" s="61" t="s">
        <v>1613</v>
      </c>
      <c r="H1569" s="61" t="s">
        <v>1613</v>
      </c>
      <c r="I1569" s="25">
        <v>0.9</v>
      </c>
      <c r="J1569" s="26">
        <v>0.967741935483871</v>
      </c>
      <c r="K1569" s="26">
        <v>1</v>
      </c>
      <c r="L1569" s="27">
        <v>1</v>
      </c>
      <c r="M1569" s="26">
        <v>0.99459459459459498</v>
      </c>
      <c r="N1569" s="28">
        <v>0.9</v>
      </c>
      <c r="O1569" s="26">
        <v>0.99643705463182897</v>
      </c>
      <c r="P1569" s="26">
        <v>0.99503546099290796</v>
      </c>
      <c r="Q1569" s="26">
        <v>0.99627444892890404</v>
      </c>
      <c r="R1569" s="26">
        <v>0.99590236949937605</v>
      </c>
      <c r="S1569" s="28">
        <v>0.9</v>
      </c>
      <c r="T1569" s="26">
        <v>0.93784639746635001</v>
      </c>
      <c r="U1569" s="26">
        <v>0.94893617021276599</v>
      </c>
      <c r="V1569" s="26">
        <v>0.91182862465073</v>
      </c>
      <c r="W1569" s="26">
        <v>0.92570817744521605</v>
      </c>
      <c r="X1569" s="28">
        <v>0.92</v>
      </c>
      <c r="Y1569" s="28">
        <v>0</v>
      </c>
      <c r="Z1569" s="28">
        <v>0</v>
      </c>
      <c r="AA1569" s="28">
        <v>0</v>
      </c>
      <c r="AB1569" s="28">
        <v>0</v>
      </c>
      <c r="AC1569" s="28">
        <v>0.92</v>
      </c>
      <c r="AD1569" s="26">
        <v>0.34482758620689702</v>
      </c>
      <c r="AE1569" s="26">
        <v>0.5</v>
      </c>
      <c r="AF1569" s="26">
        <v>0.48275862068965503</v>
      </c>
      <c r="AG1569" s="26">
        <v>0.587209302325581</v>
      </c>
      <c r="AH1569" s="28">
        <v>0.92</v>
      </c>
      <c r="AI1569" s="26">
        <v>0.96476642913697497</v>
      </c>
      <c r="AJ1569" s="26">
        <v>0.97978723404255297</v>
      </c>
      <c r="AK1569" s="26">
        <v>0.98168270723377804</v>
      </c>
      <c r="AL1569" s="26">
        <v>0.97844290040976301</v>
      </c>
      <c r="AM1569" s="25">
        <v>0.99</v>
      </c>
      <c r="AN1569" s="30">
        <v>1</v>
      </c>
      <c r="AO1569" s="30">
        <v>1</v>
      </c>
      <c r="AP1569" s="30">
        <v>1</v>
      </c>
      <c r="AQ1569" s="30">
        <v>1</v>
      </c>
      <c r="AR1569" s="50">
        <v>0.110069253262963</v>
      </c>
      <c r="AS1569" s="34">
        <v>0.1</v>
      </c>
      <c r="AT1569" s="34">
        <v>0.16666666666666699</v>
      </c>
      <c r="AU1569" s="34">
        <v>9.0909090909090898E-2</v>
      </c>
      <c r="AV1569" s="34">
        <v>0.104761904761905</v>
      </c>
      <c r="AW1569" s="10"/>
      <c r="AX1569" s="8"/>
    </row>
    <row r="1570" spans="1:50">
      <c r="A1570" s="7"/>
      <c r="B1570" s="10"/>
      <c r="C1570" s="45" t="s">
        <v>1468</v>
      </c>
      <c r="D1570" s="23" t="s">
        <v>27</v>
      </c>
      <c r="E1570" s="61" t="s">
        <v>1614</v>
      </c>
      <c r="F1570" s="61" t="s">
        <v>1614</v>
      </c>
      <c r="G1570" s="61" t="s">
        <v>1614</v>
      </c>
      <c r="H1570" s="61" t="s">
        <v>1614</v>
      </c>
      <c r="I1570" s="25">
        <v>0.9</v>
      </c>
      <c r="J1570" s="26">
        <v>0.95652173913043503</v>
      </c>
      <c r="K1570" s="26">
        <v>0.91304347826086996</v>
      </c>
      <c r="L1570" s="27">
        <v>1</v>
      </c>
      <c r="M1570" s="26">
        <v>0.94696969696969702</v>
      </c>
      <c r="N1570" s="28">
        <v>0.9</v>
      </c>
      <c r="O1570" s="26">
        <v>0.78843710292249003</v>
      </c>
      <c r="P1570" s="26">
        <v>0.79968619246861905</v>
      </c>
      <c r="Q1570" s="26">
        <v>0.94775102226260799</v>
      </c>
      <c r="R1570" s="26">
        <v>0.875414012738854</v>
      </c>
      <c r="S1570" s="28">
        <v>0.9</v>
      </c>
      <c r="T1570" s="26">
        <v>0.641677255400254</v>
      </c>
      <c r="U1570" s="26">
        <v>0.69665271966527198</v>
      </c>
      <c r="V1570" s="26">
        <v>0.72103589277601099</v>
      </c>
      <c r="W1570" s="26">
        <v>0.73494692144373697</v>
      </c>
      <c r="X1570" s="28">
        <v>0.92</v>
      </c>
      <c r="Y1570" s="28">
        <v>0</v>
      </c>
      <c r="Z1570" s="28">
        <v>0</v>
      </c>
      <c r="AA1570" s="28">
        <v>0</v>
      </c>
      <c r="AB1570" s="28">
        <v>0</v>
      </c>
      <c r="AC1570" s="28">
        <v>0.92</v>
      </c>
      <c r="AD1570" s="26">
        <v>1</v>
      </c>
      <c r="AE1570" s="26">
        <v>1</v>
      </c>
      <c r="AF1570" s="26">
        <v>1</v>
      </c>
      <c r="AG1570" s="26">
        <v>1</v>
      </c>
      <c r="AH1570" s="28">
        <v>0.92</v>
      </c>
      <c r="AI1570" s="26">
        <v>0.78208386277001296</v>
      </c>
      <c r="AJ1570" s="26">
        <v>0.77981171548117201</v>
      </c>
      <c r="AK1570" s="26">
        <v>0.83643798273512004</v>
      </c>
      <c r="AL1570" s="26">
        <v>0.846029723991507</v>
      </c>
      <c r="AM1570" s="25">
        <v>0.99</v>
      </c>
      <c r="AN1570" s="30">
        <v>0</v>
      </c>
      <c r="AO1570" s="30">
        <v>1</v>
      </c>
      <c r="AP1570" s="30">
        <v>0</v>
      </c>
      <c r="AQ1570" s="30">
        <v>1</v>
      </c>
      <c r="AR1570" s="50">
        <v>0.110069253262963</v>
      </c>
      <c r="AS1570" s="34">
        <v>8.5714285714285701E-2</v>
      </c>
      <c r="AT1570" s="34">
        <v>0.15</v>
      </c>
      <c r="AU1570" s="34">
        <v>0.26470588235294101</v>
      </c>
      <c r="AV1570" s="34">
        <v>9.8360655737704902E-2</v>
      </c>
      <c r="AW1570" s="10"/>
      <c r="AX1570" s="8"/>
    </row>
    <row r="1571" spans="1:50">
      <c r="A1571" s="7"/>
      <c r="B1571" s="10"/>
      <c r="C1571" s="45" t="s">
        <v>1468</v>
      </c>
      <c r="D1571" s="23" t="s">
        <v>27</v>
      </c>
      <c r="E1571" s="61" t="s">
        <v>1615</v>
      </c>
      <c r="F1571" s="61" t="s">
        <v>1615</v>
      </c>
      <c r="G1571" s="61" t="s">
        <v>1615</v>
      </c>
      <c r="H1571" s="61" t="s">
        <v>1615</v>
      </c>
      <c r="I1571" s="25">
        <v>0.9</v>
      </c>
      <c r="J1571" s="26">
        <v>0.82857142857142896</v>
      </c>
      <c r="K1571" s="26">
        <v>0.90322580645161299</v>
      </c>
      <c r="L1571" s="27">
        <v>0.82352941176470595</v>
      </c>
      <c r="M1571" s="26">
        <v>0.84848484848484895</v>
      </c>
      <c r="N1571" s="28">
        <v>0.9</v>
      </c>
      <c r="O1571" s="26">
        <v>9.27097661623109E-2</v>
      </c>
      <c r="P1571" s="26">
        <v>0.123614958448753</v>
      </c>
      <c r="Q1571" s="26">
        <v>6.5532451165721498E-2</v>
      </c>
      <c r="R1571" s="26">
        <v>6.8284267349323802E-2</v>
      </c>
      <c r="S1571" s="28">
        <v>0.9</v>
      </c>
      <c r="T1571" s="26">
        <v>0.107290233837689</v>
      </c>
      <c r="U1571" s="26">
        <v>0.14369806094182799</v>
      </c>
      <c r="V1571" s="26">
        <v>6.9628229363579097E-2</v>
      </c>
      <c r="W1571" s="26">
        <v>8.31988424508876E-2</v>
      </c>
      <c r="X1571" s="28">
        <v>0.92</v>
      </c>
      <c r="Y1571" s="28">
        <v>0</v>
      </c>
      <c r="Z1571" s="28">
        <v>0</v>
      </c>
      <c r="AA1571" s="28">
        <v>0</v>
      </c>
      <c r="AB1571" s="28">
        <v>0</v>
      </c>
      <c r="AC1571" s="28">
        <v>0.92</v>
      </c>
      <c r="AD1571" s="26">
        <v>0</v>
      </c>
      <c r="AE1571" s="26">
        <v>0.77777777777777801</v>
      </c>
      <c r="AF1571" s="26">
        <v>0</v>
      </c>
      <c r="AG1571" s="26">
        <v>0.42592592592592599</v>
      </c>
      <c r="AH1571" s="28">
        <v>0.92</v>
      </c>
      <c r="AI1571" s="26">
        <v>0.68371837183718398</v>
      </c>
      <c r="AJ1571" s="26">
        <v>0.67508650519031099</v>
      </c>
      <c r="AK1571" s="26">
        <v>0.70245591939546603</v>
      </c>
      <c r="AL1571" s="26">
        <v>0.667463848720801</v>
      </c>
      <c r="AM1571" s="25">
        <v>0.99</v>
      </c>
      <c r="AN1571" s="30">
        <v>0</v>
      </c>
      <c r="AO1571" s="30">
        <v>1</v>
      </c>
      <c r="AP1571" s="30">
        <v>0</v>
      </c>
      <c r="AQ1571" s="30">
        <v>1</v>
      </c>
      <c r="AR1571" s="50">
        <v>0.110069253262963</v>
      </c>
      <c r="AS1571" s="34">
        <v>0.24</v>
      </c>
      <c r="AT1571" s="34">
        <v>0</v>
      </c>
      <c r="AU1571" s="34">
        <v>0.16666666666666699</v>
      </c>
      <c r="AV1571" s="34">
        <v>0.18831168831168801</v>
      </c>
      <c r="AW1571" s="10"/>
      <c r="AX1571" s="8"/>
    </row>
    <row r="1572" spans="1:50">
      <c r="A1572" s="7"/>
      <c r="B1572" s="10"/>
      <c r="C1572" s="45" t="s">
        <v>1468</v>
      </c>
      <c r="D1572" s="23" t="s">
        <v>27</v>
      </c>
      <c r="E1572" s="61" t="s">
        <v>1616</v>
      </c>
      <c r="F1572" s="61" t="s">
        <v>1616</v>
      </c>
      <c r="G1572" s="61" t="s">
        <v>1616</v>
      </c>
      <c r="H1572" s="61" t="s">
        <v>1616</v>
      </c>
      <c r="I1572" s="25">
        <v>0.9</v>
      </c>
      <c r="J1572" s="26">
        <v>0.92307692307692302</v>
      </c>
      <c r="K1572" s="26">
        <v>1</v>
      </c>
      <c r="L1572" s="27">
        <v>1</v>
      </c>
      <c r="M1572" s="26">
        <v>0.987179487179487</v>
      </c>
      <c r="N1572" s="28">
        <v>0.9</v>
      </c>
      <c r="O1572" s="26">
        <v>0</v>
      </c>
      <c r="P1572" s="26">
        <v>0</v>
      </c>
      <c r="Q1572" s="26">
        <v>0</v>
      </c>
      <c r="R1572" s="26">
        <v>0</v>
      </c>
      <c r="S1572" s="28">
        <v>0.9</v>
      </c>
      <c r="T1572" s="26">
        <v>0</v>
      </c>
      <c r="U1572" s="26">
        <v>0</v>
      </c>
      <c r="V1572" s="26">
        <v>0</v>
      </c>
      <c r="W1572" s="26">
        <v>0</v>
      </c>
      <c r="X1572" s="28">
        <v>0.92</v>
      </c>
      <c r="Y1572" s="28">
        <v>0</v>
      </c>
      <c r="Z1572" s="28">
        <v>0</v>
      </c>
      <c r="AA1572" s="28">
        <v>0</v>
      </c>
      <c r="AB1572" s="28">
        <v>0</v>
      </c>
      <c r="AC1572" s="28">
        <v>0.92</v>
      </c>
      <c r="AD1572" s="26">
        <v>0</v>
      </c>
      <c r="AE1572" s="26">
        <v>0</v>
      </c>
      <c r="AF1572" s="26">
        <v>0</v>
      </c>
      <c r="AG1572" s="26">
        <v>5.7142857142857099E-2</v>
      </c>
      <c r="AH1572" s="28">
        <v>0.92</v>
      </c>
      <c r="AI1572" s="26">
        <v>0.97138437741686001</v>
      </c>
      <c r="AJ1572" s="26">
        <v>0.99646954986760805</v>
      </c>
      <c r="AK1572" s="26">
        <v>0.99256505576208198</v>
      </c>
      <c r="AL1572" s="26">
        <v>0.99067840497151705</v>
      </c>
      <c r="AM1572" s="25">
        <v>0.99</v>
      </c>
      <c r="AN1572" s="30">
        <v>0</v>
      </c>
      <c r="AO1572" s="30">
        <v>1</v>
      </c>
      <c r="AP1572" s="30">
        <v>0</v>
      </c>
      <c r="AQ1572" s="30">
        <v>1</v>
      </c>
      <c r="AR1572" s="50">
        <v>0.110069253262963</v>
      </c>
      <c r="AS1572" s="34">
        <v>0</v>
      </c>
      <c r="AT1572" s="34">
        <v>0</v>
      </c>
      <c r="AU1572" s="34">
        <v>0.22222222222222199</v>
      </c>
      <c r="AV1572" s="34">
        <v>0.102564102564103</v>
      </c>
      <c r="AW1572" s="10"/>
      <c r="AX1572" s="8"/>
    </row>
    <row r="1573" spans="1:50">
      <c r="A1573" s="7"/>
      <c r="B1573" s="10"/>
      <c r="C1573" s="45" t="s">
        <v>1468</v>
      </c>
      <c r="D1573" s="23" t="s">
        <v>27</v>
      </c>
      <c r="E1573" s="61" t="s">
        <v>1617</v>
      </c>
      <c r="F1573" s="61" t="s">
        <v>1617</v>
      </c>
      <c r="G1573" s="61" t="s">
        <v>1617</v>
      </c>
      <c r="H1573" s="61" t="s">
        <v>1617</v>
      </c>
      <c r="I1573" s="25">
        <v>0.9</v>
      </c>
      <c r="J1573" s="26">
        <v>0.94594594594594605</v>
      </c>
      <c r="K1573" s="26">
        <v>0.91428571428571404</v>
      </c>
      <c r="L1573" s="27">
        <v>0.94871794871794901</v>
      </c>
      <c r="M1573" s="26">
        <v>0.95154185022026405</v>
      </c>
      <c r="N1573" s="28">
        <v>0.9</v>
      </c>
      <c r="O1573" s="26">
        <v>0.99123729407641104</v>
      </c>
      <c r="P1573" s="26">
        <v>0.99819004524886901</v>
      </c>
      <c r="Q1573" s="26">
        <v>0.986682107701216</v>
      </c>
      <c r="R1573" s="26">
        <v>0.991201728043833</v>
      </c>
      <c r="S1573" s="28">
        <v>0.9</v>
      </c>
      <c r="T1573" s="26">
        <v>0.94391868208902896</v>
      </c>
      <c r="U1573" s="26">
        <v>0.94841628959276003</v>
      </c>
      <c r="V1573" s="26">
        <v>0.95338737695425602</v>
      </c>
      <c r="W1573" s="26">
        <v>0.94752647384226296</v>
      </c>
      <c r="X1573" s="28">
        <v>0.92</v>
      </c>
      <c r="Y1573" s="28">
        <v>0</v>
      </c>
      <c r="Z1573" s="28">
        <v>0</v>
      </c>
      <c r="AA1573" s="28">
        <v>0</v>
      </c>
      <c r="AB1573" s="28">
        <v>0</v>
      </c>
      <c r="AC1573" s="28">
        <v>0.92</v>
      </c>
      <c r="AD1573" s="26">
        <v>0.94594594594594605</v>
      </c>
      <c r="AE1573" s="26">
        <v>0.76470588235294101</v>
      </c>
      <c r="AF1573" s="26">
        <v>1</v>
      </c>
      <c r="AG1573" s="26">
        <v>0.92957746478873204</v>
      </c>
      <c r="AH1573" s="28">
        <v>0.92</v>
      </c>
      <c r="AI1573" s="26">
        <v>0.96845425867507895</v>
      </c>
      <c r="AJ1573" s="26">
        <v>0.97194570135746605</v>
      </c>
      <c r="AK1573" s="26">
        <v>0.98118123914302302</v>
      </c>
      <c r="AL1573" s="26">
        <v>0.97750381960908295</v>
      </c>
      <c r="AM1573" s="25">
        <v>0.99</v>
      </c>
      <c r="AN1573" s="30">
        <v>1</v>
      </c>
      <c r="AO1573" s="30">
        <v>1</v>
      </c>
      <c r="AP1573" s="30">
        <v>1</v>
      </c>
      <c r="AQ1573" s="30">
        <v>1</v>
      </c>
      <c r="AR1573" s="50">
        <v>0.110069253262963</v>
      </c>
      <c r="AS1573" s="34">
        <v>5.2631578947368397E-2</v>
      </c>
      <c r="AT1573" s="34">
        <v>8.6956521739130405E-2</v>
      </c>
      <c r="AU1573" s="34">
        <v>0.1</v>
      </c>
      <c r="AV1573" s="34">
        <v>7.8947368421052599E-2</v>
      </c>
      <c r="AW1573" s="10"/>
      <c r="AX1573" s="8"/>
    </row>
    <row r="1574" spans="1:50">
      <c r="A1574" s="7"/>
      <c r="B1574" s="10"/>
      <c r="C1574" s="45" t="s">
        <v>1468</v>
      </c>
      <c r="D1574" s="23" t="s">
        <v>27</v>
      </c>
      <c r="E1574" s="61" t="s">
        <v>1618</v>
      </c>
      <c r="F1574" s="61" t="s">
        <v>1618</v>
      </c>
      <c r="G1574" s="61" t="s">
        <v>1618</v>
      </c>
      <c r="H1574" s="61" t="s">
        <v>1618</v>
      </c>
      <c r="I1574" s="25">
        <v>0.9</v>
      </c>
      <c r="J1574" s="26">
        <v>0.93333333333333302</v>
      </c>
      <c r="K1574" s="26">
        <v>0.76470588235294101</v>
      </c>
      <c r="L1574" s="27">
        <v>0.75</v>
      </c>
      <c r="M1574" s="26">
        <v>0.82954545454545503</v>
      </c>
      <c r="N1574" s="28">
        <v>0.9</v>
      </c>
      <c r="O1574" s="26">
        <v>0</v>
      </c>
      <c r="P1574" s="26">
        <v>0</v>
      </c>
      <c r="Q1574" s="26">
        <v>0</v>
      </c>
      <c r="R1574" s="26">
        <v>0</v>
      </c>
      <c r="S1574" s="28">
        <v>0.9</v>
      </c>
      <c r="T1574" s="26">
        <v>0</v>
      </c>
      <c r="U1574" s="26">
        <v>0</v>
      </c>
      <c r="V1574" s="26">
        <v>0</v>
      </c>
      <c r="W1574" s="26">
        <v>0</v>
      </c>
      <c r="X1574" s="28">
        <v>0.92</v>
      </c>
      <c r="Y1574" s="28">
        <v>0</v>
      </c>
      <c r="Z1574" s="28">
        <v>0</v>
      </c>
      <c r="AA1574" s="28">
        <v>0</v>
      </c>
      <c r="AB1574" s="28">
        <v>0</v>
      </c>
      <c r="AC1574" s="28">
        <v>0.92</v>
      </c>
      <c r="AD1574" s="26">
        <v>0</v>
      </c>
      <c r="AE1574" s="26">
        <v>0.17647058823529399</v>
      </c>
      <c r="AF1574" s="26">
        <v>7.69230769230769E-2</v>
      </c>
      <c r="AG1574" s="26">
        <v>0.22413793103448301</v>
      </c>
      <c r="AH1574" s="28">
        <v>0.92</v>
      </c>
      <c r="AI1574" s="26">
        <v>0.69669327251995405</v>
      </c>
      <c r="AJ1574" s="26">
        <v>0.76171352074966503</v>
      </c>
      <c r="AK1574" s="26">
        <v>0.69785932721712496</v>
      </c>
      <c r="AL1574" s="26">
        <v>0.72195449960775504</v>
      </c>
      <c r="AM1574" s="25">
        <v>0.99</v>
      </c>
      <c r="AN1574" s="30">
        <v>0</v>
      </c>
      <c r="AO1574" s="30">
        <v>0</v>
      </c>
      <c r="AP1574" s="30">
        <v>0</v>
      </c>
      <c r="AQ1574" s="30">
        <v>0</v>
      </c>
      <c r="AR1574" s="50">
        <v>0.110069253262963</v>
      </c>
      <c r="AS1574" s="34">
        <v>0.133333333333333</v>
      </c>
      <c r="AT1574" s="34">
        <v>7.1428571428571397E-2</v>
      </c>
      <c r="AU1574" s="34">
        <v>8.3333333333333301E-2</v>
      </c>
      <c r="AV1574" s="34">
        <v>0.11764705882352899</v>
      </c>
      <c r="AW1574" s="10"/>
      <c r="AX1574" s="8"/>
    </row>
    <row r="1575" spans="1:50">
      <c r="A1575" s="7"/>
      <c r="B1575" s="10"/>
      <c r="C1575" s="45" t="s">
        <v>1468</v>
      </c>
      <c r="D1575" s="23" t="s">
        <v>27</v>
      </c>
      <c r="E1575" s="61" t="s">
        <v>1619</v>
      </c>
      <c r="F1575" s="61" t="s">
        <v>1619</v>
      </c>
      <c r="G1575" s="61" t="s">
        <v>1619</v>
      </c>
      <c r="H1575" s="61" t="s">
        <v>1619</v>
      </c>
      <c r="I1575" s="25">
        <v>0.9</v>
      </c>
      <c r="J1575" s="26">
        <v>0.82352941176470595</v>
      </c>
      <c r="K1575" s="26">
        <v>0.5</v>
      </c>
      <c r="L1575" s="27">
        <v>0.434782608695652</v>
      </c>
      <c r="M1575" s="26">
        <v>0.43801652892561999</v>
      </c>
      <c r="N1575" s="28">
        <v>0.9</v>
      </c>
      <c r="O1575" s="26">
        <v>0</v>
      </c>
      <c r="P1575" s="26">
        <v>0</v>
      </c>
      <c r="Q1575" s="26">
        <v>0</v>
      </c>
      <c r="R1575" s="26">
        <v>0</v>
      </c>
      <c r="S1575" s="28">
        <v>0.9</v>
      </c>
      <c r="T1575" s="26">
        <v>0</v>
      </c>
      <c r="U1575" s="26">
        <v>0</v>
      </c>
      <c r="V1575" s="26">
        <v>0</v>
      </c>
      <c r="W1575" s="26">
        <v>0</v>
      </c>
      <c r="X1575" s="28">
        <v>0.92</v>
      </c>
      <c r="Y1575" s="28">
        <v>0</v>
      </c>
      <c r="Z1575" s="28">
        <v>0</v>
      </c>
      <c r="AA1575" s="28">
        <v>0</v>
      </c>
      <c r="AB1575" s="28">
        <v>0</v>
      </c>
      <c r="AC1575" s="28">
        <v>0.92</v>
      </c>
      <c r="AD1575" s="26">
        <v>0</v>
      </c>
      <c r="AE1575" s="26">
        <v>0</v>
      </c>
      <c r="AF1575" s="26">
        <v>0</v>
      </c>
      <c r="AG1575" s="26">
        <v>0</v>
      </c>
      <c r="AH1575" s="28">
        <v>0.92</v>
      </c>
      <c r="AI1575" s="26">
        <v>0.69598136284216705</v>
      </c>
      <c r="AJ1575" s="26">
        <v>0.80307539682539697</v>
      </c>
      <c r="AK1575" s="26">
        <v>0.77438370846730997</v>
      </c>
      <c r="AL1575" s="26">
        <v>0.72916089725837696</v>
      </c>
      <c r="AM1575" s="25">
        <v>0.99</v>
      </c>
      <c r="AN1575" s="30">
        <v>0</v>
      </c>
      <c r="AO1575" s="30">
        <v>0</v>
      </c>
      <c r="AP1575" s="30">
        <v>0</v>
      </c>
      <c r="AQ1575" s="30">
        <v>1</v>
      </c>
      <c r="AR1575" s="50">
        <v>0.110069253262963</v>
      </c>
      <c r="AS1575" s="34">
        <v>8.3333333333333301E-2</v>
      </c>
      <c r="AT1575" s="34">
        <v>0.18181818181818199</v>
      </c>
      <c r="AU1575" s="34">
        <v>0.14285714285714299</v>
      </c>
      <c r="AV1575" s="34">
        <v>0.108786610878661</v>
      </c>
      <c r="AW1575" s="10"/>
      <c r="AX1575" s="8"/>
    </row>
    <row r="1576" spans="1:50">
      <c r="A1576" s="7"/>
      <c r="B1576" s="10"/>
      <c r="C1576" s="45" t="s">
        <v>1468</v>
      </c>
      <c r="D1576" s="23" t="s">
        <v>27</v>
      </c>
      <c r="E1576" s="61" t="s">
        <v>1620</v>
      </c>
      <c r="F1576" s="61" t="s">
        <v>1620</v>
      </c>
      <c r="G1576" s="61" t="s">
        <v>1620</v>
      </c>
      <c r="H1576" s="61" t="s">
        <v>1620</v>
      </c>
      <c r="I1576" s="25">
        <v>0.9</v>
      </c>
      <c r="J1576" s="26">
        <v>0.66666666666666696</v>
      </c>
      <c r="K1576" s="26">
        <v>0.25</v>
      </c>
      <c r="L1576" s="27">
        <v>0.5</v>
      </c>
      <c r="M1576" s="26">
        <v>0.375</v>
      </c>
      <c r="N1576" s="28">
        <v>0.9</v>
      </c>
      <c r="O1576" s="26">
        <v>0</v>
      </c>
      <c r="P1576" s="26">
        <v>0</v>
      </c>
      <c r="Q1576" s="26">
        <v>0</v>
      </c>
      <c r="R1576" s="26">
        <v>0</v>
      </c>
      <c r="S1576" s="28">
        <v>0.9</v>
      </c>
      <c r="T1576" s="26">
        <v>0</v>
      </c>
      <c r="U1576" s="26">
        <v>0</v>
      </c>
      <c r="V1576" s="26">
        <v>0</v>
      </c>
      <c r="W1576" s="26">
        <v>0</v>
      </c>
      <c r="X1576" s="28">
        <v>0.92</v>
      </c>
      <c r="Y1576" s="28">
        <v>0</v>
      </c>
      <c r="Z1576" s="28">
        <v>0</v>
      </c>
      <c r="AA1576" s="28">
        <v>0</v>
      </c>
      <c r="AB1576" s="28">
        <v>0</v>
      </c>
      <c r="AC1576" s="28">
        <v>0.92</v>
      </c>
      <c r="AD1576" s="26">
        <v>0</v>
      </c>
      <c r="AE1576" s="26">
        <v>0</v>
      </c>
      <c r="AF1576" s="26">
        <v>1</v>
      </c>
      <c r="AG1576" s="26">
        <v>0.38095238095238099</v>
      </c>
      <c r="AH1576" s="28">
        <v>0.92</v>
      </c>
      <c r="AI1576" s="26">
        <v>0.87109375</v>
      </c>
      <c r="AJ1576" s="26">
        <v>0.89688506981740101</v>
      </c>
      <c r="AK1576" s="26">
        <v>0.84260355029585798</v>
      </c>
      <c r="AL1576" s="26">
        <v>0.88390328904378102</v>
      </c>
      <c r="AM1576" s="25">
        <v>0.99</v>
      </c>
      <c r="AN1576" s="30">
        <v>1</v>
      </c>
      <c r="AO1576" s="30">
        <v>1</v>
      </c>
      <c r="AP1576" s="30">
        <v>0</v>
      </c>
      <c r="AQ1576" s="30">
        <v>1</v>
      </c>
      <c r="AR1576" s="50">
        <v>0.110069253262963</v>
      </c>
      <c r="AS1576" s="34">
        <v>0</v>
      </c>
      <c r="AT1576" s="34">
        <v>0.33333333333333298</v>
      </c>
      <c r="AU1576" s="34">
        <v>0.22222222222222199</v>
      </c>
      <c r="AV1576" s="34">
        <v>0.08</v>
      </c>
      <c r="AW1576" s="10"/>
      <c r="AX1576" s="8"/>
    </row>
    <row r="1577" spans="1:50">
      <c r="A1577" s="7"/>
      <c r="B1577" s="10"/>
      <c r="C1577" s="45" t="s">
        <v>1468</v>
      </c>
      <c r="D1577" s="23" t="s">
        <v>27</v>
      </c>
      <c r="E1577" s="61" t="s">
        <v>1621</v>
      </c>
      <c r="F1577" s="61" t="s">
        <v>1621</v>
      </c>
      <c r="G1577" s="61" t="s">
        <v>1621</v>
      </c>
      <c r="H1577" s="61" t="s">
        <v>1621</v>
      </c>
      <c r="I1577" s="25">
        <v>0.9</v>
      </c>
      <c r="J1577" s="26">
        <v>0.86666666666666703</v>
      </c>
      <c r="K1577" s="26">
        <v>0.92857142857142905</v>
      </c>
      <c r="L1577" s="27">
        <v>0.92857142857142905</v>
      </c>
      <c r="M1577" s="26">
        <v>0.918604651162791</v>
      </c>
      <c r="N1577" s="28">
        <v>0.9</v>
      </c>
      <c r="O1577" s="26">
        <v>0</v>
      </c>
      <c r="P1577" s="26">
        <v>0</v>
      </c>
      <c r="Q1577" s="26">
        <v>0</v>
      </c>
      <c r="R1577" s="26">
        <v>0</v>
      </c>
      <c r="S1577" s="28">
        <v>0.9</v>
      </c>
      <c r="T1577" s="26">
        <v>0</v>
      </c>
      <c r="U1577" s="26">
        <v>0</v>
      </c>
      <c r="V1577" s="26">
        <v>0</v>
      </c>
      <c r="W1577" s="26">
        <v>0</v>
      </c>
      <c r="X1577" s="28">
        <v>0.92</v>
      </c>
      <c r="Y1577" s="28">
        <v>0</v>
      </c>
      <c r="Z1577" s="28">
        <v>0</v>
      </c>
      <c r="AA1577" s="28">
        <v>0</v>
      </c>
      <c r="AB1577" s="28">
        <v>0</v>
      </c>
      <c r="AC1577" s="28">
        <v>0.92</v>
      </c>
      <c r="AD1577" s="26">
        <v>0</v>
      </c>
      <c r="AE1577" s="26">
        <v>1</v>
      </c>
      <c r="AF1577" s="26">
        <v>1</v>
      </c>
      <c r="AG1577" s="26">
        <v>0.71428571428571397</v>
      </c>
      <c r="AH1577" s="28">
        <v>0.92</v>
      </c>
      <c r="AI1577" s="26">
        <v>0.86490683229813703</v>
      </c>
      <c r="AJ1577" s="26">
        <v>0.93001060445387096</v>
      </c>
      <c r="AK1577" s="26">
        <v>0.94123134328358204</v>
      </c>
      <c r="AL1577" s="26">
        <v>0.92845528455284598</v>
      </c>
      <c r="AM1577" s="25">
        <v>0.99</v>
      </c>
      <c r="AN1577" s="30">
        <v>0</v>
      </c>
      <c r="AO1577" s="30">
        <v>0</v>
      </c>
      <c r="AP1577" s="30">
        <v>1</v>
      </c>
      <c r="AQ1577" s="30">
        <v>1</v>
      </c>
      <c r="AR1577" s="50">
        <v>0.110069253262963</v>
      </c>
      <c r="AS1577" s="34">
        <v>0.105263157894737</v>
      </c>
      <c r="AT1577" s="34">
        <v>0.14285714285714299</v>
      </c>
      <c r="AU1577" s="34">
        <v>0.11111111111111099</v>
      </c>
      <c r="AV1577" s="34">
        <v>0.14141414141414099</v>
      </c>
      <c r="AW1577" s="10"/>
      <c r="AX1577" s="8"/>
    </row>
    <row r="1578" spans="1:50">
      <c r="A1578" s="7"/>
      <c r="B1578" s="10"/>
      <c r="C1578" s="45" t="s">
        <v>1468</v>
      </c>
      <c r="D1578" s="23" t="s">
        <v>27</v>
      </c>
      <c r="E1578" s="61" t="s">
        <v>1622</v>
      </c>
      <c r="F1578" s="61" t="s">
        <v>1622</v>
      </c>
      <c r="G1578" s="61" t="s">
        <v>1622</v>
      </c>
      <c r="H1578" s="61" t="s">
        <v>1622</v>
      </c>
      <c r="I1578" s="25">
        <v>0.9</v>
      </c>
      <c r="J1578" s="26">
        <v>0.47368421052631599</v>
      </c>
      <c r="K1578" s="26">
        <v>0.55555555555555602</v>
      </c>
      <c r="L1578" s="27">
        <v>0.55000000000000004</v>
      </c>
      <c r="M1578" s="26">
        <v>0.61904761904761896</v>
      </c>
      <c r="N1578" s="28">
        <v>0.9</v>
      </c>
      <c r="O1578" s="26">
        <v>0</v>
      </c>
      <c r="P1578" s="26">
        <v>0</v>
      </c>
      <c r="Q1578" s="26">
        <v>0</v>
      </c>
      <c r="R1578" s="26">
        <v>0</v>
      </c>
      <c r="S1578" s="28">
        <v>0.9</v>
      </c>
      <c r="T1578" s="26">
        <v>0</v>
      </c>
      <c r="U1578" s="26">
        <v>0</v>
      </c>
      <c r="V1578" s="26">
        <v>0</v>
      </c>
      <c r="W1578" s="26">
        <v>4.6511627906976702E-2</v>
      </c>
      <c r="X1578" s="28">
        <v>0.92</v>
      </c>
      <c r="Y1578" s="28">
        <v>0</v>
      </c>
      <c r="Z1578" s="28">
        <v>0</v>
      </c>
      <c r="AA1578" s="28">
        <v>0</v>
      </c>
      <c r="AB1578" s="28">
        <v>0</v>
      </c>
      <c r="AC1578" s="28">
        <v>0.92</v>
      </c>
      <c r="AD1578" s="26">
        <v>0</v>
      </c>
      <c r="AE1578" s="26">
        <v>0</v>
      </c>
      <c r="AF1578" s="26">
        <v>0.57142857142857095</v>
      </c>
      <c r="AG1578" s="26">
        <v>0.115384615384615</v>
      </c>
      <c r="AH1578" s="28">
        <v>0.92</v>
      </c>
      <c r="AI1578" s="26">
        <v>0.92236917768832705</v>
      </c>
      <c r="AJ1578" s="26">
        <v>0.91476219888820298</v>
      </c>
      <c r="AK1578" s="26">
        <v>0.94982078853046603</v>
      </c>
      <c r="AL1578" s="26">
        <v>0.94821407929719104</v>
      </c>
      <c r="AM1578" s="25">
        <v>0.99</v>
      </c>
      <c r="AN1578" s="30">
        <v>0</v>
      </c>
      <c r="AO1578" s="30">
        <v>0</v>
      </c>
      <c r="AP1578" s="30">
        <v>1</v>
      </c>
      <c r="AQ1578" s="30">
        <v>1</v>
      </c>
      <c r="AR1578" s="50">
        <v>0.110069253262963</v>
      </c>
      <c r="AS1578" s="34">
        <v>0.16666666666666699</v>
      </c>
      <c r="AT1578" s="34">
        <v>0.105263157894737</v>
      </c>
      <c r="AU1578" s="34">
        <v>3.8461538461538498E-2</v>
      </c>
      <c r="AV1578" s="34">
        <v>8.59375E-2</v>
      </c>
      <c r="AW1578" s="10"/>
      <c r="AX1578" s="8"/>
    </row>
    <row r="1579" spans="1:50">
      <c r="A1579" s="7"/>
      <c r="B1579" s="10"/>
      <c r="C1579" s="45" t="s">
        <v>1468</v>
      </c>
      <c r="D1579" s="23" t="s">
        <v>27</v>
      </c>
      <c r="E1579" s="61" t="s">
        <v>1623</v>
      </c>
      <c r="F1579" s="61" t="s">
        <v>1623</v>
      </c>
      <c r="G1579" s="61" t="s">
        <v>1623</v>
      </c>
      <c r="H1579" s="61" t="s">
        <v>1623</v>
      </c>
      <c r="I1579" s="25">
        <v>0.9</v>
      </c>
      <c r="J1579" s="26">
        <v>1</v>
      </c>
      <c r="K1579" s="26">
        <v>0.9</v>
      </c>
      <c r="L1579" s="27">
        <v>0.96666666666666701</v>
      </c>
      <c r="M1579" s="26">
        <v>0.94886363636363602</v>
      </c>
      <c r="N1579" s="28">
        <v>0.9</v>
      </c>
      <c r="O1579" s="26">
        <v>0.97105911330049299</v>
      </c>
      <c r="P1579" s="26">
        <v>0.93676406454426497</v>
      </c>
      <c r="Q1579" s="26">
        <v>0.95919191919191904</v>
      </c>
      <c r="R1579" s="26">
        <v>0.96176617447749502</v>
      </c>
      <c r="S1579" s="28">
        <v>0.9</v>
      </c>
      <c r="T1579" s="26">
        <v>0.67426108374384197</v>
      </c>
      <c r="U1579" s="26">
        <v>0.54949847361535098</v>
      </c>
      <c r="V1579" s="26">
        <v>0.48767676767676799</v>
      </c>
      <c r="W1579" s="26">
        <v>0.51686996219416503</v>
      </c>
      <c r="X1579" s="28">
        <v>0.92</v>
      </c>
      <c r="Y1579" s="28">
        <v>0</v>
      </c>
      <c r="Z1579" s="28">
        <v>0</v>
      </c>
      <c r="AA1579" s="28">
        <v>0</v>
      </c>
      <c r="AB1579" s="28">
        <v>0</v>
      </c>
      <c r="AC1579" s="28">
        <v>0.92</v>
      </c>
      <c r="AD1579" s="26">
        <v>1</v>
      </c>
      <c r="AE1579" s="26">
        <v>0.57142857142857095</v>
      </c>
      <c r="AF1579" s="26">
        <v>0.96666666666666701</v>
      </c>
      <c r="AG1579" s="26">
        <v>0.92660550458715596</v>
      </c>
      <c r="AH1579" s="28">
        <v>0.92</v>
      </c>
      <c r="AI1579" s="26">
        <v>0.82943349753694595</v>
      </c>
      <c r="AJ1579" s="26">
        <v>0.83951155691234203</v>
      </c>
      <c r="AK1579" s="26">
        <v>0.88045234248788395</v>
      </c>
      <c r="AL1579" s="26">
        <v>0.84415121255349501</v>
      </c>
      <c r="AM1579" s="25">
        <v>0.99</v>
      </c>
      <c r="AN1579" s="30">
        <v>1</v>
      </c>
      <c r="AO1579" s="30">
        <v>1</v>
      </c>
      <c r="AP1579" s="30">
        <v>1</v>
      </c>
      <c r="AQ1579" s="30">
        <v>1</v>
      </c>
      <c r="AR1579" s="50">
        <v>0.110069253262963</v>
      </c>
      <c r="AS1579" s="34">
        <v>0.18181818181818199</v>
      </c>
      <c r="AT1579" s="34">
        <v>0.11111111111111099</v>
      </c>
      <c r="AU1579" s="34">
        <v>0.25</v>
      </c>
      <c r="AV1579" s="34">
        <v>0.10606060606060599</v>
      </c>
      <c r="AW1579" s="10"/>
      <c r="AX1579" s="8"/>
    </row>
    <row r="1580" spans="1:50">
      <c r="A1580" s="7"/>
      <c r="B1580" s="10"/>
      <c r="C1580" s="45" t="s">
        <v>1468</v>
      </c>
      <c r="D1580" s="23" t="s">
        <v>27</v>
      </c>
      <c r="E1580" s="61" t="s">
        <v>1624</v>
      </c>
      <c r="F1580" s="61" t="s">
        <v>1624</v>
      </c>
      <c r="G1580" s="61" t="s">
        <v>1624</v>
      </c>
      <c r="H1580" s="61" t="s">
        <v>1624</v>
      </c>
      <c r="I1580" s="25">
        <v>0.9</v>
      </c>
      <c r="J1580" s="26">
        <v>0.92500000000000004</v>
      </c>
      <c r="K1580" s="26">
        <v>1</v>
      </c>
      <c r="L1580" s="27">
        <v>0.88095238095238104</v>
      </c>
      <c r="M1580" s="26">
        <v>0.950207468879668</v>
      </c>
      <c r="N1580" s="28">
        <v>0.9</v>
      </c>
      <c r="O1580" s="26">
        <v>0.93542953396967998</v>
      </c>
      <c r="P1580" s="26">
        <v>0.84851138353765299</v>
      </c>
      <c r="Q1580" s="26">
        <v>0.93917710196780002</v>
      </c>
      <c r="R1580" s="26">
        <v>0.89716655893126496</v>
      </c>
      <c r="S1580" s="28">
        <v>0.9</v>
      </c>
      <c r="T1580" s="26">
        <v>0.60471645143177999</v>
      </c>
      <c r="U1580" s="26">
        <v>0.40426152948044403</v>
      </c>
      <c r="V1580" s="26">
        <v>0.35986881335718501</v>
      </c>
      <c r="W1580" s="26">
        <v>0.40427709545356599</v>
      </c>
      <c r="X1580" s="28">
        <v>0.92</v>
      </c>
      <c r="Y1580" s="28">
        <v>0</v>
      </c>
      <c r="Z1580" s="28">
        <v>0</v>
      </c>
      <c r="AA1580" s="28">
        <v>0</v>
      </c>
      <c r="AB1580" s="28">
        <v>0</v>
      </c>
      <c r="AC1580" s="28">
        <v>0.92</v>
      </c>
      <c r="AD1580" s="26">
        <v>0.88</v>
      </c>
      <c r="AE1580" s="26">
        <v>1</v>
      </c>
      <c r="AF1580" s="26">
        <v>0.96875</v>
      </c>
      <c r="AG1580" s="26">
        <v>0.95544554455445496</v>
      </c>
      <c r="AH1580" s="28">
        <v>0.92</v>
      </c>
      <c r="AI1580" s="26">
        <v>0.91465468837731601</v>
      </c>
      <c r="AJ1580" s="26">
        <v>0.83070636310566304</v>
      </c>
      <c r="AK1580" s="26">
        <v>0.934704830053667</v>
      </c>
      <c r="AL1580" s="26">
        <v>0.88213747037276402</v>
      </c>
      <c r="AM1580" s="25">
        <v>0.99</v>
      </c>
      <c r="AN1580" s="30">
        <v>1</v>
      </c>
      <c r="AO1580" s="30">
        <v>1</v>
      </c>
      <c r="AP1580" s="30">
        <v>1</v>
      </c>
      <c r="AQ1580" s="30">
        <v>1</v>
      </c>
      <c r="AR1580" s="50">
        <v>0.110069253262963</v>
      </c>
      <c r="AS1580" s="34">
        <v>8.3333333333333301E-2</v>
      </c>
      <c r="AT1580" s="34">
        <v>5.5555555555555601E-2</v>
      </c>
      <c r="AU1580" s="34">
        <v>6.25E-2</v>
      </c>
      <c r="AV1580" s="34">
        <v>8.9285714285714302E-2</v>
      </c>
      <c r="AW1580" s="10"/>
      <c r="AX1580" s="8"/>
    </row>
    <row r="1581" spans="1:50">
      <c r="A1581" s="7"/>
      <c r="B1581" s="10"/>
      <c r="C1581" s="45" t="s">
        <v>1468</v>
      </c>
      <c r="D1581" s="23" t="s">
        <v>27</v>
      </c>
      <c r="E1581" s="61" t="s">
        <v>1625</v>
      </c>
      <c r="F1581" s="61" t="s">
        <v>1625</v>
      </c>
      <c r="G1581" s="61" t="s">
        <v>1625</v>
      </c>
      <c r="H1581" s="61" t="s">
        <v>1625</v>
      </c>
      <c r="I1581" s="25">
        <v>0.9</v>
      </c>
      <c r="J1581" s="26">
        <v>1</v>
      </c>
      <c r="K1581" s="26">
        <v>0.95652173913043503</v>
      </c>
      <c r="L1581" s="27">
        <v>1</v>
      </c>
      <c r="M1581" s="26">
        <v>0.99288256227757998</v>
      </c>
      <c r="N1581" s="28">
        <v>0.9</v>
      </c>
      <c r="O1581" s="26">
        <v>0.99273900766438095</v>
      </c>
      <c r="P1581" s="26">
        <v>0.97229766431287301</v>
      </c>
      <c r="Q1581" s="26">
        <v>0.97409326424870502</v>
      </c>
      <c r="R1581" s="26">
        <v>0.97714086288880198</v>
      </c>
      <c r="S1581" s="28">
        <v>0.9</v>
      </c>
      <c r="T1581" s="26">
        <v>0.86002420330778495</v>
      </c>
      <c r="U1581" s="26">
        <v>0.73954372623574105</v>
      </c>
      <c r="V1581" s="26">
        <v>0.76486553170491001</v>
      </c>
      <c r="W1581" s="26">
        <v>0.74754613270514303</v>
      </c>
      <c r="X1581" s="28">
        <v>0.92</v>
      </c>
      <c r="Y1581" s="28">
        <v>0</v>
      </c>
      <c r="Z1581" s="28">
        <v>0</v>
      </c>
      <c r="AA1581" s="28">
        <v>0</v>
      </c>
      <c r="AB1581" s="28">
        <v>0</v>
      </c>
      <c r="AC1581" s="28">
        <v>0.92</v>
      </c>
      <c r="AD1581" s="26">
        <v>0.91666666666666696</v>
      </c>
      <c r="AE1581" s="26">
        <v>1</v>
      </c>
      <c r="AF1581" s="26">
        <v>1</v>
      </c>
      <c r="AG1581" s="26">
        <v>0.93661971830985902</v>
      </c>
      <c r="AH1581" s="28">
        <v>0.92</v>
      </c>
      <c r="AI1581" s="26">
        <v>0.92174263816054902</v>
      </c>
      <c r="AJ1581" s="26">
        <v>0.93237370994025004</v>
      </c>
      <c r="AK1581" s="26">
        <v>0.94473229706390305</v>
      </c>
      <c r="AL1581" s="26">
        <v>0.93984732824427497</v>
      </c>
      <c r="AM1581" s="25">
        <v>0.99</v>
      </c>
      <c r="AN1581" s="30">
        <v>1</v>
      </c>
      <c r="AO1581" s="30">
        <v>1</v>
      </c>
      <c r="AP1581" s="30">
        <v>1</v>
      </c>
      <c r="AQ1581" s="30">
        <v>1</v>
      </c>
      <c r="AR1581" s="50">
        <v>0.110069253262963</v>
      </c>
      <c r="AS1581" s="34">
        <v>0</v>
      </c>
      <c r="AT1581" s="34">
        <v>0.133333333333333</v>
      </c>
      <c r="AU1581" s="34">
        <v>0.42105263157894701</v>
      </c>
      <c r="AV1581" s="34">
        <v>0.146341463414634</v>
      </c>
      <c r="AW1581" s="10"/>
      <c r="AX1581" s="8"/>
    </row>
    <row r="1582" spans="1:50">
      <c r="A1582" s="7"/>
      <c r="B1582" s="10"/>
      <c r="C1582" s="45" t="s">
        <v>1468</v>
      </c>
      <c r="D1582" s="23" t="s">
        <v>27</v>
      </c>
      <c r="E1582" s="61" t="s">
        <v>1626</v>
      </c>
      <c r="F1582" s="61" t="s">
        <v>1626</v>
      </c>
      <c r="G1582" s="61" t="s">
        <v>1626</v>
      </c>
      <c r="H1582" s="61" t="s">
        <v>1626</v>
      </c>
      <c r="I1582" s="25">
        <v>0.9</v>
      </c>
      <c r="J1582" s="26">
        <v>0.97499999999999998</v>
      </c>
      <c r="K1582" s="26">
        <v>1</v>
      </c>
      <c r="L1582" s="27">
        <v>1</v>
      </c>
      <c r="M1582" s="26">
        <v>0.98237885462555097</v>
      </c>
      <c r="N1582" s="28">
        <v>0.9</v>
      </c>
      <c r="O1582" s="26">
        <v>0.99532273152479001</v>
      </c>
      <c r="P1582" s="26">
        <v>0.99739130434782597</v>
      </c>
      <c r="Q1582" s="26">
        <v>0.99791013584117005</v>
      </c>
      <c r="R1582" s="26">
        <v>0.99730263474784497</v>
      </c>
      <c r="S1582" s="28">
        <v>0.9</v>
      </c>
      <c r="T1582" s="26">
        <v>0.95166822575615795</v>
      </c>
      <c r="U1582" s="26">
        <v>0.93449275362318796</v>
      </c>
      <c r="V1582" s="26">
        <v>0.95402298850574696</v>
      </c>
      <c r="W1582" s="26">
        <v>0.94109146958238998</v>
      </c>
      <c r="X1582" s="28">
        <v>0.92</v>
      </c>
      <c r="Y1582" s="28">
        <v>0</v>
      </c>
      <c r="Z1582" s="28">
        <v>0</v>
      </c>
      <c r="AA1582" s="28">
        <v>0</v>
      </c>
      <c r="AB1582" s="28">
        <v>0</v>
      </c>
      <c r="AC1582" s="28">
        <v>0.92</v>
      </c>
      <c r="AD1582" s="26">
        <v>0.97368421052631604</v>
      </c>
      <c r="AE1582" s="26">
        <v>1</v>
      </c>
      <c r="AF1582" s="26">
        <v>1</v>
      </c>
      <c r="AG1582" s="26">
        <v>0.99610894941634198</v>
      </c>
      <c r="AH1582" s="28">
        <v>0.92</v>
      </c>
      <c r="AI1582" s="26">
        <v>0.97193638914873703</v>
      </c>
      <c r="AJ1582" s="26">
        <v>0.98405797101449299</v>
      </c>
      <c r="AK1582" s="26">
        <v>0.98458725182863105</v>
      </c>
      <c r="AL1582" s="26">
        <v>0.98107027599826602</v>
      </c>
      <c r="AM1582" s="25">
        <v>0.99</v>
      </c>
      <c r="AN1582" s="30">
        <v>1</v>
      </c>
      <c r="AO1582" s="30">
        <v>0</v>
      </c>
      <c r="AP1582" s="30">
        <v>1</v>
      </c>
      <c r="AQ1582" s="30">
        <v>1</v>
      </c>
      <c r="AR1582" s="50">
        <v>0.110069253262963</v>
      </c>
      <c r="AS1582" s="34">
        <v>0.16666666666666699</v>
      </c>
      <c r="AT1582" s="34">
        <v>7.1428571428571397E-2</v>
      </c>
      <c r="AU1582" s="34">
        <v>0.105263157894737</v>
      </c>
      <c r="AV1582" s="34">
        <v>7.4468085106383003E-2</v>
      </c>
      <c r="AW1582" s="10"/>
      <c r="AX1582" s="8"/>
    </row>
    <row r="1583" spans="1:50">
      <c r="A1583" s="7"/>
      <c r="B1583" s="10"/>
      <c r="C1583" s="45" t="s">
        <v>1468</v>
      </c>
      <c r="D1583" s="23" t="s">
        <v>27</v>
      </c>
      <c r="E1583" s="61" t="s">
        <v>1627</v>
      </c>
      <c r="F1583" s="61" t="s">
        <v>1627</v>
      </c>
      <c r="G1583" s="61" t="s">
        <v>1627</v>
      </c>
      <c r="H1583" s="61" t="s">
        <v>1627</v>
      </c>
      <c r="I1583" s="25">
        <v>0.9</v>
      </c>
      <c r="J1583" s="26">
        <v>0.91304347826086996</v>
      </c>
      <c r="K1583" s="26">
        <v>0.86363636363636398</v>
      </c>
      <c r="L1583" s="27">
        <v>0.94736842105263197</v>
      </c>
      <c r="M1583" s="26">
        <v>0.92248062015503896</v>
      </c>
      <c r="N1583" s="28">
        <v>0.9</v>
      </c>
      <c r="O1583" s="26">
        <v>0.98465473145780003</v>
      </c>
      <c r="P1583" s="26">
        <v>0.98590864917395504</v>
      </c>
      <c r="Q1583" s="26">
        <v>0.98699421965317902</v>
      </c>
      <c r="R1583" s="26">
        <v>0.98917920295592499</v>
      </c>
      <c r="S1583" s="28">
        <v>0.9</v>
      </c>
      <c r="T1583" s="26">
        <v>0.57135549872122804</v>
      </c>
      <c r="U1583" s="26">
        <v>0.635568513119534</v>
      </c>
      <c r="V1583" s="26">
        <v>0.68593448940269797</v>
      </c>
      <c r="W1583" s="26">
        <v>0.671593208410311</v>
      </c>
      <c r="X1583" s="28">
        <v>0.92</v>
      </c>
      <c r="Y1583" s="28">
        <v>0</v>
      </c>
      <c r="Z1583" s="28">
        <v>0</v>
      </c>
      <c r="AA1583" s="28">
        <v>0</v>
      </c>
      <c r="AB1583" s="28">
        <v>0</v>
      </c>
      <c r="AC1583" s="28">
        <v>0.92</v>
      </c>
      <c r="AD1583" s="26">
        <v>1</v>
      </c>
      <c r="AE1583" s="26">
        <v>1</v>
      </c>
      <c r="AF1583" s="26">
        <v>1</v>
      </c>
      <c r="AG1583" s="26">
        <v>0.97972972972973005</v>
      </c>
      <c r="AH1583" s="28">
        <v>0.92</v>
      </c>
      <c r="AI1583" s="26">
        <v>0.69974424552429704</v>
      </c>
      <c r="AJ1583" s="26">
        <v>0.73372206025267295</v>
      </c>
      <c r="AK1583" s="26">
        <v>0.78468208092485503</v>
      </c>
      <c r="AL1583" s="26">
        <v>0.77900941321368899</v>
      </c>
      <c r="AM1583" s="25">
        <v>0.99</v>
      </c>
      <c r="AN1583" s="30">
        <v>1</v>
      </c>
      <c r="AO1583" s="30">
        <v>1</v>
      </c>
      <c r="AP1583" s="30">
        <v>1</v>
      </c>
      <c r="AQ1583" s="30">
        <v>1</v>
      </c>
      <c r="AR1583" s="50">
        <v>0.110069253262963</v>
      </c>
      <c r="AS1583" s="34">
        <v>0.217391304347826</v>
      </c>
      <c r="AT1583" s="34">
        <v>3.03030303030303E-2</v>
      </c>
      <c r="AU1583" s="34">
        <v>0.21052631578947401</v>
      </c>
      <c r="AV1583" s="34">
        <v>0.158730158730159</v>
      </c>
      <c r="AW1583" s="10"/>
      <c r="AX1583" s="8"/>
    </row>
    <row r="1584" spans="1:50">
      <c r="A1584" s="7"/>
      <c r="B1584" s="10"/>
      <c r="C1584" s="45" t="s">
        <v>1468</v>
      </c>
      <c r="D1584" s="23" t="s">
        <v>27</v>
      </c>
      <c r="E1584" s="61" t="s">
        <v>1628</v>
      </c>
      <c r="F1584" s="61" t="s">
        <v>1628</v>
      </c>
      <c r="G1584" s="61" t="s">
        <v>1628</v>
      </c>
      <c r="H1584" s="61" t="s">
        <v>1628</v>
      </c>
      <c r="I1584" s="25">
        <v>0.9</v>
      </c>
      <c r="J1584" s="26">
        <v>1</v>
      </c>
      <c r="K1584" s="26">
        <v>0.96153846153846201</v>
      </c>
      <c r="L1584" s="27">
        <v>1</v>
      </c>
      <c r="M1584" s="26">
        <v>0.99342105263157898</v>
      </c>
      <c r="N1584" s="28">
        <v>0.9</v>
      </c>
      <c r="O1584" s="26">
        <v>0.95181907571288105</v>
      </c>
      <c r="P1584" s="26">
        <v>0.97488226059654604</v>
      </c>
      <c r="Q1584" s="26">
        <v>0.96719242902208202</v>
      </c>
      <c r="R1584" s="26">
        <v>0.95764501304185801</v>
      </c>
      <c r="S1584" s="28">
        <v>0.9</v>
      </c>
      <c r="T1584" s="26">
        <v>0.78859390363815096</v>
      </c>
      <c r="U1584" s="26">
        <v>0.810832025117739</v>
      </c>
      <c r="V1584" s="26">
        <v>0.783596214511041</v>
      </c>
      <c r="W1584" s="26">
        <v>0.76102347534467796</v>
      </c>
      <c r="X1584" s="28">
        <v>0.92</v>
      </c>
      <c r="Y1584" s="28">
        <v>0.88722222222222202</v>
      </c>
      <c r="Z1584" s="28">
        <v>0.80117820324005895</v>
      </c>
      <c r="AA1584" s="28">
        <v>0.89094449853943503</v>
      </c>
      <c r="AB1584" s="28">
        <v>0.85962505715592097</v>
      </c>
      <c r="AC1584" s="28">
        <v>0.92</v>
      </c>
      <c r="AD1584" s="26">
        <v>0.93589743589743601</v>
      </c>
      <c r="AE1584" s="26">
        <v>0.96551724137931005</v>
      </c>
      <c r="AF1584" s="26">
        <v>0.97435897435897401</v>
      </c>
      <c r="AG1584" s="26">
        <v>0.96285714285714297</v>
      </c>
      <c r="AH1584" s="28">
        <v>0.92</v>
      </c>
      <c r="AI1584" s="26">
        <v>0.89567068843151199</v>
      </c>
      <c r="AJ1584" s="26">
        <v>0.90532241555783</v>
      </c>
      <c r="AK1584" s="26">
        <v>0.93108728943338404</v>
      </c>
      <c r="AL1584" s="26">
        <v>0.89701655946352798</v>
      </c>
      <c r="AM1584" s="25">
        <v>0.99</v>
      </c>
      <c r="AN1584" s="30">
        <v>1</v>
      </c>
      <c r="AO1584" s="30">
        <v>1</v>
      </c>
      <c r="AP1584" s="30">
        <v>1</v>
      </c>
      <c r="AQ1584" s="30">
        <v>1</v>
      </c>
      <c r="AR1584" s="50">
        <v>0.110069253262963</v>
      </c>
      <c r="AS1584" s="34">
        <v>0</v>
      </c>
      <c r="AT1584" s="34">
        <v>0</v>
      </c>
      <c r="AU1584" s="34">
        <v>0.11111111111111099</v>
      </c>
      <c r="AV1584" s="34">
        <v>5.4545454545454501E-2</v>
      </c>
      <c r="AW1584" s="10"/>
      <c r="AX1584" s="8"/>
    </row>
    <row r="1585" spans="1:50">
      <c r="A1585" s="7"/>
      <c r="B1585" s="10"/>
      <c r="C1585" s="45" t="s">
        <v>1468</v>
      </c>
      <c r="D1585" s="23" t="s">
        <v>27</v>
      </c>
      <c r="E1585" s="61" t="s">
        <v>1629</v>
      </c>
      <c r="F1585" s="61" t="s">
        <v>1629</v>
      </c>
      <c r="G1585" s="61" t="s">
        <v>1629</v>
      </c>
      <c r="H1585" s="61" t="s">
        <v>1629</v>
      </c>
      <c r="I1585" s="25">
        <v>0.9</v>
      </c>
      <c r="J1585" s="26">
        <v>0.64</v>
      </c>
      <c r="K1585" s="26">
        <v>0.64</v>
      </c>
      <c r="L1585" s="27">
        <v>0.57692307692307698</v>
      </c>
      <c r="M1585" s="26">
        <v>0.65217391304347805</v>
      </c>
      <c r="N1585" s="28">
        <v>0.9</v>
      </c>
      <c r="O1585" s="26">
        <v>0</v>
      </c>
      <c r="P1585" s="26">
        <v>0</v>
      </c>
      <c r="Q1585" s="26">
        <v>0</v>
      </c>
      <c r="R1585" s="26">
        <v>0</v>
      </c>
      <c r="S1585" s="28">
        <v>0.9</v>
      </c>
      <c r="T1585" s="26">
        <v>0</v>
      </c>
      <c r="U1585" s="26">
        <v>0</v>
      </c>
      <c r="V1585" s="26">
        <v>0</v>
      </c>
      <c r="W1585" s="26">
        <v>0</v>
      </c>
      <c r="X1585" s="28">
        <v>0.92</v>
      </c>
      <c r="Y1585" s="28">
        <v>0</v>
      </c>
      <c r="Z1585" s="28">
        <v>0</v>
      </c>
      <c r="AA1585" s="28">
        <v>0</v>
      </c>
      <c r="AB1585" s="28">
        <v>0</v>
      </c>
      <c r="AC1585" s="28">
        <v>0.92</v>
      </c>
      <c r="AD1585" s="26">
        <v>6.25E-2</v>
      </c>
      <c r="AE1585" s="26">
        <v>0</v>
      </c>
      <c r="AF1585" s="26">
        <v>0.36842105263157898</v>
      </c>
      <c r="AG1585" s="26">
        <v>0.146341463414634</v>
      </c>
      <c r="AH1585" s="28">
        <v>0.92</v>
      </c>
      <c r="AI1585" s="26">
        <v>0.88955916473317898</v>
      </c>
      <c r="AJ1585" s="26">
        <v>0.89650872817955096</v>
      </c>
      <c r="AK1585" s="26">
        <v>0.902796882164145</v>
      </c>
      <c r="AL1585" s="26">
        <v>0.89435163086714398</v>
      </c>
      <c r="AM1585" s="25">
        <v>0.99</v>
      </c>
      <c r="AN1585" s="30">
        <v>0</v>
      </c>
      <c r="AO1585" s="30">
        <v>0</v>
      </c>
      <c r="AP1585" s="30">
        <v>0</v>
      </c>
      <c r="AQ1585" s="30">
        <v>1</v>
      </c>
      <c r="AR1585" s="50">
        <v>0.110069253262963</v>
      </c>
      <c r="AS1585" s="34">
        <v>0.29166666666666702</v>
      </c>
      <c r="AT1585" s="34">
        <v>0.08</v>
      </c>
      <c r="AU1585" s="34">
        <v>0.34615384615384598</v>
      </c>
      <c r="AV1585" s="34">
        <v>0.23529411764705899</v>
      </c>
      <c r="AW1585" s="10"/>
      <c r="AX1585" s="8"/>
    </row>
    <row r="1586" spans="1:50">
      <c r="A1586" s="7"/>
      <c r="B1586" s="10"/>
      <c r="C1586" s="45" t="s">
        <v>1468</v>
      </c>
      <c r="D1586" s="23" t="s">
        <v>27</v>
      </c>
      <c r="E1586" s="61" t="s">
        <v>1630</v>
      </c>
      <c r="F1586" s="61" t="s">
        <v>1630</v>
      </c>
      <c r="G1586" s="61" t="s">
        <v>1630</v>
      </c>
      <c r="H1586" s="61" t="s">
        <v>1630</v>
      </c>
      <c r="I1586" s="25">
        <v>0.9</v>
      </c>
      <c r="J1586" s="26">
        <v>1</v>
      </c>
      <c r="K1586" s="26">
        <v>1</v>
      </c>
      <c r="L1586" s="27">
        <v>0.93333333333333302</v>
      </c>
      <c r="M1586" s="26">
        <v>0.97058823529411797</v>
      </c>
      <c r="N1586" s="28">
        <v>0.9</v>
      </c>
      <c r="O1586" s="26">
        <v>0.998481397114655</v>
      </c>
      <c r="P1586" s="26">
        <v>0.998819362455726</v>
      </c>
      <c r="Q1586" s="26">
        <v>0.99839999999999995</v>
      </c>
      <c r="R1586" s="26">
        <v>0.99304331694647996</v>
      </c>
      <c r="S1586" s="28">
        <v>0.9</v>
      </c>
      <c r="T1586" s="26">
        <v>0.93925588458618103</v>
      </c>
      <c r="U1586" s="26">
        <v>0.85005903187721399</v>
      </c>
      <c r="V1586" s="26">
        <v>0.94293333333333296</v>
      </c>
      <c r="W1586" s="26">
        <v>0.92848529820981396</v>
      </c>
      <c r="X1586" s="28">
        <v>0.92</v>
      </c>
      <c r="Y1586" s="28">
        <v>0</v>
      </c>
      <c r="Z1586" s="28">
        <v>0</v>
      </c>
      <c r="AA1586" s="28">
        <v>0</v>
      </c>
      <c r="AB1586" s="28">
        <v>0</v>
      </c>
      <c r="AC1586" s="28">
        <v>0.92</v>
      </c>
      <c r="AD1586" s="26">
        <v>0.28571428571428598</v>
      </c>
      <c r="AE1586" s="26">
        <v>0.34482758620689702</v>
      </c>
      <c r="AF1586" s="26">
        <v>0.339622641509434</v>
      </c>
      <c r="AG1586" s="26">
        <v>0.33676975945017201</v>
      </c>
      <c r="AH1586" s="28">
        <v>0.92</v>
      </c>
      <c r="AI1586" s="26">
        <v>0.96962794229309002</v>
      </c>
      <c r="AJ1586" s="26">
        <v>0.97048406139315202</v>
      </c>
      <c r="AK1586" s="26">
        <v>0.97333333333333305</v>
      </c>
      <c r="AL1586" s="26">
        <v>0.98015210536078601</v>
      </c>
      <c r="AM1586" s="25">
        <v>0.99</v>
      </c>
      <c r="AN1586" s="30">
        <v>0</v>
      </c>
      <c r="AO1586" s="30">
        <v>1</v>
      </c>
      <c r="AP1586" s="30">
        <v>0</v>
      </c>
      <c r="AQ1586" s="30">
        <v>1</v>
      </c>
      <c r="AR1586" s="50">
        <v>0.110069253262963</v>
      </c>
      <c r="AS1586" s="34">
        <v>0</v>
      </c>
      <c r="AT1586" s="34">
        <v>0</v>
      </c>
      <c r="AU1586" s="34">
        <v>5.8823529411764698E-2</v>
      </c>
      <c r="AV1586" s="34">
        <v>0.04</v>
      </c>
      <c r="AW1586" s="10"/>
      <c r="AX1586" s="8"/>
    </row>
    <row r="1587" spans="1:50">
      <c r="A1587" s="7"/>
      <c r="B1587" s="10"/>
      <c r="C1587" s="45" t="s">
        <v>1468</v>
      </c>
      <c r="D1587" s="23" t="s">
        <v>27</v>
      </c>
      <c r="E1587" s="61" t="s">
        <v>1631</v>
      </c>
      <c r="F1587" s="61" t="s">
        <v>1631</v>
      </c>
      <c r="G1587" s="61" t="s">
        <v>1631</v>
      </c>
      <c r="H1587" s="61" t="s">
        <v>1631</v>
      </c>
      <c r="I1587" s="25">
        <v>0.9</v>
      </c>
      <c r="J1587" s="26">
        <v>0.40540540540540498</v>
      </c>
      <c r="K1587" s="26">
        <v>0.31578947368421101</v>
      </c>
      <c r="L1587" s="27">
        <v>0.35135135135135098</v>
      </c>
      <c r="M1587" s="26">
        <v>0.39366515837104099</v>
      </c>
      <c r="N1587" s="28">
        <v>0.9</v>
      </c>
      <c r="O1587" s="26">
        <v>0.99496288441145297</v>
      </c>
      <c r="P1587" s="26">
        <v>0.98975859546452105</v>
      </c>
      <c r="Q1587" s="26">
        <v>0.99018936801277702</v>
      </c>
      <c r="R1587" s="26">
        <v>0.97025266564328105</v>
      </c>
      <c r="S1587" s="28">
        <v>0.9</v>
      </c>
      <c r="T1587" s="26">
        <v>0.89475079533404001</v>
      </c>
      <c r="U1587" s="26">
        <v>0.89782979761033899</v>
      </c>
      <c r="V1587" s="26">
        <v>0.88158795345653695</v>
      </c>
      <c r="W1587" s="26">
        <v>0.89266896236982995</v>
      </c>
      <c r="X1587" s="28">
        <v>0.92</v>
      </c>
      <c r="Y1587" s="28">
        <v>0</v>
      </c>
      <c r="Z1587" s="28">
        <v>0</v>
      </c>
      <c r="AA1587" s="28">
        <v>0</v>
      </c>
      <c r="AB1587" s="28">
        <v>0</v>
      </c>
      <c r="AC1587" s="28">
        <v>0.92</v>
      </c>
      <c r="AD1587" s="26">
        <v>0.96478873239436602</v>
      </c>
      <c r="AE1587" s="26">
        <v>0.98742138364779897</v>
      </c>
      <c r="AF1587" s="26">
        <v>0.92727272727272703</v>
      </c>
      <c r="AG1587" s="26">
        <v>0.94172494172494203</v>
      </c>
      <c r="AH1587" s="28">
        <v>0.92</v>
      </c>
      <c r="AI1587" s="26">
        <v>0.93822905620360597</v>
      </c>
      <c r="AJ1587" s="26">
        <v>0.95781516703243097</v>
      </c>
      <c r="AK1587" s="26">
        <v>0.96463609399954398</v>
      </c>
      <c r="AL1587" s="26">
        <v>0.95789255341215496</v>
      </c>
      <c r="AM1587" s="25">
        <v>0.99</v>
      </c>
      <c r="AN1587" s="30">
        <v>1</v>
      </c>
      <c r="AO1587" s="30">
        <v>1</v>
      </c>
      <c r="AP1587" s="30">
        <v>1</v>
      </c>
      <c r="AQ1587" s="30">
        <v>1</v>
      </c>
      <c r="AR1587" s="50">
        <v>0.110069253262963</v>
      </c>
      <c r="AS1587" s="34">
        <v>0.05</v>
      </c>
      <c r="AT1587" s="34">
        <v>0.22222222222222199</v>
      </c>
      <c r="AU1587" s="34">
        <v>3.4482758620689703E-2</v>
      </c>
      <c r="AV1587" s="34">
        <v>0.116438356164384</v>
      </c>
      <c r="AW1587" s="10"/>
      <c r="AX1587" s="8"/>
    </row>
    <row r="1588" spans="1:50">
      <c r="A1588" s="7"/>
      <c r="B1588" s="10"/>
      <c r="C1588" s="45" t="s">
        <v>1468</v>
      </c>
      <c r="D1588" s="23" t="s">
        <v>27</v>
      </c>
      <c r="E1588" s="61" t="s">
        <v>1632</v>
      </c>
      <c r="F1588" s="61" t="s">
        <v>1632</v>
      </c>
      <c r="G1588" s="61" t="s">
        <v>1632</v>
      </c>
      <c r="H1588" s="61" t="s">
        <v>1632</v>
      </c>
      <c r="I1588" s="25">
        <v>0.9</v>
      </c>
      <c r="J1588" s="26">
        <v>0.75</v>
      </c>
      <c r="K1588" s="26">
        <v>0.8</v>
      </c>
      <c r="L1588" s="27">
        <v>0.78947368421052599</v>
      </c>
      <c r="M1588" s="26">
        <v>0.76470588235294101</v>
      </c>
      <c r="N1588" s="28">
        <v>0.9</v>
      </c>
      <c r="O1588" s="26">
        <v>0</v>
      </c>
      <c r="P1588" s="26">
        <v>0</v>
      </c>
      <c r="Q1588" s="26">
        <v>0</v>
      </c>
      <c r="R1588" s="26">
        <v>0</v>
      </c>
      <c r="S1588" s="28">
        <v>0.9</v>
      </c>
      <c r="T1588" s="26">
        <v>0</v>
      </c>
      <c r="U1588" s="26">
        <v>0</v>
      </c>
      <c r="V1588" s="26">
        <v>0</v>
      </c>
      <c r="W1588" s="26">
        <v>0</v>
      </c>
      <c r="X1588" s="28">
        <v>0.92</v>
      </c>
      <c r="Y1588" s="28">
        <v>0</v>
      </c>
      <c r="Z1588" s="28">
        <v>0</v>
      </c>
      <c r="AA1588" s="28">
        <v>0</v>
      </c>
      <c r="AB1588" s="28">
        <v>0</v>
      </c>
      <c r="AC1588" s="28">
        <v>0.92</v>
      </c>
      <c r="AD1588" s="26">
        <v>0</v>
      </c>
      <c r="AE1588" s="26">
        <v>0</v>
      </c>
      <c r="AF1588" s="26">
        <v>0.9375</v>
      </c>
      <c r="AG1588" s="26">
        <v>0.266666666666667</v>
      </c>
      <c r="AH1588" s="28">
        <v>0.92</v>
      </c>
      <c r="AI1588" s="26">
        <v>0.96615201900237502</v>
      </c>
      <c r="AJ1588" s="26">
        <v>0.95161290322580605</v>
      </c>
      <c r="AK1588" s="26">
        <v>0.96117804551539499</v>
      </c>
      <c r="AL1588" s="26">
        <v>0.96449641803624098</v>
      </c>
      <c r="AM1588" s="25">
        <v>0.99</v>
      </c>
      <c r="AN1588" s="30">
        <v>1</v>
      </c>
      <c r="AO1588" s="30">
        <v>1</v>
      </c>
      <c r="AP1588" s="30">
        <v>1</v>
      </c>
      <c r="AQ1588" s="30">
        <v>1</v>
      </c>
      <c r="AR1588" s="50">
        <v>0.110069253262963</v>
      </c>
      <c r="AS1588" s="34">
        <v>5.2631578947368397E-2</v>
      </c>
      <c r="AT1588" s="34">
        <v>0.125</v>
      </c>
      <c r="AU1588" s="34">
        <v>4.7619047619047603E-2</v>
      </c>
      <c r="AV1588" s="34">
        <v>6.25E-2</v>
      </c>
      <c r="AW1588" s="10"/>
      <c r="AX1588" s="8"/>
    </row>
    <row r="1589" spans="1:50">
      <c r="A1589" s="7"/>
      <c r="B1589" s="10"/>
      <c r="C1589" s="45" t="s">
        <v>1468</v>
      </c>
      <c r="D1589" s="23" t="s">
        <v>27</v>
      </c>
      <c r="E1589" s="61" t="s">
        <v>1633</v>
      </c>
      <c r="F1589" s="61" t="s">
        <v>1633</v>
      </c>
      <c r="G1589" s="61" t="s">
        <v>1633</v>
      </c>
      <c r="H1589" s="61" t="s">
        <v>1633</v>
      </c>
      <c r="I1589" s="25">
        <v>0.9</v>
      </c>
      <c r="J1589" s="26">
        <v>0.66666666666666696</v>
      </c>
      <c r="K1589" s="26">
        <v>0.76190476190476197</v>
      </c>
      <c r="L1589" s="27">
        <v>0.84210526315789502</v>
      </c>
      <c r="M1589" s="26">
        <v>0.66101694915254205</v>
      </c>
      <c r="N1589" s="28">
        <v>0.9</v>
      </c>
      <c r="O1589" s="26">
        <v>1</v>
      </c>
      <c r="P1589" s="26">
        <v>0</v>
      </c>
      <c r="Q1589" s="26">
        <v>0</v>
      </c>
      <c r="R1589" s="26">
        <v>1</v>
      </c>
      <c r="S1589" s="28">
        <v>0.9</v>
      </c>
      <c r="T1589" s="26">
        <v>0</v>
      </c>
      <c r="U1589" s="26">
        <v>0</v>
      </c>
      <c r="V1589" s="26">
        <v>0</v>
      </c>
      <c r="W1589" s="26">
        <v>0</v>
      </c>
      <c r="X1589" s="28">
        <v>0.92</v>
      </c>
      <c r="Y1589" s="28">
        <v>0</v>
      </c>
      <c r="Z1589" s="28">
        <v>0</v>
      </c>
      <c r="AA1589" s="28">
        <v>0</v>
      </c>
      <c r="AB1589" s="28">
        <v>0</v>
      </c>
      <c r="AC1589" s="28">
        <v>0.92</v>
      </c>
      <c r="AD1589" s="26">
        <v>0.62068965517241403</v>
      </c>
      <c r="AE1589" s="26">
        <v>0</v>
      </c>
      <c r="AF1589" s="26">
        <v>3.2258064516128997E-2</v>
      </c>
      <c r="AG1589" s="26">
        <v>0.140740740740741</v>
      </c>
      <c r="AH1589" s="28">
        <v>0.92</v>
      </c>
      <c r="AI1589" s="26">
        <v>0.66903584672435101</v>
      </c>
      <c r="AJ1589" s="26">
        <v>0.65252854812397998</v>
      </c>
      <c r="AK1589" s="26">
        <v>0.67612456747404803</v>
      </c>
      <c r="AL1589" s="26">
        <v>0.67599542042997096</v>
      </c>
      <c r="AM1589" s="25">
        <v>0.99</v>
      </c>
      <c r="AN1589" s="30">
        <v>1</v>
      </c>
      <c r="AO1589" s="30">
        <v>1</v>
      </c>
      <c r="AP1589" s="30">
        <v>0</v>
      </c>
      <c r="AQ1589" s="30">
        <v>1</v>
      </c>
      <c r="AR1589" s="50">
        <v>0.110069253262963</v>
      </c>
      <c r="AS1589" s="34">
        <v>7.5471698113207503E-2</v>
      </c>
      <c r="AT1589" s="34">
        <v>0.116279069767442</v>
      </c>
      <c r="AU1589" s="34">
        <v>2.4390243902439001E-2</v>
      </c>
      <c r="AV1589" s="34">
        <v>7.5630252100840303E-2</v>
      </c>
      <c r="AW1589" s="10"/>
      <c r="AX1589" s="8"/>
    </row>
    <row r="1590" spans="1:50">
      <c r="A1590" s="7"/>
      <c r="B1590" s="10"/>
      <c r="C1590" s="45" t="s">
        <v>1468</v>
      </c>
      <c r="D1590" s="23" t="s">
        <v>27</v>
      </c>
      <c r="E1590" s="61" t="s">
        <v>1634</v>
      </c>
      <c r="F1590" s="61" t="s">
        <v>1634</v>
      </c>
      <c r="G1590" s="61" t="s">
        <v>1634</v>
      </c>
      <c r="H1590" s="61" t="s">
        <v>1634</v>
      </c>
      <c r="I1590" s="25">
        <v>0.9</v>
      </c>
      <c r="J1590" s="26">
        <v>1</v>
      </c>
      <c r="K1590" s="26">
        <v>1</v>
      </c>
      <c r="L1590" s="27">
        <v>1</v>
      </c>
      <c r="M1590" s="26">
        <v>0.99489795918367396</v>
      </c>
      <c r="N1590" s="28">
        <v>0.9</v>
      </c>
      <c r="O1590" s="26">
        <v>0.99762470308788598</v>
      </c>
      <c r="P1590" s="26">
        <v>0.99651678277390798</v>
      </c>
      <c r="Q1590" s="26">
        <v>0.99450700357044797</v>
      </c>
      <c r="R1590" s="26">
        <v>0.99419228892142497</v>
      </c>
      <c r="S1590" s="28">
        <v>0.9</v>
      </c>
      <c r="T1590" s="26">
        <v>0.93428345209817898</v>
      </c>
      <c r="U1590" s="26">
        <v>0.93825205826472402</v>
      </c>
      <c r="V1590" s="26">
        <v>0.943696786597089</v>
      </c>
      <c r="W1590" s="26">
        <v>0.91849682772083896</v>
      </c>
      <c r="X1590" s="28">
        <v>0.92</v>
      </c>
      <c r="Y1590" s="28">
        <v>0</v>
      </c>
      <c r="Z1590" s="28">
        <v>0</v>
      </c>
      <c r="AA1590" s="28">
        <v>0</v>
      </c>
      <c r="AB1590" s="28">
        <v>0</v>
      </c>
      <c r="AC1590" s="28">
        <v>0.92</v>
      </c>
      <c r="AD1590" s="26">
        <v>1</v>
      </c>
      <c r="AE1590" s="26">
        <v>0.99787234042553197</v>
      </c>
      <c r="AF1590" s="26">
        <v>0.998043052837573</v>
      </c>
      <c r="AG1590" s="26">
        <v>0.99402985074626904</v>
      </c>
      <c r="AH1590" s="28">
        <v>0.92</v>
      </c>
      <c r="AI1590" s="26">
        <v>0.96634996041171795</v>
      </c>
      <c r="AJ1590" s="26">
        <v>0.97846738442051895</v>
      </c>
      <c r="AK1590" s="26">
        <v>0.98269706124691003</v>
      </c>
      <c r="AL1590" s="26">
        <v>0.97452540139573496</v>
      </c>
      <c r="AM1590" s="25">
        <v>0.99</v>
      </c>
      <c r="AN1590" s="30">
        <v>1</v>
      </c>
      <c r="AO1590" s="30">
        <v>1</v>
      </c>
      <c r="AP1590" s="30">
        <v>1</v>
      </c>
      <c r="AQ1590" s="30">
        <v>1</v>
      </c>
      <c r="AR1590" s="50">
        <v>0.110069253262963</v>
      </c>
      <c r="AS1590" s="34">
        <v>7.69230769230769E-2</v>
      </c>
      <c r="AT1590" s="34">
        <v>5.2631578947368397E-2</v>
      </c>
      <c r="AU1590" s="34">
        <v>0.21052631578947401</v>
      </c>
      <c r="AV1590" s="34">
        <v>7.6086956521739094E-2</v>
      </c>
      <c r="AW1590" s="10"/>
      <c r="AX1590" s="8"/>
    </row>
    <row r="1591" spans="1:50">
      <c r="A1591" s="7"/>
      <c r="B1591" s="10"/>
      <c r="C1591" s="45" t="s">
        <v>1468</v>
      </c>
      <c r="D1591" s="23" t="s">
        <v>27</v>
      </c>
      <c r="E1591" s="61" t="s">
        <v>1635</v>
      </c>
      <c r="F1591" s="61" t="s">
        <v>1635</v>
      </c>
      <c r="G1591" s="61" t="s">
        <v>1635</v>
      </c>
      <c r="H1591" s="61" t="s">
        <v>1635</v>
      </c>
      <c r="I1591" s="25">
        <v>0.9</v>
      </c>
      <c r="J1591" s="26">
        <v>0.95833333333333304</v>
      </c>
      <c r="K1591" s="26">
        <v>0.95652173913043503</v>
      </c>
      <c r="L1591" s="27">
        <v>0.91304347826086996</v>
      </c>
      <c r="M1591" s="26">
        <v>0.971830985915493</v>
      </c>
      <c r="N1591" s="28">
        <v>0.9</v>
      </c>
      <c r="O1591" s="26">
        <v>0.95733202550269703</v>
      </c>
      <c r="P1591" s="26">
        <v>0.98721323805942096</v>
      </c>
      <c r="Q1591" s="26">
        <v>0.98921933085501901</v>
      </c>
      <c r="R1591" s="26">
        <v>0.98181253879577901</v>
      </c>
      <c r="S1591" s="28">
        <v>0.9</v>
      </c>
      <c r="T1591" s="26">
        <v>0.88523786169690999</v>
      </c>
      <c r="U1591" s="26">
        <v>0.90597969161338898</v>
      </c>
      <c r="V1591" s="26">
        <v>0.91040892193308598</v>
      </c>
      <c r="W1591" s="26">
        <v>0.90577281191806303</v>
      </c>
      <c r="X1591" s="28">
        <v>0.92</v>
      </c>
      <c r="Y1591" s="28">
        <v>0</v>
      </c>
      <c r="Z1591" s="28">
        <v>0</v>
      </c>
      <c r="AA1591" s="28">
        <v>0</v>
      </c>
      <c r="AB1591" s="28">
        <v>0</v>
      </c>
      <c r="AC1591" s="28">
        <v>0.92</v>
      </c>
      <c r="AD1591" s="26">
        <v>0.99756690997566899</v>
      </c>
      <c r="AE1591" s="26">
        <v>0.99549549549549599</v>
      </c>
      <c r="AF1591" s="26">
        <v>0.88188976377952799</v>
      </c>
      <c r="AG1591" s="26">
        <v>0.96976060478790405</v>
      </c>
      <c r="AH1591" s="28">
        <v>0.92</v>
      </c>
      <c r="AI1591" s="26">
        <v>0.94997547817557604</v>
      </c>
      <c r="AJ1591" s="26">
        <v>0.96728093268145898</v>
      </c>
      <c r="AK1591" s="26">
        <v>0.97026022304832704</v>
      </c>
      <c r="AL1591" s="26">
        <v>0.96579764121663603</v>
      </c>
      <c r="AM1591" s="25">
        <v>0.99</v>
      </c>
      <c r="AN1591" s="30">
        <v>1</v>
      </c>
      <c r="AO1591" s="30">
        <v>1</v>
      </c>
      <c r="AP1591" s="30">
        <v>1</v>
      </c>
      <c r="AQ1591" s="30">
        <v>1</v>
      </c>
      <c r="AR1591" s="50">
        <v>0.110069253262963</v>
      </c>
      <c r="AS1591" s="34">
        <v>6.6666666666666693E-2</v>
      </c>
      <c r="AT1591" s="34">
        <v>0.133333333333333</v>
      </c>
      <c r="AU1591" s="34">
        <v>3.7037037037037E-2</v>
      </c>
      <c r="AV1591" s="34">
        <v>6.9930069930069894E-2</v>
      </c>
      <c r="AW1591" s="10"/>
      <c r="AX1591" s="8"/>
    </row>
    <row r="1592" spans="1:50">
      <c r="A1592" s="7"/>
      <c r="B1592" s="10"/>
      <c r="C1592" s="45" t="s">
        <v>1468</v>
      </c>
      <c r="D1592" s="23" t="s">
        <v>27</v>
      </c>
      <c r="E1592" s="61" t="s">
        <v>1636</v>
      </c>
      <c r="F1592" s="61" t="s">
        <v>1636</v>
      </c>
      <c r="G1592" s="61" t="s">
        <v>1636</v>
      </c>
      <c r="H1592" s="61" t="s">
        <v>1636</v>
      </c>
      <c r="I1592" s="25">
        <v>0.9</v>
      </c>
      <c r="J1592" s="26">
        <v>1</v>
      </c>
      <c r="K1592" s="26">
        <v>1</v>
      </c>
      <c r="L1592" s="27">
        <v>0.95918367346938804</v>
      </c>
      <c r="M1592" s="26">
        <v>0.98639455782312901</v>
      </c>
      <c r="N1592" s="28">
        <v>0.9</v>
      </c>
      <c r="O1592" s="26">
        <v>0.99083036169128902</v>
      </c>
      <c r="P1592" s="26">
        <v>0.98370303304662698</v>
      </c>
      <c r="Q1592" s="26">
        <v>0.97158507360492996</v>
      </c>
      <c r="R1592" s="26">
        <v>0.97186219864347601</v>
      </c>
      <c r="S1592" s="28">
        <v>0.9</v>
      </c>
      <c r="T1592" s="26">
        <v>0.77075904228222103</v>
      </c>
      <c r="U1592" s="26">
        <v>0.768220914440923</v>
      </c>
      <c r="V1592" s="26">
        <v>0.78123930160903798</v>
      </c>
      <c r="W1592" s="26">
        <v>0.75656436773890301</v>
      </c>
      <c r="X1592" s="28">
        <v>0.92</v>
      </c>
      <c r="Y1592" s="28">
        <v>0.88827670645852497</v>
      </c>
      <c r="Z1592" s="28">
        <v>0.89736346516007504</v>
      </c>
      <c r="AA1592" s="28">
        <v>0.913466738777718</v>
      </c>
      <c r="AB1592" s="28">
        <v>0.90131184086427196</v>
      </c>
      <c r="AC1592" s="28">
        <v>0.92</v>
      </c>
      <c r="AD1592" s="26">
        <v>1</v>
      </c>
      <c r="AE1592" s="26">
        <v>1</v>
      </c>
      <c r="AF1592" s="26">
        <v>1</v>
      </c>
      <c r="AG1592" s="26">
        <v>0.98033431661750203</v>
      </c>
      <c r="AH1592" s="28">
        <v>0.92</v>
      </c>
      <c r="AI1592" s="26">
        <v>0.90554493307839401</v>
      </c>
      <c r="AJ1592" s="26">
        <v>0.93304799755426504</v>
      </c>
      <c r="AK1592" s="26">
        <v>0.94088050314465399</v>
      </c>
      <c r="AL1592" s="26">
        <v>0.92498305340061804</v>
      </c>
      <c r="AM1592" s="25">
        <v>0.99</v>
      </c>
      <c r="AN1592" s="30">
        <v>1</v>
      </c>
      <c r="AO1592" s="30">
        <v>1</v>
      </c>
      <c r="AP1592" s="30">
        <v>1</v>
      </c>
      <c r="AQ1592" s="30">
        <v>1</v>
      </c>
      <c r="AR1592" s="50">
        <v>0.110069253262963</v>
      </c>
      <c r="AS1592" s="34">
        <v>8.3333333333333301E-2</v>
      </c>
      <c r="AT1592" s="34">
        <v>0.133333333333333</v>
      </c>
      <c r="AU1592" s="34">
        <v>4.7619047619047603E-2</v>
      </c>
      <c r="AV1592" s="34">
        <v>0.11009174311926601</v>
      </c>
      <c r="AW1592" s="10"/>
      <c r="AX1592" s="8"/>
    </row>
    <row r="1593" spans="1:50">
      <c r="A1593" s="7"/>
      <c r="B1593" s="10"/>
      <c r="C1593" s="45" t="s">
        <v>1468</v>
      </c>
      <c r="D1593" s="23" t="s">
        <v>27</v>
      </c>
      <c r="E1593" s="61" t="s">
        <v>1637</v>
      </c>
      <c r="F1593" s="61" t="s">
        <v>1637</v>
      </c>
      <c r="G1593" s="61" t="s">
        <v>1637</v>
      </c>
      <c r="H1593" s="61" t="s">
        <v>1637</v>
      </c>
      <c r="I1593" s="25">
        <v>0.9</v>
      </c>
      <c r="J1593" s="26">
        <v>1</v>
      </c>
      <c r="K1593" s="26">
        <v>0.96</v>
      </c>
      <c r="L1593" s="27">
        <v>1</v>
      </c>
      <c r="M1593" s="26">
        <v>0.97945205479452102</v>
      </c>
      <c r="N1593" s="28">
        <v>0.9</v>
      </c>
      <c r="O1593" s="26">
        <v>0.97699999999999998</v>
      </c>
      <c r="P1593" s="26">
        <v>0.98116438356164404</v>
      </c>
      <c r="Q1593" s="26">
        <v>0.97639919082939997</v>
      </c>
      <c r="R1593" s="26">
        <v>0.96893302775655699</v>
      </c>
      <c r="S1593" s="28">
        <v>0.9</v>
      </c>
      <c r="T1593" s="26">
        <v>0.72299999999999998</v>
      </c>
      <c r="U1593" s="26">
        <v>0.74743150684931503</v>
      </c>
      <c r="V1593" s="26">
        <v>0.72420768712070105</v>
      </c>
      <c r="W1593" s="26">
        <v>0.72740005092946303</v>
      </c>
      <c r="X1593" s="28">
        <v>0.92</v>
      </c>
      <c r="Y1593" s="28">
        <v>0.85053380782918198</v>
      </c>
      <c r="Z1593" s="28">
        <v>0.90619136960600399</v>
      </c>
      <c r="AA1593" s="28">
        <v>0.86538461538461497</v>
      </c>
      <c r="AB1593" s="28">
        <v>0.86993603411513898</v>
      </c>
      <c r="AC1593" s="28">
        <v>0.92</v>
      </c>
      <c r="AD1593" s="26">
        <v>0.96808510638297895</v>
      </c>
      <c r="AE1593" s="26">
        <v>0.97727272727272696</v>
      </c>
      <c r="AF1593" s="26">
        <v>1</v>
      </c>
      <c r="AG1593" s="26">
        <v>0.98998330550918201</v>
      </c>
      <c r="AH1593" s="28">
        <v>0.92</v>
      </c>
      <c r="AI1593" s="26">
        <v>0.87788533134772895</v>
      </c>
      <c r="AJ1593" s="26">
        <v>0.94944150499706104</v>
      </c>
      <c r="AK1593" s="26">
        <v>0.92027519222986598</v>
      </c>
      <c r="AL1593" s="26">
        <v>0.90939717582969004</v>
      </c>
      <c r="AM1593" s="25">
        <v>0.99</v>
      </c>
      <c r="AN1593" s="30">
        <v>1</v>
      </c>
      <c r="AO1593" s="30">
        <v>1</v>
      </c>
      <c r="AP1593" s="30">
        <v>1</v>
      </c>
      <c r="AQ1593" s="30">
        <v>1</v>
      </c>
      <c r="AR1593" s="50">
        <v>0.110069253262963</v>
      </c>
      <c r="AS1593" s="34">
        <v>0</v>
      </c>
      <c r="AT1593" s="34">
        <v>0</v>
      </c>
      <c r="AU1593" s="34">
        <v>0</v>
      </c>
      <c r="AV1593" s="34">
        <v>4.1666666666666699E-2</v>
      </c>
      <c r="AW1593" s="10"/>
      <c r="AX1593" s="8"/>
    </row>
    <row r="1594" spans="1:50">
      <c r="A1594" s="7"/>
      <c r="B1594" s="10"/>
      <c r="C1594" s="45" t="s">
        <v>1468</v>
      </c>
      <c r="D1594" s="23" t="s">
        <v>27</v>
      </c>
      <c r="E1594" s="61" t="s">
        <v>1638</v>
      </c>
      <c r="F1594" s="61" t="s">
        <v>1638</v>
      </c>
      <c r="G1594" s="61" t="s">
        <v>1638</v>
      </c>
      <c r="H1594" s="61" t="s">
        <v>1638</v>
      </c>
      <c r="I1594" s="25">
        <v>0.9</v>
      </c>
      <c r="J1594" s="26">
        <v>0.90322580645161299</v>
      </c>
      <c r="K1594" s="26">
        <v>0.8</v>
      </c>
      <c r="L1594" s="27">
        <v>0.87878787878787901</v>
      </c>
      <c r="M1594" s="26">
        <v>0.89304812834224601</v>
      </c>
      <c r="N1594" s="28">
        <v>0.9</v>
      </c>
      <c r="O1594" s="26">
        <v>0.810697868783953</v>
      </c>
      <c r="P1594" s="26">
        <v>0.72887946270767101</v>
      </c>
      <c r="Q1594" s="26">
        <v>0.74059787849566105</v>
      </c>
      <c r="R1594" s="26">
        <v>0.72455333760111695</v>
      </c>
      <c r="S1594" s="28">
        <v>0.9</v>
      </c>
      <c r="T1594" s="26">
        <v>0.81613038027580398</v>
      </c>
      <c r="U1594" s="26">
        <v>0.73453517143867098</v>
      </c>
      <c r="V1594" s="26">
        <v>0.70491803278688503</v>
      </c>
      <c r="W1594" s="26">
        <v>0.71169178839550695</v>
      </c>
      <c r="X1594" s="28">
        <v>0.92</v>
      </c>
      <c r="Y1594" s="28">
        <v>0</v>
      </c>
      <c r="Z1594" s="28">
        <v>0</v>
      </c>
      <c r="AA1594" s="28">
        <v>0</v>
      </c>
      <c r="AB1594" s="28">
        <v>0</v>
      </c>
      <c r="AC1594" s="28">
        <v>0.92</v>
      </c>
      <c r="AD1594" s="26">
        <v>0.94594594594594605</v>
      </c>
      <c r="AE1594" s="26">
        <v>0.88461538461538503</v>
      </c>
      <c r="AF1594" s="26">
        <v>1</v>
      </c>
      <c r="AG1594" s="26">
        <v>0.96296296296296302</v>
      </c>
      <c r="AH1594" s="28">
        <v>0.92</v>
      </c>
      <c r="AI1594" s="26">
        <v>0.93898871709151699</v>
      </c>
      <c r="AJ1594" s="26">
        <v>0.95056497175141197</v>
      </c>
      <c r="AK1594" s="26">
        <v>0.96303439408550295</v>
      </c>
      <c r="AL1594" s="26">
        <v>0.95345048295123902</v>
      </c>
      <c r="AM1594" s="25">
        <v>0.99</v>
      </c>
      <c r="AN1594" s="30">
        <v>1</v>
      </c>
      <c r="AO1594" s="30">
        <v>1</v>
      </c>
      <c r="AP1594" s="30">
        <v>1</v>
      </c>
      <c r="AQ1594" s="30">
        <v>1</v>
      </c>
      <c r="AR1594" s="50">
        <v>0.110069253262963</v>
      </c>
      <c r="AS1594" s="34">
        <v>7.69230769230769E-2</v>
      </c>
      <c r="AT1594" s="34">
        <v>5.8823529411764698E-2</v>
      </c>
      <c r="AU1594" s="34">
        <v>0</v>
      </c>
      <c r="AV1594" s="34">
        <v>5.6910569105691103E-2</v>
      </c>
      <c r="AW1594" s="10"/>
      <c r="AX1594" s="8"/>
    </row>
    <row r="1595" spans="1:50">
      <c r="A1595" s="7"/>
      <c r="B1595" s="10"/>
      <c r="C1595" s="45" t="s">
        <v>1468</v>
      </c>
      <c r="D1595" s="23" t="s">
        <v>27</v>
      </c>
      <c r="E1595" s="61" t="s">
        <v>1639</v>
      </c>
      <c r="F1595" s="61" t="s">
        <v>1639</v>
      </c>
      <c r="G1595" s="61" t="s">
        <v>1639</v>
      </c>
      <c r="H1595" s="61" t="s">
        <v>1639</v>
      </c>
      <c r="I1595" s="25">
        <v>0.9</v>
      </c>
      <c r="J1595" s="26">
        <v>1</v>
      </c>
      <c r="K1595" s="26">
        <v>1</v>
      </c>
      <c r="L1595" s="27">
        <v>1</v>
      </c>
      <c r="M1595" s="26">
        <v>1</v>
      </c>
      <c r="N1595" s="28">
        <v>0.9</v>
      </c>
      <c r="O1595" s="26">
        <v>0.99686274509803896</v>
      </c>
      <c r="P1595" s="26">
        <v>1</v>
      </c>
      <c r="Q1595" s="26">
        <v>1</v>
      </c>
      <c r="R1595" s="26">
        <v>0.99924708244447202</v>
      </c>
      <c r="S1595" s="28">
        <v>0.9</v>
      </c>
      <c r="T1595" s="26">
        <v>0.94039215686274502</v>
      </c>
      <c r="U1595" s="26">
        <v>0.94342629482071705</v>
      </c>
      <c r="V1595" s="26">
        <v>0.95663775850567001</v>
      </c>
      <c r="W1595" s="26">
        <v>0.95357008407579402</v>
      </c>
      <c r="X1595" s="28">
        <v>0.92</v>
      </c>
      <c r="Y1595" s="28">
        <v>0</v>
      </c>
      <c r="Z1595" s="28">
        <v>0</v>
      </c>
      <c r="AA1595" s="28">
        <v>0</v>
      </c>
      <c r="AB1595" s="28">
        <v>0</v>
      </c>
      <c r="AC1595" s="28">
        <v>0.92</v>
      </c>
      <c r="AD1595" s="26">
        <v>1</v>
      </c>
      <c r="AE1595" s="26">
        <v>0.98305084745762705</v>
      </c>
      <c r="AF1595" s="26">
        <v>1</v>
      </c>
      <c r="AG1595" s="26">
        <v>0.99724517906336096</v>
      </c>
      <c r="AH1595" s="28">
        <v>0.92</v>
      </c>
      <c r="AI1595" s="26">
        <v>0.96862745098039205</v>
      </c>
      <c r="AJ1595" s="26">
        <v>0.968127490039841</v>
      </c>
      <c r="AK1595" s="26">
        <v>0.97998665777184801</v>
      </c>
      <c r="AL1595" s="26">
        <v>0.975279206926842</v>
      </c>
      <c r="AM1595" s="25">
        <v>0.99</v>
      </c>
      <c r="AN1595" s="30">
        <v>1</v>
      </c>
      <c r="AO1595" s="30">
        <v>1</v>
      </c>
      <c r="AP1595" s="30">
        <v>1</v>
      </c>
      <c r="AQ1595" s="30">
        <v>1</v>
      </c>
      <c r="AR1595" s="50">
        <v>0.110069253262963</v>
      </c>
      <c r="AS1595" s="34">
        <v>6.6666666666666693E-2</v>
      </c>
      <c r="AT1595" s="34">
        <v>0</v>
      </c>
      <c r="AU1595" s="34">
        <v>0.2</v>
      </c>
      <c r="AV1595" s="34">
        <v>9.5238095238095205E-2</v>
      </c>
      <c r="AW1595" s="10"/>
      <c r="AX1595" s="8"/>
    </row>
    <row r="1596" spans="1:50">
      <c r="A1596" s="7"/>
      <c r="B1596" s="10"/>
      <c r="C1596" s="45" t="s">
        <v>1468</v>
      </c>
      <c r="D1596" s="23" t="s">
        <v>27</v>
      </c>
      <c r="E1596" s="61" t="s">
        <v>1640</v>
      </c>
      <c r="F1596" s="61" t="s">
        <v>1640</v>
      </c>
      <c r="G1596" s="61" t="s">
        <v>1640</v>
      </c>
      <c r="H1596" s="61" t="s">
        <v>1640</v>
      </c>
      <c r="I1596" s="25">
        <v>0.9</v>
      </c>
      <c r="J1596" s="26">
        <v>0.85714285714285698</v>
      </c>
      <c r="K1596" s="26">
        <v>0.91666666666666696</v>
      </c>
      <c r="L1596" s="27">
        <v>0.86666666666666703</v>
      </c>
      <c r="M1596" s="26">
        <v>0.87804878048780499</v>
      </c>
      <c r="N1596" s="28">
        <v>0.9</v>
      </c>
      <c r="O1596" s="26">
        <v>0.83841463414634099</v>
      </c>
      <c r="P1596" s="26">
        <v>0.87278415015641297</v>
      </c>
      <c r="Q1596" s="26">
        <v>0.91383352872215695</v>
      </c>
      <c r="R1596" s="26">
        <v>0.87923878935114896</v>
      </c>
      <c r="S1596" s="28">
        <v>0.9</v>
      </c>
      <c r="T1596" s="26">
        <v>0.81402439024390205</v>
      </c>
      <c r="U1596" s="26">
        <v>0.86444212721585001</v>
      </c>
      <c r="V1596" s="26">
        <v>0.87280187573270795</v>
      </c>
      <c r="W1596" s="26">
        <v>0.85656442959813694</v>
      </c>
      <c r="X1596" s="28">
        <v>0.92</v>
      </c>
      <c r="Y1596" s="28">
        <v>0.90476190476190499</v>
      </c>
      <c r="Z1596" s="28">
        <v>0.92256846081208699</v>
      </c>
      <c r="AA1596" s="28">
        <v>0.95172413793103405</v>
      </c>
      <c r="AB1596" s="28">
        <v>0.93209541881268598</v>
      </c>
      <c r="AC1596" s="28">
        <v>0.92</v>
      </c>
      <c r="AD1596" s="26">
        <v>0.91525423728813604</v>
      </c>
      <c r="AE1596" s="26">
        <v>0.92666666666666697</v>
      </c>
      <c r="AF1596" s="26">
        <v>0.99378881987577605</v>
      </c>
      <c r="AG1596" s="26">
        <v>0.93712930011862405</v>
      </c>
      <c r="AH1596" s="28">
        <v>0.92</v>
      </c>
      <c r="AI1596" s="26">
        <v>0.90405033425088499</v>
      </c>
      <c r="AJ1596" s="26">
        <v>0.93449781659388598</v>
      </c>
      <c r="AK1596" s="26">
        <v>0.94914596273291896</v>
      </c>
      <c r="AL1596" s="26">
        <v>0.94078108703210095</v>
      </c>
      <c r="AM1596" s="25">
        <v>0.99</v>
      </c>
      <c r="AN1596" s="30">
        <v>0</v>
      </c>
      <c r="AO1596" s="30">
        <v>1</v>
      </c>
      <c r="AP1596" s="30">
        <v>1</v>
      </c>
      <c r="AQ1596" s="30">
        <v>1</v>
      </c>
      <c r="AR1596" s="50">
        <v>0.110069253262963</v>
      </c>
      <c r="AS1596" s="34">
        <v>0.105263157894737</v>
      </c>
      <c r="AT1596" s="34">
        <v>0.125</v>
      </c>
      <c r="AU1596" s="34">
        <v>0</v>
      </c>
      <c r="AV1596" s="34">
        <v>9.6385542168674704E-2</v>
      </c>
      <c r="AW1596" s="10"/>
      <c r="AX1596" s="8"/>
    </row>
    <row r="1597" spans="1:50">
      <c r="A1597" s="7"/>
      <c r="B1597" s="10"/>
      <c r="C1597" s="45" t="s">
        <v>1468</v>
      </c>
      <c r="D1597" s="23" t="s">
        <v>27</v>
      </c>
      <c r="E1597" s="61" t="s">
        <v>1641</v>
      </c>
      <c r="F1597" s="61" t="s">
        <v>1641</v>
      </c>
      <c r="G1597" s="61" t="s">
        <v>1641</v>
      </c>
      <c r="H1597" s="61" t="s">
        <v>1641</v>
      </c>
      <c r="I1597" s="25">
        <v>0.9</v>
      </c>
      <c r="J1597" s="26">
        <v>1</v>
      </c>
      <c r="K1597" s="26">
        <v>0.96078431372549</v>
      </c>
      <c r="L1597" s="27">
        <v>0.94</v>
      </c>
      <c r="M1597" s="26">
        <v>0.95302013422818799</v>
      </c>
      <c r="N1597" s="28">
        <v>0.9</v>
      </c>
      <c r="O1597" s="26">
        <v>0.96572128137114899</v>
      </c>
      <c r="P1597" s="26">
        <v>0.91249543295579105</v>
      </c>
      <c r="Q1597" s="26">
        <v>0.937542201215395</v>
      </c>
      <c r="R1597" s="26">
        <v>0.91591526005428803</v>
      </c>
      <c r="S1597" s="28">
        <v>0.9</v>
      </c>
      <c r="T1597" s="26">
        <v>0.91613956335441704</v>
      </c>
      <c r="U1597" s="26">
        <v>0.93569601753745002</v>
      </c>
      <c r="V1597" s="26">
        <v>0.927076299797434</v>
      </c>
      <c r="W1597" s="26">
        <v>0.92037689931671396</v>
      </c>
      <c r="X1597" s="28">
        <v>0.92</v>
      </c>
      <c r="Y1597" s="28">
        <v>1</v>
      </c>
      <c r="Z1597" s="28">
        <v>0</v>
      </c>
      <c r="AA1597" s="28">
        <v>0</v>
      </c>
      <c r="AB1597" s="28">
        <v>0.5</v>
      </c>
      <c r="AC1597" s="28">
        <v>0.92</v>
      </c>
      <c r="AD1597" s="26">
        <v>0.969653179190751</v>
      </c>
      <c r="AE1597" s="26">
        <v>1</v>
      </c>
      <c r="AF1597" s="26">
        <v>0.59841479524438601</v>
      </c>
      <c r="AG1597" s="26">
        <v>0.91249415067852102</v>
      </c>
      <c r="AH1597" s="28">
        <v>0.92</v>
      </c>
      <c r="AI1597" s="26">
        <v>0.94512443900448795</v>
      </c>
      <c r="AJ1597" s="26">
        <v>0.94610887833394197</v>
      </c>
      <c r="AK1597" s="26">
        <v>0.94868332207967598</v>
      </c>
      <c r="AL1597" s="26">
        <v>0.95560616459724201</v>
      </c>
      <c r="AM1597" s="25">
        <v>0.99</v>
      </c>
      <c r="AN1597" s="30">
        <v>0</v>
      </c>
      <c r="AO1597" s="30">
        <v>0</v>
      </c>
      <c r="AP1597" s="30">
        <v>1</v>
      </c>
      <c r="AQ1597" s="30">
        <v>1</v>
      </c>
      <c r="AR1597" s="50">
        <v>0.110069253262963</v>
      </c>
      <c r="AS1597" s="34">
        <v>2.6315789473684199E-2</v>
      </c>
      <c r="AT1597" s="34">
        <v>9.5238095238095205E-2</v>
      </c>
      <c r="AU1597" s="34">
        <v>2.8571428571428598E-2</v>
      </c>
      <c r="AV1597" s="34">
        <v>4.5226130653266298E-2</v>
      </c>
      <c r="AW1597" s="10"/>
      <c r="AX1597" s="8"/>
    </row>
    <row r="1598" spans="1:50">
      <c r="A1598" s="7"/>
      <c r="B1598" s="10"/>
      <c r="C1598" s="45" t="s">
        <v>1468</v>
      </c>
      <c r="D1598" s="23" t="s">
        <v>27</v>
      </c>
      <c r="E1598" s="61" t="s">
        <v>1642</v>
      </c>
      <c r="F1598" s="61" t="s">
        <v>1642</v>
      </c>
      <c r="G1598" s="61" t="s">
        <v>1642</v>
      </c>
      <c r="H1598" s="61" t="s">
        <v>1642</v>
      </c>
      <c r="I1598" s="25">
        <v>0.9</v>
      </c>
      <c r="J1598" s="26">
        <v>0.75862068965517204</v>
      </c>
      <c r="K1598" s="26">
        <v>0.72413793103448298</v>
      </c>
      <c r="L1598" s="27">
        <v>0.82142857142857095</v>
      </c>
      <c r="M1598" s="26">
        <v>0.74096385542168697</v>
      </c>
      <c r="N1598" s="28">
        <v>0.9</v>
      </c>
      <c r="O1598" s="26">
        <v>0.78532338308457705</v>
      </c>
      <c r="P1598" s="26">
        <v>0.78532521627683405</v>
      </c>
      <c r="Q1598" s="26">
        <v>0.80316686967113304</v>
      </c>
      <c r="R1598" s="26">
        <v>0.62213181448332</v>
      </c>
      <c r="S1598" s="28">
        <v>0.9</v>
      </c>
      <c r="T1598" s="26">
        <v>0.55920398009950201</v>
      </c>
      <c r="U1598" s="26">
        <v>0.54533803268183301</v>
      </c>
      <c r="V1598" s="26">
        <v>0.516199756394641</v>
      </c>
      <c r="W1598" s="26">
        <v>0.53230268510984502</v>
      </c>
      <c r="X1598" s="28">
        <v>0.92</v>
      </c>
      <c r="Y1598" s="28">
        <v>0</v>
      </c>
      <c r="Z1598" s="28">
        <v>0</v>
      </c>
      <c r="AA1598" s="28">
        <v>0</v>
      </c>
      <c r="AB1598" s="28">
        <v>0.266666666666667</v>
      </c>
      <c r="AC1598" s="28">
        <v>0.92</v>
      </c>
      <c r="AD1598" s="26">
        <v>0.96666666666666701</v>
      </c>
      <c r="AE1598" s="26">
        <v>0.93617021276595702</v>
      </c>
      <c r="AF1598" s="26">
        <v>1</v>
      </c>
      <c r="AG1598" s="26">
        <v>0.96363636363636396</v>
      </c>
      <c r="AH1598" s="28">
        <v>0.92</v>
      </c>
      <c r="AI1598" s="26">
        <v>0.89239562624254498</v>
      </c>
      <c r="AJ1598" s="26">
        <v>0.878681177976953</v>
      </c>
      <c r="AK1598" s="26">
        <v>0.88818514007308202</v>
      </c>
      <c r="AL1598" s="26">
        <v>0.88839194958324896</v>
      </c>
      <c r="AM1598" s="25">
        <v>0.99</v>
      </c>
      <c r="AN1598" s="30">
        <v>0</v>
      </c>
      <c r="AO1598" s="30">
        <v>0</v>
      </c>
      <c r="AP1598" s="30">
        <v>0</v>
      </c>
      <c r="AQ1598" s="30">
        <v>0</v>
      </c>
      <c r="AR1598" s="50">
        <v>0.110069253262963</v>
      </c>
      <c r="AS1598" s="34">
        <v>0</v>
      </c>
      <c r="AT1598" s="34">
        <v>0</v>
      </c>
      <c r="AU1598" s="34">
        <v>0.133333333333333</v>
      </c>
      <c r="AV1598" s="34">
        <v>7.4766355140186896E-2</v>
      </c>
      <c r="AW1598" s="10"/>
      <c r="AX1598" s="8"/>
    </row>
    <row r="1599" spans="1:50">
      <c r="A1599" s="7"/>
      <c r="B1599" s="10"/>
      <c r="C1599" s="45" t="s">
        <v>1468</v>
      </c>
      <c r="D1599" s="23" t="s">
        <v>27</v>
      </c>
      <c r="E1599" s="61" t="s">
        <v>1643</v>
      </c>
      <c r="F1599" s="61" t="s">
        <v>1643</v>
      </c>
      <c r="G1599" s="61" t="s">
        <v>1643</v>
      </c>
      <c r="H1599" s="61" t="s">
        <v>1643</v>
      </c>
      <c r="I1599" s="25">
        <v>0.9</v>
      </c>
      <c r="J1599" s="26">
        <v>0</v>
      </c>
      <c r="K1599" s="26">
        <v>0</v>
      </c>
      <c r="L1599" s="27">
        <v>0</v>
      </c>
      <c r="M1599" s="26">
        <v>0</v>
      </c>
      <c r="N1599" s="28">
        <v>0.9</v>
      </c>
      <c r="O1599" s="26">
        <v>0</v>
      </c>
      <c r="P1599" s="26">
        <v>0</v>
      </c>
      <c r="Q1599" s="26">
        <v>0</v>
      </c>
      <c r="R1599" s="26">
        <v>0</v>
      </c>
      <c r="S1599" s="28">
        <v>0.9</v>
      </c>
      <c r="T1599" s="26">
        <v>0</v>
      </c>
      <c r="U1599" s="26">
        <v>0</v>
      </c>
      <c r="V1599" s="26">
        <v>0</v>
      </c>
      <c r="W1599" s="26">
        <v>0</v>
      </c>
      <c r="X1599" s="28">
        <v>0.92</v>
      </c>
      <c r="Y1599" s="28">
        <v>0</v>
      </c>
      <c r="Z1599" s="28">
        <v>0</v>
      </c>
      <c r="AA1599" s="28">
        <v>0</v>
      </c>
      <c r="AB1599" s="28">
        <v>0</v>
      </c>
      <c r="AC1599" s="28">
        <v>0.92</v>
      </c>
      <c r="AD1599" s="26">
        <v>1</v>
      </c>
      <c r="AE1599" s="26">
        <v>1</v>
      </c>
      <c r="AF1599" s="26">
        <v>0.37344398340249002</v>
      </c>
      <c r="AG1599" s="26">
        <v>0.81960104076322604</v>
      </c>
      <c r="AH1599" s="28">
        <v>0.92</v>
      </c>
      <c r="AI1599" s="26">
        <v>0</v>
      </c>
      <c r="AJ1599" s="26">
        <v>0</v>
      </c>
      <c r="AK1599" s="26">
        <v>0</v>
      </c>
      <c r="AL1599" s="26">
        <v>0</v>
      </c>
      <c r="AM1599" s="25">
        <v>0.99</v>
      </c>
      <c r="AN1599" s="30">
        <v>1</v>
      </c>
      <c r="AO1599" s="30">
        <v>1</v>
      </c>
      <c r="AP1599" s="30">
        <v>1</v>
      </c>
      <c r="AQ1599" s="30">
        <v>1</v>
      </c>
      <c r="AR1599" s="50">
        <v>0.110069253262963</v>
      </c>
      <c r="AS1599" s="34">
        <v>0</v>
      </c>
      <c r="AT1599" s="34">
        <v>0</v>
      </c>
      <c r="AU1599" s="34">
        <v>0</v>
      </c>
      <c r="AV1599" s="34">
        <v>0</v>
      </c>
      <c r="AW1599" s="10"/>
      <c r="AX1599" s="8"/>
    </row>
    <row r="1600" spans="1:50">
      <c r="A1600" s="7"/>
      <c r="B1600" s="10"/>
      <c r="C1600" s="45" t="s">
        <v>1468</v>
      </c>
      <c r="D1600" s="23" t="s">
        <v>27</v>
      </c>
      <c r="E1600" s="61" t="s">
        <v>1644</v>
      </c>
      <c r="F1600" s="61" t="s">
        <v>1644</v>
      </c>
      <c r="G1600" s="61" t="s">
        <v>1644</v>
      </c>
      <c r="H1600" s="61" t="s">
        <v>1644</v>
      </c>
      <c r="I1600" s="25">
        <v>0.9</v>
      </c>
      <c r="J1600" s="26">
        <v>0</v>
      </c>
      <c r="K1600" s="26">
        <v>0</v>
      </c>
      <c r="L1600" s="27">
        <v>0</v>
      </c>
      <c r="M1600" s="26">
        <v>0</v>
      </c>
      <c r="N1600" s="28">
        <v>0.9</v>
      </c>
      <c r="O1600" s="26">
        <v>0</v>
      </c>
      <c r="P1600" s="26">
        <v>0</v>
      </c>
      <c r="Q1600" s="26">
        <v>0</v>
      </c>
      <c r="R1600" s="26">
        <v>0</v>
      </c>
      <c r="S1600" s="28">
        <v>0.9</v>
      </c>
      <c r="T1600" s="26">
        <v>0</v>
      </c>
      <c r="U1600" s="26">
        <v>0</v>
      </c>
      <c r="V1600" s="26">
        <v>0</v>
      </c>
      <c r="W1600" s="26">
        <v>0</v>
      </c>
      <c r="X1600" s="28">
        <v>0.92</v>
      </c>
      <c r="Y1600" s="28">
        <v>0</v>
      </c>
      <c r="Z1600" s="28">
        <v>0</v>
      </c>
      <c r="AA1600" s="28">
        <v>0</v>
      </c>
      <c r="AB1600" s="28">
        <v>0</v>
      </c>
      <c r="AC1600" s="28">
        <v>0.92</v>
      </c>
      <c r="AD1600" s="26">
        <v>1</v>
      </c>
      <c r="AE1600" s="26">
        <v>1</v>
      </c>
      <c r="AF1600" s="26">
        <v>0.88571428571428601</v>
      </c>
      <c r="AG1600" s="26">
        <v>0.95980707395498399</v>
      </c>
      <c r="AH1600" s="28">
        <v>0.92</v>
      </c>
      <c r="AI1600" s="26">
        <v>0</v>
      </c>
      <c r="AJ1600" s="26">
        <v>0</v>
      </c>
      <c r="AK1600" s="26">
        <v>0</v>
      </c>
      <c r="AL1600" s="26">
        <v>0.5</v>
      </c>
      <c r="AM1600" s="25">
        <v>0.99</v>
      </c>
      <c r="AN1600" s="30">
        <v>1</v>
      </c>
      <c r="AO1600" s="30">
        <v>1</v>
      </c>
      <c r="AP1600" s="30">
        <v>1</v>
      </c>
      <c r="AQ1600" s="30">
        <v>1</v>
      </c>
      <c r="AR1600" s="50">
        <v>0.110069253262963</v>
      </c>
      <c r="AS1600" s="34">
        <v>0</v>
      </c>
      <c r="AT1600" s="34">
        <v>0</v>
      </c>
      <c r="AU1600" s="34">
        <v>0</v>
      </c>
      <c r="AV1600" s="34">
        <v>0</v>
      </c>
      <c r="AW1600" s="10"/>
      <c r="AX1600" s="8"/>
    </row>
    <row r="1601" spans="1:50">
      <c r="A1601" s="7"/>
      <c r="B1601" s="10"/>
      <c r="C1601" s="45" t="s">
        <v>1468</v>
      </c>
      <c r="D1601" s="23" t="s">
        <v>27</v>
      </c>
      <c r="E1601" s="61" t="s">
        <v>1645</v>
      </c>
      <c r="F1601" s="61" t="s">
        <v>1645</v>
      </c>
      <c r="G1601" s="61" t="s">
        <v>1645</v>
      </c>
      <c r="H1601" s="61" t="s">
        <v>1645</v>
      </c>
      <c r="I1601" s="25">
        <v>0.9</v>
      </c>
      <c r="J1601" s="26">
        <v>0</v>
      </c>
      <c r="K1601" s="26">
        <v>0</v>
      </c>
      <c r="L1601" s="27">
        <v>0</v>
      </c>
      <c r="M1601" s="26">
        <v>0</v>
      </c>
      <c r="N1601" s="28">
        <v>0.9</v>
      </c>
      <c r="O1601" s="26">
        <v>0</v>
      </c>
      <c r="P1601" s="26">
        <v>0</v>
      </c>
      <c r="Q1601" s="26">
        <v>0</v>
      </c>
      <c r="R1601" s="26">
        <v>0</v>
      </c>
      <c r="S1601" s="28">
        <v>0.9</v>
      </c>
      <c r="T1601" s="26">
        <v>0</v>
      </c>
      <c r="U1601" s="26">
        <v>0</v>
      </c>
      <c r="V1601" s="26">
        <v>0</v>
      </c>
      <c r="W1601" s="26">
        <v>0</v>
      </c>
      <c r="X1601" s="28">
        <v>0.92</v>
      </c>
      <c r="Y1601" s="28">
        <v>0</v>
      </c>
      <c r="Z1601" s="28">
        <v>0</v>
      </c>
      <c r="AA1601" s="28">
        <v>0</v>
      </c>
      <c r="AB1601" s="28">
        <v>0</v>
      </c>
      <c r="AC1601" s="28">
        <v>0.92</v>
      </c>
      <c r="AD1601" s="26">
        <v>0.977168949771689</v>
      </c>
      <c r="AE1601" s="26">
        <v>0.99356913183279705</v>
      </c>
      <c r="AF1601" s="26">
        <v>0.87162162162162204</v>
      </c>
      <c r="AG1601" s="26">
        <v>0.96769759450171799</v>
      </c>
      <c r="AH1601" s="28">
        <v>0.92</v>
      </c>
      <c r="AI1601" s="26">
        <v>0</v>
      </c>
      <c r="AJ1601" s="26">
        <v>0</v>
      </c>
      <c r="AK1601" s="26">
        <v>0</v>
      </c>
      <c r="AL1601" s="26">
        <v>0</v>
      </c>
      <c r="AM1601" s="25">
        <v>0.99</v>
      </c>
      <c r="AN1601" s="30">
        <v>1</v>
      </c>
      <c r="AO1601" s="30">
        <v>1</v>
      </c>
      <c r="AP1601" s="30">
        <v>1</v>
      </c>
      <c r="AQ1601" s="30">
        <v>1</v>
      </c>
      <c r="AR1601" s="50">
        <v>0.110069253262963</v>
      </c>
      <c r="AS1601" s="34">
        <v>0</v>
      </c>
      <c r="AT1601" s="34">
        <v>0</v>
      </c>
      <c r="AU1601" s="34">
        <v>0</v>
      </c>
      <c r="AV1601" s="34">
        <v>0</v>
      </c>
      <c r="AW1601" s="10"/>
      <c r="AX1601" s="8"/>
    </row>
    <row r="1602" spans="1:50">
      <c r="A1602" s="7"/>
      <c r="B1602" s="10"/>
      <c r="C1602" s="45" t="s">
        <v>1468</v>
      </c>
      <c r="D1602" s="23" t="s">
        <v>27</v>
      </c>
      <c r="E1602" s="61" t="s">
        <v>1646</v>
      </c>
      <c r="F1602" s="61" t="s">
        <v>1646</v>
      </c>
      <c r="G1602" s="61" t="s">
        <v>1646</v>
      </c>
      <c r="H1602" s="61" t="s">
        <v>1646</v>
      </c>
      <c r="I1602" s="25">
        <v>0.9</v>
      </c>
      <c r="J1602" s="26">
        <v>0</v>
      </c>
      <c r="K1602" s="26">
        <v>0</v>
      </c>
      <c r="L1602" s="27">
        <v>0</v>
      </c>
      <c r="M1602" s="26">
        <v>0</v>
      </c>
      <c r="N1602" s="28">
        <v>0.9</v>
      </c>
      <c r="O1602" s="26">
        <v>0</v>
      </c>
      <c r="P1602" s="26">
        <v>0</v>
      </c>
      <c r="Q1602" s="26">
        <v>0</v>
      </c>
      <c r="R1602" s="26">
        <v>0</v>
      </c>
      <c r="S1602" s="28">
        <v>0.9</v>
      </c>
      <c r="T1602" s="26">
        <v>0</v>
      </c>
      <c r="U1602" s="26">
        <v>0</v>
      </c>
      <c r="V1602" s="26">
        <v>1</v>
      </c>
      <c r="W1602" s="26">
        <v>1</v>
      </c>
      <c r="X1602" s="28">
        <v>0.92</v>
      </c>
      <c r="Y1602" s="28">
        <v>0</v>
      </c>
      <c r="Z1602" s="28">
        <v>0</v>
      </c>
      <c r="AA1602" s="28">
        <v>0</v>
      </c>
      <c r="AB1602" s="28">
        <v>0</v>
      </c>
      <c r="AC1602" s="28">
        <v>0.92</v>
      </c>
      <c r="AD1602" s="26">
        <v>0.99356913183279705</v>
      </c>
      <c r="AE1602" s="26">
        <v>1</v>
      </c>
      <c r="AF1602" s="26">
        <v>0.99843749999999998</v>
      </c>
      <c r="AG1602" s="26">
        <v>0.98754246885617203</v>
      </c>
      <c r="AH1602" s="28">
        <v>0.92</v>
      </c>
      <c r="AI1602" s="26">
        <v>0</v>
      </c>
      <c r="AJ1602" s="26">
        <v>0</v>
      </c>
      <c r="AK1602" s="26">
        <v>1</v>
      </c>
      <c r="AL1602" s="26">
        <v>1</v>
      </c>
      <c r="AM1602" s="25">
        <v>0.99</v>
      </c>
      <c r="AN1602" s="30">
        <v>0</v>
      </c>
      <c r="AO1602" s="30">
        <v>1</v>
      </c>
      <c r="AP1602" s="30">
        <v>0</v>
      </c>
      <c r="AQ1602" s="30">
        <v>1</v>
      </c>
      <c r="AR1602" s="50">
        <v>0.110069253262963</v>
      </c>
      <c r="AS1602" s="34">
        <v>0</v>
      </c>
      <c r="AT1602" s="34">
        <v>0</v>
      </c>
      <c r="AU1602" s="34">
        <v>0</v>
      </c>
      <c r="AV1602" s="34">
        <v>0</v>
      </c>
      <c r="AW1602" s="10"/>
      <c r="AX1602" s="8"/>
    </row>
    <row r="1603" spans="1:50">
      <c r="A1603" s="7"/>
      <c r="B1603" s="10"/>
      <c r="C1603" s="45" t="s">
        <v>1468</v>
      </c>
      <c r="D1603" s="23" t="s">
        <v>27</v>
      </c>
      <c r="E1603" s="61" t="s">
        <v>1647</v>
      </c>
      <c r="F1603" s="61" t="s">
        <v>1647</v>
      </c>
      <c r="G1603" s="61" t="s">
        <v>1647</v>
      </c>
      <c r="H1603" s="61" t="s">
        <v>1647</v>
      </c>
      <c r="I1603" s="25">
        <v>0.9</v>
      </c>
      <c r="J1603" s="26">
        <v>1</v>
      </c>
      <c r="K1603" s="26">
        <v>0.97297297297297303</v>
      </c>
      <c r="L1603" s="27">
        <v>1</v>
      </c>
      <c r="M1603" s="26">
        <v>0.98672566371681403</v>
      </c>
      <c r="N1603" s="28">
        <v>0.9</v>
      </c>
      <c r="O1603" s="26">
        <v>0.991439688715953</v>
      </c>
      <c r="P1603" s="26">
        <v>0.98088766192397503</v>
      </c>
      <c r="Q1603" s="26">
        <v>0.99236334405144699</v>
      </c>
      <c r="R1603" s="26">
        <v>0.97371259099487695</v>
      </c>
      <c r="S1603" s="28">
        <v>0.9</v>
      </c>
      <c r="T1603" s="26">
        <v>0.96446173800259405</v>
      </c>
      <c r="U1603" s="26">
        <v>0.97366744531747695</v>
      </c>
      <c r="V1603" s="26">
        <v>0.97889871382636695</v>
      </c>
      <c r="W1603" s="26">
        <v>0.97273523860878897</v>
      </c>
      <c r="X1603" s="28">
        <v>0.92</v>
      </c>
      <c r="Y1603" s="28">
        <v>0</v>
      </c>
      <c r="Z1603" s="28">
        <v>0.16666666666666699</v>
      </c>
      <c r="AA1603" s="28">
        <v>1</v>
      </c>
      <c r="AB1603" s="28">
        <v>0.25</v>
      </c>
      <c r="AC1603" s="28">
        <v>0.92</v>
      </c>
      <c r="AD1603" s="26">
        <v>1</v>
      </c>
      <c r="AE1603" s="26">
        <v>1</v>
      </c>
      <c r="AF1603" s="26">
        <v>0.77586206896551702</v>
      </c>
      <c r="AG1603" s="26">
        <v>0.95813953488372094</v>
      </c>
      <c r="AH1603" s="28">
        <v>0.92</v>
      </c>
      <c r="AI1603" s="26">
        <v>0.97898832684824899</v>
      </c>
      <c r="AJ1603" s="26">
        <v>0.98706530958439398</v>
      </c>
      <c r="AK1603" s="26">
        <v>0.989754921655283</v>
      </c>
      <c r="AL1603" s="26">
        <v>0.98713718095494696</v>
      </c>
      <c r="AM1603" s="25">
        <v>0.99</v>
      </c>
      <c r="AN1603" s="30">
        <v>1</v>
      </c>
      <c r="AO1603" s="30">
        <v>1</v>
      </c>
      <c r="AP1603" s="30">
        <v>1</v>
      </c>
      <c r="AQ1603" s="30">
        <v>1</v>
      </c>
      <c r="AR1603" s="50">
        <v>0.110069253262963</v>
      </c>
      <c r="AS1603" s="34">
        <v>0</v>
      </c>
      <c r="AT1603" s="34">
        <v>5.2631578947368397E-2</v>
      </c>
      <c r="AU1603" s="34">
        <v>0</v>
      </c>
      <c r="AV1603" s="34">
        <v>5.46875E-2</v>
      </c>
      <c r="AW1603" s="10"/>
      <c r="AX1603" s="8"/>
    </row>
    <row r="1604" spans="1:50">
      <c r="A1604" s="7"/>
      <c r="B1604" s="10"/>
      <c r="C1604" s="45" t="s">
        <v>1468</v>
      </c>
      <c r="D1604" s="23" t="s">
        <v>27</v>
      </c>
      <c r="E1604" s="61" t="s">
        <v>1648</v>
      </c>
      <c r="F1604" s="61" t="s">
        <v>1648</v>
      </c>
      <c r="G1604" s="61" t="s">
        <v>1648</v>
      </c>
      <c r="H1604" s="61" t="s">
        <v>1648</v>
      </c>
      <c r="I1604" s="25">
        <v>0.9</v>
      </c>
      <c r="J1604" s="26">
        <v>0</v>
      </c>
      <c r="K1604" s="26">
        <v>0</v>
      </c>
      <c r="L1604" s="27">
        <v>0</v>
      </c>
      <c r="M1604" s="26">
        <v>0</v>
      </c>
      <c r="N1604" s="28">
        <v>0.9</v>
      </c>
      <c r="O1604" s="26">
        <v>0</v>
      </c>
      <c r="P1604" s="26">
        <v>0</v>
      </c>
      <c r="Q1604" s="26">
        <v>0</v>
      </c>
      <c r="R1604" s="26">
        <v>0</v>
      </c>
      <c r="S1604" s="28">
        <v>0.9</v>
      </c>
      <c r="T1604" s="26">
        <v>0</v>
      </c>
      <c r="U1604" s="26">
        <v>0</v>
      </c>
      <c r="V1604" s="26">
        <v>0</v>
      </c>
      <c r="W1604" s="26">
        <v>0</v>
      </c>
      <c r="X1604" s="28">
        <v>0.92</v>
      </c>
      <c r="Y1604" s="28">
        <v>0</v>
      </c>
      <c r="Z1604" s="28">
        <v>0</v>
      </c>
      <c r="AA1604" s="28">
        <v>0</v>
      </c>
      <c r="AB1604" s="28">
        <v>0</v>
      </c>
      <c r="AC1604" s="28">
        <v>0.92</v>
      </c>
      <c r="AD1604" s="26">
        <v>1</v>
      </c>
      <c r="AE1604" s="26">
        <v>1</v>
      </c>
      <c r="AF1604" s="26">
        <v>1</v>
      </c>
      <c r="AG1604" s="26">
        <v>0.92479999999999996</v>
      </c>
      <c r="AH1604" s="28">
        <v>0.92</v>
      </c>
      <c r="AI1604" s="26">
        <v>0</v>
      </c>
      <c r="AJ1604" s="26">
        <v>0</v>
      </c>
      <c r="AK1604" s="26">
        <v>0</v>
      </c>
      <c r="AL1604" s="26">
        <v>0</v>
      </c>
      <c r="AM1604" s="25">
        <v>0.99</v>
      </c>
      <c r="AN1604" s="30">
        <v>0</v>
      </c>
      <c r="AO1604" s="30">
        <v>0</v>
      </c>
      <c r="AP1604" s="30">
        <v>0</v>
      </c>
      <c r="AQ1604" s="30">
        <v>1</v>
      </c>
      <c r="AR1604" s="50">
        <v>0.110069253262963</v>
      </c>
      <c r="AS1604" s="34">
        <v>0</v>
      </c>
      <c r="AT1604" s="34">
        <v>0</v>
      </c>
      <c r="AU1604" s="34">
        <v>0</v>
      </c>
      <c r="AV1604" s="34">
        <v>0</v>
      </c>
      <c r="AW1604" s="10"/>
      <c r="AX1604" s="8"/>
    </row>
    <row r="1605" spans="1:50">
      <c r="A1605" s="7"/>
      <c r="B1605" s="10"/>
      <c r="C1605" s="45" t="s">
        <v>1468</v>
      </c>
      <c r="D1605" s="23" t="s">
        <v>27</v>
      </c>
      <c r="E1605" s="61" t="s">
        <v>1649</v>
      </c>
      <c r="F1605" s="61" t="s">
        <v>1649</v>
      </c>
      <c r="G1605" s="61" t="s">
        <v>1649</v>
      </c>
      <c r="H1605" s="61" t="s">
        <v>1649</v>
      </c>
      <c r="I1605" s="25">
        <v>0.9</v>
      </c>
      <c r="J1605" s="26">
        <v>1</v>
      </c>
      <c r="K1605" s="26">
        <v>0.93333333333333302</v>
      </c>
      <c r="L1605" s="27">
        <v>0.95744680851063801</v>
      </c>
      <c r="M1605" s="26">
        <v>0.96113074204947002</v>
      </c>
      <c r="N1605" s="28">
        <v>0.9</v>
      </c>
      <c r="O1605" s="26">
        <v>0.98463311563580502</v>
      </c>
      <c r="P1605" s="26">
        <v>0.99293059125964001</v>
      </c>
      <c r="Q1605" s="26">
        <v>0.98277142432793696</v>
      </c>
      <c r="R1605" s="26">
        <v>0.98865251827782297</v>
      </c>
      <c r="S1605" s="28">
        <v>0.9</v>
      </c>
      <c r="T1605" s="26">
        <v>0.739915482135997</v>
      </c>
      <c r="U1605" s="26">
        <v>0.75626606683804598</v>
      </c>
      <c r="V1605" s="26">
        <v>0.78241497103817004</v>
      </c>
      <c r="W1605" s="26">
        <v>0.78701259138911495</v>
      </c>
      <c r="X1605" s="28">
        <v>0.92</v>
      </c>
      <c r="Y1605" s="28">
        <v>0</v>
      </c>
      <c r="Z1605" s="28">
        <v>0</v>
      </c>
      <c r="AA1605" s="28">
        <v>0</v>
      </c>
      <c r="AB1605" s="28">
        <v>0</v>
      </c>
      <c r="AC1605" s="28">
        <v>0.92</v>
      </c>
      <c r="AD1605" s="26">
        <v>0.95744680851063801</v>
      </c>
      <c r="AE1605" s="26">
        <v>0.97619047619047605</v>
      </c>
      <c r="AF1605" s="26">
        <v>1</v>
      </c>
      <c r="AG1605" s="26">
        <v>0.96370967741935498</v>
      </c>
      <c r="AH1605" s="28">
        <v>0.92</v>
      </c>
      <c r="AI1605" s="26">
        <v>0.89302861532552302</v>
      </c>
      <c r="AJ1605" s="26">
        <v>0.88706827309236902</v>
      </c>
      <c r="AK1605" s="26">
        <v>0.91685226429101696</v>
      </c>
      <c r="AL1605" s="26">
        <v>0.90977596224595902</v>
      </c>
      <c r="AM1605" s="25">
        <v>0.99</v>
      </c>
      <c r="AN1605" s="30">
        <v>0</v>
      </c>
      <c r="AO1605" s="30">
        <v>1</v>
      </c>
      <c r="AP1605" s="30">
        <v>0</v>
      </c>
      <c r="AQ1605" s="30">
        <v>1</v>
      </c>
      <c r="AR1605" s="50">
        <v>0.110069253262963</v>
      </c>
      <c r="AS1605" s="34">
        <v>0.146341463414634</v>
      </c>
      <c r="AT1605" s="34">
        <v>6.3829787234042507E-2</v>
      </c>
      <c r="AU1605" s="34">
        <v>1.9607843137254902E-2</v>
      </c>
      <c r="AV1605" s="34">
        <v>6.4516129032258104E-2</v>
      </c>
      <c r="AW1605" s="10"/>
      <c r="AX1605" s="8"/>
    </row>
    <row r="1606" spans="1:50">
      <c r="A1606" s="7"/>
      <c r="B1606" s="10"/>
      <c r="C1606" s="45" t="s">
        <v>1468</v>
      </c>
      <c r="D1606" s="23" t="s">
        <v>27</v>
      </c>
      <c r="E1606" s="61" t="s">
        <v>1650</v>
      </c>
      <c r="F1606" s="61" t="s">
        <v>1650</v>
      </c>
      <c r="G1606" s="61" t="s">
        <v>1650</v>
      </c>
      <c r="H1606" s="61" t="s">
        <v>1650</v>
      </c>
      <c r="I1606" s="25">
        <v>0.9</v>
      </c>
      <c r="J1606" s="26">
        <v>0.83333333333333304</v>
      </c>
      <c r="K1606" s="26">
        <v>0.96875</v>
      </c>
      <c r="L1606" s="27">
        <v>0.91428571428571404</v>
      </c>
      <c r="M1606" s="26">
        <v>0.904522613065327</v>
      </c>
      <c r="N1606" s="28">
        <v>0.9</v>
      </c>
      <c r="O1606" s="26">
        <v>0.98690889660699999</v>
      </c>
      <c r="P1606" s="26">
        <v>0.98817567567567599</v>
      </c>
      <c r="Q1606" s="26">
        <v>0.98299522673031003</v>
      </c>
      <c r="R1606" s="26">
        <v>0.973701250186781</v>
      </c>
      <c r="S1606" s="28">
        <v>0.9</v>
      </c>
      <c r="T1606" s="26">
        <v>0.65375367352391101</v>
      </c>
      <c r="U1606" s="26">
        <v>0.40743243243243199</v>
      </c>
      <c r="V1606" s="26">
        <v>0.33144391408114598</v>
      </c>
      <c r="W1606" s="26">
        <v>0.42441599840613597</v>
      </c>
      <c r="X1606" s="28">
        <v>0.92</v>
      </c>
      <c r="Y1606" s="28">
        <v>0.82829827915870002</v>
      </c>
      <c r="Z1606" s="28">
        <v>0.841565105837075</v>
      </c>
      <c r="AA1606" s="28">
        <v>0.87089552238806001</v>
      </c>
      <c r="AB1606" s="28">
        <v>0.83325308939175102</v>
      </c>
      <c r="AC1606" s="28">
        <v>0.92</v>
      </c>
      <c r="AD1606" s="26">
        <v>0.9</v>
      </c>
      <c r="AE1606" s="26">
        <v>1</v>
      </c>
      <c r="AF1606" s="26">
        <v>1</v>
      </c>
      <c r="AG1606" s="26">
        <v>0.97419354838709704</v>
      </c>
      <c r="AH1606" s="28">
        <v>0.92</v>
      </c>
      <c r="AI1606" s="26">
        <v>0.879836426549229</v>
      </c>
      <c r="AJ1606" s="26">
        <v>0.88984737889847398</v>
      </c>
      <c r="AK1606" s="26">
        <v>0.90622335890878103</v>
      </c>
      <c r="AL1606" s="26">
        <v>0.87453534453626602</v>
      </c>
      <c r="AM1606" s="25">
        <v>0.99</v>
      </c>
      <c r="AN1606" s="30">
        <v>1</v>
      </c>
      <c r="AO1606" s="30">
        <v>0</v>
      </c>
      <c r="AP1606" s="30">
        <v>0</v>
      </c>
      <c r="AQ1606" s="30">
        <v>1</v>
      </c>
      <c r="AR1606" s="50">
        <v>0.110069253262963</v>
      </c>
      <c r="AS1606" s="34">
        <v>7.1428571428571397E-2</v>
      </c>
      <c r="AT1606" s="34">
        <v>5.8823529411764698E-2</v>
      </c>
      <c r="AU1606" s="34">
        <v>0.16666666666666699</v>
      </c>
      <c r="AV1606" s="34">
        <v>8.3333333333333301E-2</v>
      </c>
      <c r="AW1606" s="10"/>
      <c r="AX1606" s="8"/>
    </row>
    <row r="1607" spans="1:50">
      <c r="A1607" s="7"/>
      <c r="B1607" s="10"/>
      <c r="C1607" s="45" t="s">
        <v>1468</v>
      </c>
      <c r="D1607" s="23" t="s">
        <v>27</v>
      </c>
      <c r="E1607" s="61" t="s">
        <v>1651</v>
      </c>
      <c r="F1607" s="61" t="s">
        <v>1651</v>
      </c>
      <c r="G1607" s="61" t="s">
        <v>1651</v>
      </c>
      <c r="H1607" s="61" t="s">
        <v>1651</v>
      </c>
      <c r="I1607" s="25">
        <v>0.9</v>
      </c>
      <c r="J1607" s="26">
        <v>0</v>
      </c>
      <c r="K1607" s="26">
        <v>0</v>
      </c>
      <c r="L1607" s="27">
        <v>0</v>
      </c>
      <c r="M1607" s="26">
        <v>0</v>
      </c>
      <c r="N1607" s="28">
        <v>0.9</v>
      </c>
      <c r="O1607" s="26">
        <v>0</v>
      </c>
      <c r="P1607" s="26">
        <v>0</v>
      </c>
      <c r="Q1607" s="26">
        <v>0</v>
      </c>
      <c r="R1607" s="26">
        <v>0</v>
      </c>
      <c r="S1607" s="28">
        <v>0.9</v>
      </c>
      <c r="T1607" s="26">
        <v>0</v>
      </c>
      <c r="U1607" s="26">
        <v>0</v>
      </c>
      <c r="V1607" s="26">
        <v>0</v>
      </c>
      <c r="W1607" s="26">
        <v>0</v>
      </c>
      <c r="X1607" s="28">
        <v>0.92</v>
      </c>
      <c r="Y1607" s="28">
        <v>0</v>
      </c>
      <c r="Z1607" s="28">
        <v>0</v>
      </c>
      <c r="AA1607" s="28">
        <v>0</v>
      </c>
      <c r="AB1607" s="28">
        <v>0</v>
      </c>
      <c r="AC1607" s="28">
        <v>0.92</v>
      </c>
      <c r="AD1607" s="26">
        <v>0.90579710144927505</v>
      </c>
      <c r="AE1607" s="26">
        <v>0.9375</v>
      </c>
      <c r="AF1607" s="26">
        <v>1</v>
      </c>
      <c r="AG1607" s="26">
        <v>0.97466666666666701</v>
      </c>
      <c r="AH1607" s="28">
        <v>0.92</v>
      </c>
      <c r="AI1607" s="26">
        <v>0</v>
      </c>
      <c r="AJ1607" s="26">
        <v>0</v>
      </c>
      <c r="AK1607" s="26">
        <v>0</v>
      </c>
      <c r="AL1607" s="26">
        <v>0</v>
      </c>
      <c r="AM1607" s="25">
        <v>0.99</v>
      </c>
      <c r="AN1607" s="30">
        <v>1</v>
      </c>
      <c r="AO1607" s="30">
        <v>1</v>
      </c>
      <c r="AP1607" s="30">
        <v>1</v>
      </c>
      <c r="AQ1607" s="30">
        <v>1</v>
      </c>
      <c r="AR1607" s="50">
        <v>0.110069253262963</v>
      </c>
      <c r="AS1607" s="34">
        <v>0</v>
      </c>
      <c r="AT1607" s="34">
        <v>0</v>
      </c>
      <c r="AU1607" s="34">
        <v>0</v>
      </c>
      <c r="AV1607" s="34">
        <v>0</v>
      </c>
      <c r="AW1607" s="10"/>
      <c r="AX1607" s="8"/>
    </row>
    <row r="1608" spans="1:50">
      <c r="A1608" s="7"/>
      <c r="B1608" s="10"/>
      <c r="C1608" s="45" t="s">
        <v>1468</v>
      </c>
      <c r="D1608" s="23" t="s">
        <v>27</v>
      </c>
      <c r="E1608" s="61" t="s">
        <v>1652</v>
      </c>
      <c r="F1608" s="61" t="s">
        <v>1652</v>
      </c>
      <c r="G1608" s="61" t="s">
        <v>1652</v>
      </c>
      <c r="H1608" s="61" t="s">
        <v>1652</v>
      </c>
      <c r="I1608" s="25">
        <v>0.9</v>
      </c>
      <c r="J1608" s="26">
        <v>0</v>
      </c>
      <c r="K1608" s="26">
        <v>0</v>
      </c>
      <c r="L1608" s="27">
        <v>0</v>
      </c>
      <c r="M1608" s="26">
        <v>0</v>
      </c>
      <c r="N1608" s="28">
        <v>0.9</v>
      </c>
      <c r="O1608" s="26">
        <v>0</v>
      </c>
      <c r="P1608" s="26">
        <v>0</v>
      </c>
      <c r="Q1608" s="26">
        <v>0</v>
      </c>
      <c r="R1608" s="26">
        <v>0</v>
      </c>
      <c r="S1608" s="28">
        <v>0.9</v>
      </c>
      <c r="T1608" s="26">
        <v>0</v>
      </c>
      <c r="U1608" s="26">
        <v>0</v>
      </c>
      <c r="V1608" s="26">
        <v>0</v>
      </c>
      <c r="W1608" s="26">
        <v>0</v>
      </c>
      <c r="X1608" s="28">
        <v>0.92</v>
      </c>
      <c r="Y1608" s="28">
        <v>0</v>
      </c>
      <c r="Z1608" s="28">
        <v>0</v>
      </c>
      <c r="AA1608" s="28">
        <v>0</v>
      </c>
      <c r="AB1608" s="28">
        <v>0</v>
      </c>
      <c r="AC1608" s="28">
        <v>0.92</v>
      </c>
      <c r="AD1608" s="26">
        <v>0.93567251461988299</v>
      </c>
      <c r="AE1608" s="26">
        <v>0.91608391608391604</v>
      </c>
      <c r="AF1608" s="26">
        <v>0.64970059880239495</v>
      </c>
      <c r="AG1608" s="26">
        <v>0.87029995775242897</v>
      </c>
      <c r="AH1608" s="28">
        <v>0.92</v>
      </c>
      <c r="AI1608" s="26">
        <v>0</v>
      </c>
      <c r="AJ1608" s="26">
        <v>0</v>
      </c>
      <c r="AK1608" s="26">
        <v>0</v>
      </c>
      <c r="AL1608" s="26">
        <v>0</v>
      </c>
      <c r="AM1608" s="25">
        <v>0.99</v>
      </c>
      <c r="AN1608" s="30">
        <v>1</v>
      </c>
      <c r="AO1608" s="30">
        <v>1</v>
      </c>
      <c r="AP1608" s="30">
        <v>1</v>
      </c>
      <c r="AQ1608" s="30">
        <v>1</v>
      </c>
      <c r="AR1608" s="50">
        <v>0.110069253262963</v>
      </c>
      <c r="AS1608" s="34">
        <v>0</v>
      </c>
      <c r="AT1608" s="34">
        <v>0</v>
      </c>
      <c r="AU1608" s="34">
        <v>0</v>
      </c>
      <c r="AV1608" s="34">
        <v>0</v>
      </c>
      <c r="AW1608" s="10"/>
      <c r="AX1608" s="8"/>
    </row>
    <row r="1609" spans="1:50">
      <c r="A1609" s="7"/>
      <c r="B1609" s="10"/>
      <c r="C1609" s="45" t="s">
        <v>1468</v>
      </c>
      <c r="D1609" s="23" t="s">
        <v>27</v>
      </c>
      <c r="E1609" s="61" t="s">
        <v>1653</v>
      </c>
      <c r="F1609" s="61" t="s">
        <v>1653</v>
      </c>
      <c r="G1609" s="61" t="s">
        <v>1653</v>
      </c>
      <c r="H1609" s="61" t="s">
        <v>1653</v>
      </c>
      <c r="I1609" s="25">
        <v>0.9</v>
      </c>
      <c r="J1609" s="26">
        <v>0.98113207547169801</v>
      </c>
      <c r="K1609" s="26">
        <v>0.97959183673469397</v>
      </c>
      <c r="L1609" s="27">
        <v>1</v>
      </c>
      <c r="M1609" s="26">
        <v>0.986206896551724</v>
      </c>
      <c r="N1609" s="28">
        <v>0.9</v>
      </c>
      <c r="O1609" s="26">
        <v>0.93657289002557498</v>
      </c>
      <c r="P1609" s="26">
        <v>0.96344086021505404</v>
      </c>
      <c r="Q1609" s="26">
        <v>0.949048152295633</v>
      </c>
      <c r="R1609" s="26">
        <v>0.94788338658146998</v>
      </c>
      <c r="S1609" s="28">
        <v>0.9</v>
      </c>
      <c r="T1609" s="26">
        <v>0.89616368286445003</v>
      </c>
      <c r="U1609" s="26">
        <v>0.84086021505376296</v>
      </c>
      <c r="V1609" s="26">
        <v>0.79003359462486</v>
      </c>
      <c r="W1609" s="26">
        <v>0.82058706070287502</v>
      </c>
      <c r="X1609" s="28">
        <v>0.92</v>
      </c>
      <c r="Y1609" s="28">
        <v>0.95165394402035597</v>
      </c>
      <c r="Z1609" s="28">
        <v>0.91246431969552799</v>
      </c>
      <c r="AA1609" s="28">
        <v>0.95858708891595601</v>
      </c>
      <c r="AB1609" s="28">
        <v>0.92963059313215402</v>
      </c>
      <c r="AC1609" s="28">
        <v>0.92</v>
      </c>
      <c r="AD1609" s="26">
        <v>0.98837209302325602</v>
      </c>
      <c r="AE1609" s="26">
        <v>0.99333333333333296</v>
      </c>
      <c r="AF1609" s="26">
        <v>1</v>
      </c>
      <c r="AG1609" s="26">
        <v>0.99471830985915499</v>
      </c>
      <c r="AH1609" s="28">
        <v>0.92</v>
      </c>
      <c r="AI1609" s="26">
        <v>0.96030620924298304</v>
      </c>
      <c r="AJ1609" s="26">
        <v>0.94281045751633996</v>
      </c>
      <c r="AK1609" s="26">
        <v>0.95174262734584403</v>
      </c>
      <c r="AL1609" s="26">
        <v>0.94634999435856904</v>
      </c>
      <c r="AM1609" s="25">
        <v>0.99</v>
      </c>
      <c r="AN1609" s="30">
        <v>1</v>
      </c>
      <c r="AO1609" s="30">
        <v>0</v>
      </c>
      <c r="AP1609" s="30">
        <v>1</v>
      </c>
      <c r="AQ1609" s="30">
        <v>1</v>
      </c>
      <c r="AR1609" s="50">
        <v>0.110069253262963</v>
      </c>
      <c r="AS1609" s="34">
        <v>0</v>
      </c>
      <c r="AT1609" s="34">
        <v>6.25E-2</v>
      </c>
      <c r="AU1609" s="34">
        <v>0.16666666666666699</v>
      </c>
      <c r="AV1609" s="34">
        <v>5.7142857142857099E-2</v>
      </c>
      <c r="AW1609" s="10"/>
      <c r="AX1609" s="8"/>
    </row>
    <row r="1610" spans="1:50">
      <c r="A1610" s="7"/>
      <c r="B1610" s="10"/>
      <c r="C1610" s="45" t="s">
        <v>1468</v>
      </c>
      <c r="D1610" s="23" t="s">
        <v>27</v>
      </c>
      <c r="E1610" s="61" t="s">
        <v>1654</v>
      </c>
      <c r="F1610" s="61" t="s">
        <v>1654</v>
      </c>
      <c r="G1610" s="61" t="s">
        <v>1654</v>
      </c>
      <c r="H1610" s="61" t="s">
        <v>1654</v>
      </c>
      <c r="I1610" s="25">
        <v>0.9</v>
      </c>
      <c r="J1610" s="26">
        <v>0</v>
      </c>
      <c r="K1610" s="26">
        <v>0</v>
      </c>
      <c r="L1610" s="27">
        <v>0</v>
      </c>
      <c r="M1610" s="26">
        <v>0</v>
      </c>
      <c r="N1610" s="28">
        <v>0.9</v>
      </c>
      <c r="O1610" s="26">
        <v>0</v>
      </c>
      <c r="P1610" s="26">
        <v>0</v>
      </c>
      <c r="Q1610" s="26">
        <v>0</v>
      </c>
      <c r="R1610" s="26">
        <v>0</v>
      </c>
      <c r="S1610" s="28">
        <v>0.9</v>
      </c>
      <c r="T1610" s="26">
        <v>0</v>
      </c>
      <c r="U1610" s="26">
        <v>1</v>
      </c>
      <c r="V1610" s="26">
        <v>0</v>
      </c>
      <c r="W1610" s="26">
        <v>0.5</v>
      </c>
      <c r="X1610" s="28">
        <v>0.92</v>
      </c>
      <c r="Y1610" s="28">
        <v>0</v>
      </c>
      <c r="Z1610" s="28">
        <v>0</v>
      </c>
      <c r="AA1610" s="28">
        <v>0</v>
      </c>
      <c r="AB1610" s="28">
        <v>0</v>
      </c>
      <c r="AC1610" s="28">
        <v>0.92</v>
      </c>
      <c r="AD1610" s="26">
        <v>0.94577553593946995</v>
      </c>
      <c r="AE1610" s="26">
        <v>0.95161290322580605</v>
      </c>
      <c r="AF1610" s="26">
        <v>0.99853372434017595</v>
      </c>
      <c r="AG1610" s="26">
        <v>0.98016336056009301</v>
      </c>
      <c r="AH1610" s="28">
        <v>0.92</v>
      </c>
      <c r="AI1610" s="26">
        <v>0.5</v>
      </c>
      <c r="AJ1610" s="26">
        <v>1</v>
      </c>
      <c r="AK1610" s="26">
        <v>0</v>
      </c>
      <c r="AL1610" s="26">
        <v>0.77777777777777801</v>
      </c>
      <c r="AM1610" s="25">
        <v>0.99</v>
      </c>
      <c r="AN1610" s="30">
        <v>1</v>
      </c>
      <c r="AO1610" s="30">
        <v>1</v>
      </c>
      <c r="AP1610" s="30">
        <v>1</v>
      </c>
      <c r="AQ1610" s="30">
        <v>1</v>
      </c>
      <c r="AR1610" s="50">
        <v>0.110069253262963</v>
      </c>
      <c r="AS1610" s="34">
        <v>0</v>
      </c>
      <c r="AT1610" s="34">
        <v>0</v>
      </c>
      <c r="AU1610" s="34">
        <v>0</v>
      </c>
      <c r="AV1610" s="34">
        <v>0</v>
      </c>
      <c r="AW1610" s="10"/>
      <c r="AX1610" s="8"/>
    </row>
    <row r="1611" spans="1:50">
      <c r="A1611" s="7"/>
      <c r="B1611" s="10"/>
      <c r="C1611" s="45" t="s">
        <v>1468</v>
      </c>
      <c r="D1611" s="23" t="s">
        <v>27</v>
      </c>
      <c r="E1611" s="61" t="s">
        <v>1655</v>
      </c>
      <c r="F1611" s="61" t="s">
        <v>1655</v>
      </c>
      <c r="G1611" s="61" t="s">
        <v>1655</v>
      </c>
      <c r="H1611" s="61" t="s">
        <v>1655</v>
      </c>
      <c r="I1611" s="25">
        <v>0.9</v>
      </c>
      <c r="J1611" s="26">
        <v>0</v>
      </c>
      <c r="K1611" s="26">
        <v>0</v>
      </c>
      <c r="L1611" s="27">
        <v>0</v>
      </c>
      <c r="M1611" s="26">
        <v>0</v>
      </c>
      <c r="N1611" s="28">
        <v>0.9</v>
      </c>
      <c r="O1611" s="26">
        <v>0</v>
      </c>
      <c r="P1611" s="26">
        <v>0</v>
      </c>
      <c r="Q1611" s="26">
        <v>0</v>
      </c>
      <c r="R1611" s="26">
        <v>0</v>
      </c>
      <c r="S1611" s="28">
        <v>0.9</v>
      </c>
      <c r="T1611" s="26">
        <v>0</v>
      </c>
      <c r="U1611" s="26">
        <v>0</v>
      </c>
      <c r="V1611" s="26">
        <v>0</v>
      </c>
      <c r="W1611" s="26">
        <v>0</v>
      </c>
      <c r="X1611" s="28">
        <v>0.92</v>
      </c>
      <c r="Y1611" s="28">
        <v>0</v>
      </c>
      <c r="Z1611" s="28">
        <v>0</v>
      </c>
      <c r="AA1611" s="28">
        <v>0</v>
      </c>
      <c r="AB1611" s="28">
        <v>0</v>
      </c>
      <c r="AC1611" s="28">
        <v>0.92</v>
      </c>
      <c r="AD1611" s="26">
        <v>0.85551330798479097</v>
      </c>
      <c r="AE1611" s="26">
        <v>0.77777777777777801</v>
      </c>
      <c r="AF1611" s="26">
        <v>0.96176470588235297</v>
      </c>
      <c r="AG1611" s="26">
        <v>0.91012658227848098</v>
      </c>
      <c r="AH1611" s="28">
        <v>0.92</v>
      </c>
      <c r="AI1611" s="26">
        <v>0</v>
      </c>
      <c r="AJ1611" s="26">
        <v>0</v>
      </c>
      <c r="AK1611" s="26">
        <v>0</v>
      </c>
      <c r="AL1611" s="26">
        <v>0</v>
      </c>
      <c r="AM1611" s="25">
        <v>0.99</v>
      </c>
      <c r="AN1611" s="30">
        <v>1</v>
      </c>
      <c r="AO1611" s="30">
        <v>1</v>
      </c>
      <c r="AP1611" s="30">
        <v>0</v>
      </c>
      <c r="AQ1611" s="30">
        <v>1</v>
      </c>
      <c r="AR1611" s="50">
        <v>0.110069253262963</v>
      </c>
      <c r="AS1611" s="34">
        <v>0</v>
      </c>
      <c r="AT1611" s="34">
        <v>0</v>
      </c>
      <c r="AU1611" s="34">
        <v>0</v>
      </c>
      <c r="AV1611" s="34">
        <v>0</v>
      </c>
      <c r="AW1611" s="10"/>
      <c r="AX1611" s="8"/>
    </row>
    <row r="1612" spans="1:50">
      <c r="A1612" s="7"/>
      <c r="B1612" s="10"/>
      <c r="C1612" s="45" t="s">
        <v>1468</v>
      </c>
      <c r="D1612" s="23" t="s">
        <v>27</v>
      </c>
      <c r="E1612" s="61" t="s">
        <v>1656</v>
      </c>
      <c r="F1612" s="61" t="s">
        <v>1656</v>
      </c>
      <c r="G1612" s="61" t="s">
        <v>1656</v>
      </c>
      <c r="H1612" s="61" t="s">
        <v>1656</v>
      </c>
      <c r="I1612" s="25">
        <v>0.9</v>
      </c>
      <c r="J1612" s="26">
        <v>0</v>
      </c>
      <c r="K1612" s="26">
        <v>0</v>
      </c>
      <c r="L1612" s="27">
        <v>0</v>
      </c>
      <c r="M1612" s="26">
        <v>0</v>
      </c>
      <c r="N1612" s="28">
        <v>0.9</v>
      </c>
      <c r="O1612" s="26">
        <v>0</v>
      </c>
      <c r="P1612" s="26">
        <v>0</v>
      </c>
      <c r="Q1612" s="26">
        <v>0</v>
      </c>
      <c r="R1612" s="26">
        <v>0</v>
      </c>
      <c r="S1612" s="28">
        <v>0.9</v>
      </c>
      <c r="T1612" s="26">
        <v>0</v>
      </c>
      <c r="U1612" s="26">
        <v>0</v>
      </c>
      <c r="V1612" s="26">
        <v>0</v>
      </c>
      <c r="W1612" s="26">
        <v>0</v>
      </c>
      <c r="X1612" s="28">
        <v>0.92</v>
      </c>
      <c r="Y1612" s="28">
        <v>0</v>
      </c>
      <c r="Z1612" s="28">
        <v>0</v>
      </c>
      <c r="AA1612" s="28">
        <v>0</v>
      </c>
      <c r="AB1612" s="28">
        <v>0</v>
      </c>
      <c r="AC1612" s="28">
        <v>0.92</v>
      </c>
      <c r="AD1612" s="26">
        <v>1</v>
      </c>
      <c r="AE1612" s="26">
        <v>1</v>
      </c>
      <c r="AF1612" s="26">
        <v>0.97945205479452102</v>
      </c>
      <c r="AG1612" s="26">
        <v>0.993855606758833</v>
      </c>
      <c r="AH1612" s="28">
        <v>0.92</v>
      </c>
      <c r="AI1612" s="26">
        <v>0</v>
      </c>
      <c r="AJ1612" s="26">
        <v>0</v>
      </c>
      <c r="AK1612" s="26">
        <v>0</v>
      </c>
      <c r="AL1612" s="26">
        <v>0</v>
      </c>
      <c r="AM1612" s="25">
        <v>0.99</v>
      </c>
      <c r="AN1612" s="30">
        <v>1</v>
      </c>
      <c r="AO1612" s="30">
        <v>0</v>
      </c>
      <c r="AP1612" s="30">
        <v>1</v>
      </c>
      <c r="AQ1612" s="30">
        <v>1</v>
      </c>
      <c r="AR1612" s="50">
        <v>0.110069253262963</v>
      </c>
      <c r="AS1612" s="34">
        <v>0</v>
      </c>
      <c r="AT1612" s="34">
        <v>0</v>
      </c>
      <c r="AU1612" s="34">
        <v>0</v>
      </c>
      <c r="AV1612" s="34">
        <v>0</v>
      </c>
      <c r="AW1612" s="10"/>
      <c r="AX1612" s="8"/>
    </row>
    <row r="1613" spans="1:50">
      <c r="A1613" s="7"/>
      <c r="B1613" s="10"/>
      <c r="C1613" s="45" t="s">
        <v>1468</v>
      </c>
      <c r="D1613" s="23" t="s">
        <v>27</v>
      </c>
      <c r="E1613" s="61" t="s">
        <v>1657</v>
      </c>
      <c r="F1613" s="61" t="s">
        <v>1657</v>
      </c>
      <c r="G1613" s="61" t="s">
        <v>1657</v>
      </c>
      <c r="H1613" s="61" t="s">
        <v>1657</v>
      </c>
      <c r="I1613" s="25">
        <v>0.9</v>
      </c>
      <c r="J1613" s="26">
        <v>0</v>
      </c>
      <c r="K1613" s="26">
        <v>0</v>
      </c>
      <c r="L1613" s="27">
        <v>0</v>
      </c>
      <c r="M1613" s="26">
        <v>0</v>
      </c>
      <c r="N1613" s="28">
        <v>0.9</v>
      </c>
      <c r="O1613" s="26">
        <v>0</v>
      </c>
      <c r="P1613" s="26">
        <v>0</v>
      </c>
      <c r="Q1613" s="26">
        <v>0</v>
      </c>
      <c r="R1613" s="26">
        <v>0</v>
      </c>
      <c r="S1613" s="28">
        <v>0.9</v>
      </c>
      <c r="T1613" s="26">
        <v>0</v>
      </c>
      <c r="U1613" s="26">
        <v>0</v>
      </c>
      <c r="V1613" s="26">
        <v>0</v>
      </c>
      <c r="W1613" s="26">
        <v>1</v>
      </c>
      <c r="X1613" s="28">
        <v>0.92</v>
      </c>
      <c r="Y1613" s="28">
        <v>0</v>
      </c>
      <c r="Z1613" s="28">
        <v>0</v>
      </c>
      <c r="AA1613" s="28">
        <v>0</v>
      </c>
      <c r="AB1613" s="28">
        <v>0</v>
      </c>
      <c r="AC1613" s="28">
        <v>0.92</v>
      </c>
      <c r="AD1613" s="26">
        <v>0.939393939393939</v>
      </c>
      <c r="AE1613" s="26">
        <v>0.90610328638497695</v>
      </c>
      <c r="AF1613" s="26">
        <v>0.83242258652094703</v>
      </c>
      <c r="AG1613" s="26">
        <v>0.923170731707317</v>
      </c>
      <c r="AH1613" s="28">
        <v>0.92</v>
      </c>
      <c r="AI1613" s="26">
        <v>0</v>
      </c>
      <c r="AJ1613" s="26">
        <v>0</v>
      </c>
      <c r="AK1613" s="26">
        <v>0</v>
      </c>
      <c r="AL1613" s="26">
        <v>1</v>
      </c>
      <c r="AM1613" s="25">
        <v>0.99</v>
      </c>
      <c r="AN1613" s="30">
        <v>1</v>
      </c>
      <c r="AO1613" s="30">
        <v>1</v>
      </c>
      <c r="AP1613" s="30">
        <v>1</v>
      </c>
      <c r="AQ1613" s="30">
        <v>1</v>
      </c>
      <c r="AR1613" s="50">
        <v>0.110069253262963</v>
      </c>
      <c r="AS1613" s="34">
        <v>0</v>
      </c>
      <c r="AT1613" s="34">
        <v>0</v>
      </c>
      <c r="AU1613" s="34">
        <v>0</v>
      </c>
      <c r="AV1613" s="34">
        <v>0</v>
      </c>
      <c r="AW1613" s="10"/>
      <c r="AX1613" s="8"/>
    </row>
    <row r="1614" spans="1:50">
      <c r="A1614" s="7"/>
      <c r="B1614" s="10"/>
      <c r="C1614" s="45" t="s">
        <v>1468</v>
      </c>
      <c r="D1614" s="23" t="s">
        <v>27</v>
      </c>
      <c r="E1614" s="61" t="s">
        <v>1658</v>
      </c>
      <c r="F1614" s="61" t="s">
        <v>1658</v>
      </c>
      <c r="G1614" s="61" t="s">
        <v>1658</v>
      </c>
      <c r="H1614" s="61" t="s">
        <v>1658</v>
      </c>
      <c r="I1614" s="25">
        <v>0.9</v>
      </c>
      <c r="J1614" s="26">
        <v>0</v>
      </c>
      <c r="K1614" s="26">
        <v>0</v>
      </c>
      <c r="L1614" s="27">
        <v>0</v>
      </c>
      <c r="M1614" s="26">
        <v>0</v>
      </c>
      <c r="N1614" s="28">
        <v>0.9</v>
      </c>
      <c r="O1614" s="26">
        <v>0</v>
      </c>
      <c r="P1614" s="26">
        <v>0</v>
      </c>
      <c r="Q1614" s="26">
        <v>0</v>
      </c>
      <c r="R1614" s="26">
        <v>0</v>
      </c>
      <c r="S1614" s="28">
        <v>0.9</v>
      </c>
      <c r="T1614" s="26">
        <v>0</v>
      </c>
      <c r="U1614" s="26">
        <v>0</v>
      </c>
      <c r="V1614" s="26">
        <v>0</v>
      </c>
      <c r="W1614" s="26">
        <v>0</v>
      </c>
      <c r="X1614" s="28">
        <v>0.92</v>
      </c>
      <c r="Y1614" s="28">
        <v>0</v>
      </c>
      <c r="Z1614" s="28">
        <v>0</v>
      </c>
      <c r="AA1614" s="28">
        <v>0</v>
      </c>
      <c r="AB1614" s="28">
        <v>0</v>
      </c>
      <c r="AC1614" s="28">
        <v>0.92</v>
      </c>
      <c r="AD1614" s="26">
        <v>0.99829059829059796</v>
      </c>
      <c r="AE1614" s="26">
        <v>1</v>
      </c>
      <c r="AF1614" s="26">
        <v>1</v>
      </c>
      <c r="AG1614" s="26">
        <v>0.69260827092152399</v>
      </c>
      <c r="AH1614" s="28">
        <v>0.92</v>
      </c>
      <c r="AI1614" s="26">
        <v>0</v>
      </c>
      <c r="AJ1614" s="26">
        <v>0</v>
      </c>
      <c r="AK1614" s="26">
        <v>0</v>
      </c>
      <c r="AL1614" s="26">
        <v>0</v>
      </c>
      <c r="AM1614" s="25">
        <v>0.99</v>
      </c>
      <c r="AN1614" s="30">
        <v>1</v>
      </c>
      <c r="AO1614" s="30">
        <v>1</v>
      </c>
      <c r="AP1614" s="30">
        <v>1</v>
      </c>
      <c r="AQ1614" s="30">
        <v>1</v>
      </c>
      <c r="AR1614" s="50">
        <v>0.110069253262963</v>
      </c>
      <c r="AS1614" s="34">
        <v>0</v>
      </c>
      <c r="AT1614" s="34">
        <v>0</v>
      </c>
      <c r="AU1614" s="34">
        <v>0</v>
      </c>
      <c r="AV1614" s="34">
        <v>0</v>
      </c>
      <c r="AW1614" s="10"/>
      <c r="AX1614" s="8"/>
    </row>
    <row r="1615" spans="1:50">
      <c r="A1615" s="7"/>
      <c r="B1615" s="10"/>
      <c r="C1615" s="45" t="s">
        <v>1468</v>
      </c>
      <c r="D1615" s="23" t="s">
        <v>27</v>
      </c>
      <c r="E1615" s="61" t="s">
        <v>1659</v>
      </c>
      <c r="F1615" s="61" t="s">
        <v>1659</v>
      </c>
      <c r="G1615" s="61" t="s">
        <v>1659</v>
      </c>
      <c r="H1615" s="61" t="s">
        <v>1659</v>
      </c>
      <c r="I1615" s="25">
        <v>0.9</v>
      </c>
      <c r="J1615" s="26">
        <v>0</v>
      </c>
      <c r="K1615" s="26">
        <v>0</v>
      </c>
      <c r="L1615" s="27">
        <v>0</v>
      </c>
      <c r="M1615" s="26">
        <v>0</v>
      </c>
      <c r="N1615" s="28">
        <v>0.9</v>
      </c>
      <c r="O1615" s="26">
        <v>0</v>
      </c>
      <c r="P1615" s="26">
        <v>0</v>
      </c>
      <c r="Q1615" s="26">
        <v>0</v>
      </c>
      <c r="R1615" s="26">
        <v>0</v>
      </c>
      <c r="S1615" s="28">
        <v>0.9</v>
      </c>
      <c r="T1615" s="26">
        <v>0</v>
      </c>
      <c r="U1615" s="26">
        <v>0</v>
      </c>
      <c r="V1615" s="26">
        <v>0</v>
      </c>
      <c r="W1615" s="26">
        <v>0</v>
      </c>
      <c r="X1615" s="28">
        <v>0.92</v>
      </c>
      <c r="Y1615" s="28">
        <v>0</v>
      </c>
      <c r="Z1615" s="28">
        <v>0</v>
      </c>
      <c r="AA1615" s="28">
        <v>0</v>
      </c>
      <c r="AB1615" s="28">
        <v>0</v>
      </c>
      <c r="AC1615" s="28">
        <v>0.92</v>
      </c>
      <c r="AD1615" s="26">
        <v>1</v>
      </c>
      <c r="AE1615" s="26">
        <v>0.99595141700404899</v>
      </c>
      <c r="AF1615" s="26">
        <v>1</v>
      </c>
      <c r="AG1615" s="26">
        <v>0.99875466998754703</v>
      </c>
      <c r="AH1615" s="28">
        <v>0.92</v>
      </c>
      <c r="AI1615" s="26">
        <v>0</v>
      </c>
      <c r="AJ1615" s="26">
        <v>0</v>
      </c>
      <c r="AK1615" s="26">
        <v>0</v>
      </c>
      <c r="AL1615" s="26">
        <v>1</v>
      </c>
      <c r="AM1615" s="25">
        <v>0.99</v>
      </c>
      <c r="AN1615" s="30">
        <v>0</v>
      </c>
      <c r="AO1615" s="30">
        <v>1</v>
      </c>
      <c r="AP1615" s="30">
        <v>1</v>
      </c>
      <c r="AQ1615" s="30">
        <v>1</v>
      </c>
      <c r="AR1615" s="50">
        <v>0.110069253262963</v>
      </c>
      <c r="AS1615" s="34">
        <v>0</v>
      </c>
      <c r="AT1615" s="34">
        <v>0</v>
      </c>
      <c r="AU1615" s="34">
        <v>0</v>
      </c>
      <c r="AV1615" s="34">
        <v>0</v>
      </c>
      <c r="AW1615" s="10"/>
      <c r="AX1615" s="8"/>
    </row>
    <row r="1616" spans="1:50">
      <c r="A1616" s="7"/>
      <c r="B1616" s="10"/>
      <c r="C1616" s="45" t="s">
        <v>1468</v>
      </c>
      <c r="D1616" s="23" t="s">
        <v>27</v>
      </c>
      <c r="E1616" s="61" t="s">
        <v>1660</v>
      </c>
      <c r="F1616" s="61" t="s">
        <v>1660</v>
      </c>
      <c r="G1616" s="61" t="s">
        <v>1660</v>
      </c>
      <c r="H1616" s="61" t="s">
        <v>1660</v>
      </c>
      <c r="I1616" s="25">
        <v>0.9</v>
      </c>
      <c r="J1616" s="26">
        <v>0</v>
      </c>
      <c r="K1616" s="26">
        <v>0</v>
      </c>
      <c r="L1616" s="27">
        <v>0</v>
      </c>
      <c r="M1616" s="26">
        <v>0</v>
      </c>
      <c r="N1616" s="28">
        <v>0.9</v>
      </c>
      <c r="O1616" s="26">
        <v>0</v>
      </c>
      <c r="P1616" s="26">
        <v>0</v>
      </c>
      <c r="Q1616" s="26">
        <v>0</v>
      </c>
      <c r="R1616" s="26">
        <v>0</v>
      </c>
      <c r="S1616" s="28">
        <v>0.9</v>
      </c>
      <c r="T1616" s="26">
        <v>0</v>
      </c>
      <c r="U1616" s="26">
        <v>0</v>
      </c>
      <c r="V1616" s="26">
        <v>0</v>
      </c>
      <c r="W1616" s="26">
        <v>0</v>
      </c>
      <c r="X1616" s="28">
        <v>0.92</v>
      </c>
      <c r="Y1616" s="28">
        <v>0</v>
      </c>
      <c r="Z1616" s="28">
        <v>0</v>
      </c>
      <c r="AA1616" s="28">
        <v>0</v>
      </c>
      <c r="AB1616" s="28">
        <v>0</v>
      </c>
      <c r="AC1616" s="28">
        <v>0.92</v>
      </c>
      <c r="AD1616" s="26">
        <v>0.61125319693094604</v>
      </c>
      <c r="AE1616" s="26">
        <v>0.92</v>
      </c>
      <c r="AF1616" s="26">
        <v>1</v>
      </c>
      <c r="AG1616" s="26">
        <v>0.83248212461695603</v>
      </c>
      <c r="AH1616" s="28">
        <v>0.92</v>
      </c>
      <c r="AI1616" s="26">
        <v>0</v>
      </c>
      <c r="AJ1616" s="26">
        <v>0</v>
      </c>
      <c r="AK1616" s="26">
        <v>0</v>
      </c>
      <c r="AL1616" s="26">
        <v>0</v>
      </c>
      <c r="AM1616" s="25">
        <v>0.99</v>
      </c>
      <c r="AN1616" s="30">
        <v>1</v>
      </c>
      <c r="AO1616" s="30">
        <v>1</v>
      </c>
      <c r="AP1616" s="30">
        <v>1</v>
      </c>
      <c r="AQ1616" s="30">
        <v>1</v>
      </c>
      <c r="AR1616" s="50">
        <v>0.110069253262963</v>
      </c>
      <c r="AS1616" s="34">
        <v>0</v>
      </c>
      <c r="AT1616" s="34">
        <v>0</v>
      </c>
      <c r="AU1616" s="34">
        <v>0</v>
      </c>
      <c r="AV1616" s="34">
        <v>0</v>
      </c>
      <c r="AW1616" s="10"/>
      <c r="AX1616" s="8"/>
    </row>
    <row r="1617" spans="1:50">
      <c r="A1617" s="7"/>
      <c r="B1617" s="10"/>
      <c r="C1617" s="45" t="s">
        <v>1468</v>
      </c>
      <c r="D1617" s="23" t="s">
        <v>27</v>
      </c>
      <c r="E1617" s="61" t="s">
        <v>1661</v>
      </c>
      <c r="F1617" s="61" t="s">
        <v>1661</v>
      </c>
      <c r="G1617" s="61" t="s">
        <v>1661</v>
      </c>
      <c r="H1617" s="61" t="s">
        <v>1661</v>
      </c>
      <c r="I1617" s="25">
        <v>0.9</v>
      </c>
      <c r="J1617" s="26">
        <v>0</v>
      </c>
      <c r="K1617" s="26">
        <v>0</v>
      </c>
      <c r="L1617" s="27">
        <v>0</v>
      </c>
      <c r="M1617" s="26">
        <v>0</v>
      </c>
      <c r="N1617" s="28">
        <v>0.9</v>
      </c>
      <c r="O1617" s="26">
        <v>0</v>
      </c>
      <c r="P1617" s="26">
        <v>0</v>
      </c>
      <c r="Q1617" s="26">
        <v>0</v>
      </c>
      <c r="R1617" s="26">
        <v>0</v>
      </c>
      <c r="S1617" s="28">
        <v>0.9</v>
      </c>
      <c r="T1617" s="26">
        <v>0</v>
      </c>
      <c r="U1617" s="26">
        <v>0</v>
      </c>
      <c r="V1617" s="26">
        <v>0</v>
      </c>
      <c r="W1617" s="26">
        <v>0</v>
      </c>
      <c r="X1617" s="28">
        <v>0.92</v>
      </c>
      <c r="Y1617" s="28">
        <v>0</v>
      </c>
      <c r="Z1617" s="28">
        <v>0</v>
      </c>
      <c r="AA1617" s="28">
        <v>0</v>
      </c>
      <c r="AB1617" s="28">
        <v>0</v>
      </c>
      <c r="AC1617" s="28">
        <v>0.92</v>
      </c>
      <c r="AD1617" s="26">
        <v>1</v>
      </c>
      <c r="AE1617" s="26">
        <v>1</v>
      </c>
      <c r="AF1617" s="26">
        <v>1</v>
      </c>
      <c r="AG1617" s="26">
        <v>1</v>
      </c>
      <c r="AH1617" s="28">
        <v>0.92</v>
      </c>
      <c r="AI1617" s="26">
        <v>0</v>
      </c>
      <c r="AJ1617" s="26">
        <v>0</v>
      </c>
      <c r="AK1617" s="26">
        <v>0</v>
      </c>
      <c r="AL1617" s="26">
        <v>0</v>
      </c>
      <c r="AM1617" s="25">
        <v>0.99</v>
      </c>
      <c r="AN1617" s="30">
        <v>1</v>
      </c>
      <c r="AO1617" s="30">
        <v>1</v>
      </c>
      <c r="AP1617" s="30">
        <v>1</v>
      </c>
      <c r="AQ1617" s="30">
        <v>1</v>
      </c>
      <c r="AR1617" s="50">
        <v>0.110069253262963</v>
      </c>
      <c r="AS1617" s="34">
        <v>0</v>
      </c>
      <c r="AT1617" s="34">
        <v>0</v>
      </c>
      <c r="AU1617" s="34">
        <v>0</v>
      </c>
      <c r="AV1617" s="34">
        <v>0</v>
      </c>
      <c r="AW1617" s="10"/>
      <c r="AX1617" s="8"/>
    </row>
    <row r="1618" spans="1:50">
      <c r="A1618" s="7"/>
      <c r="B1618" s="10"/>
      <c r="C1618" s="45" t="s">
        <v>1468</v>
      </c>
      <c r="D1618" s="23" t="s">
        <v>27</v>
      </c>
      <c r="E1618" s="61" t="s">
        <v>1662</v>
      </c>
      <c r="F1618" s="61" t="s">
        <v>1662</v>
      </c>
      <c r="G1618" s="61" t="s">
        <v>1662</v>
      </c>
      <c r="H1618" s="61" t="s">
        <v>1662</v>
      </c>
      <c r="I1618" s="25">
        <v>0.9</v>
      </c>
      <c r="J1618" s="26">
        <v>0</v>
      </c>
      <c r="K1618" s="26">
        <v>0</v>
      </c>
      <c r="L1618" s="27">
        <v>0</v>
      </c>
      <c r="M1618" s="26">
        <v>0</v>
      </c>
      <c r="N1618" s="28">
        <v>0.9</v>
      </c>
      <c r="O1618" s="26">
        <v>0</v>
      </c>
      <c r="P1618" s="26">
        <v>0</v>
      </c>
      <c r="Q1618" s="26">
        <v>0</v>
      </c>
      <c r="R1618" s="26">
        <v>0</v>
      </c>
      <c r="S1618" s="28">
        <v>0.9</v>
      </c>
      <c r="T1618" s="26">
        <v>0</v>
      </c>
      <c r="U1618" s="26">
        <v>0</v>
      </c>
      <c r="V1618" s="26">
        <v>0</v>
      </c>
      <c r="W1618" s="26">
        <v>0</v>
      </c>
      <c r="X1618" s="28">
        <v>0.92</v>
      </c>
      <c r="Y1618" s="28">
        <v>0</v>
      </c>
      <c r="Z1618" s="28">
        <v>0</v>
      </c>
      <c r="AA1618" s="28">
        <v>0</v>
      </c>
      <c r="AB1618" s="28">
        <v>0</v>
      </c>
      <c r="AC1618" s="28">
        <v>0.92</v>
      </c>
      <c r="AD1618" s="26">
        <v>0.94036697247706402</v>
      </c>
      <c r="AE1618" s="26">
        <v>0.93449781659388598</v>
      </c>
      <c r="AF1618" s="26">
        <v>1</v>
      </c>
      <c r="AG1618" s="26">
        <v>0.97416812609457104</v>
      </c>
      <c r="AH1618" s="28">
        <v>0.92</v>
      </c>
      <c r="AI1618" s="26">
        <v>0</v>
      </c>
      <c r="AJ1618" s="26">
        <v>0</v>
      </c>
      <c r="AK1618" s="26">
        <v>0</v>
      </c>
      <c r="AL1618" s="26">
        <v>0</v>
      </c>
      <c r="AM1618" s="25">
        <v>0.99</v>
      </c>
      <c r="AN1618" s="30">
        <v>1</v>
      </c>
      <c r="AO1618" s="30">
        <v>1</v>
      </c>
      <c r="AP1618" s="30">
        <v>1</v>
      </c>
      <c r="AQ1618" s="30">
        <v>1</v>
      </c>
      <c r="AR1618" s="50">
        <v>0.110069253262963</v>
      </c>
      <c r="AS1618" s="34">
        <v>0</v>
      </c>
      <c r="AT1618" s="34">
        <v>0</v>
      </c>
      <c r="AU1618" s="34">
        <v>0</v>
      </c>
      <c r="AV1618" s="34">
        <v>0</v>
      </c>
      <c r="AW1618" s="10"/>
      <c r="AX1618" s="8"/>
    </row>
    <row r="1619" spans="1:50">
      <c r="A1619" s="7"/>
      <c r="B1619" s="10"/>
      <c r="C1619" s="45" t="s">
        <v>1468</v>
      </c>
      <c r="D1619" s="23" t="s">
        <v>27</v>
      </c>
      <c r="E1619" s="61" t="s">
        <v>1663</v>
      </c>
      <c r="F1619" s="61" t="s">
        <v>1663</v>
      </c>
      <c r="G1619" s="61" t="s">
        <v>1663</v>
      </c>
      <c r="H1619" s="61" t="s">
        <v>1663</v>
      </c>
      <c r="I1619" s="25">
        <v>0.9</v>
      </c>
      <c r="J1619" s="26">
        <v>0.97674418604651203</v>
      </c>
      <c r="K1619" s="26">
        <v>1</v>
      </c>
      <c r="L1619" s="27">
        <v>0.95454545454545503</v>
      </c>
      <c r="M1619" s="26">
        <v>0.97388059701492502</v>
      </c>
      <c r="N1619" s="28">
        <v>0.9</v>
      </c>
      <c r="O1619" s="26">
        <v>0.96033013844515402</v>
      </c>
      <c r="P1619" s="26">
        <v>0.94788629737609298</v>
      </c>
      <c r="Q1619" s="26">
        <v>0.94946053378762096</v>
      </c>
      <c r="R1619" s="26">
        <v>0.94854354576371402</v>
      </c>
      <c r="S1619" s="28">
        <v>0.9</v>
      </c>
      <c r="T1619" s="26">
        <v>0.54153354632587902</v>
      </c>
      <c r="U1619" s="26">
        <v>0.55794460641399402</v>
      </c>
      <c r="V1619" s="26">
        <v>0.49176604202157898</v>
      </c>
      <c r="W1619" s="26">
        <v>0.51417024003154399</v>
      </c>
      <c r="X1619" s="28">
        <v>0.92</v>
      </c>
      <c r="Y1619" s="28">
        <v>0.830213040671401</v>
      </c>
      <c r="Z1619" s="28">
        <v>0.81808677469942503</v>
      </c>
      <c r="AA1619" s="28">
        <v>0.87014820042343</v>
      </c>
      <c r="AB1619" s="28">
        <v>0.84063576904142301</v>
      </c>
      <c r="AC1619" s="28">
        <v>0.92</v>
      </c>
      <c r="AD1619" s="26">
        <v>1</v>
      </c>
      <c r="AE1619" s="26">
        <v>0.952380952380952</v>
      </c>
      <c r="AF1619" s="26">
        <v>0.91666666666666696</v>
      </c>
      <c r="AG1619" s="26">
        <v>0.92753623188405798</v>
      </c>
      <c r="AH1619" s="28">
        <v>0.92</v>
      </c>
      <c r="AI1619" s="26">
        <v>0.88488473883863406</v>
      </c>
      <c r="AJ1619" s="26">
        <v>0.88211294824994602</v>
      </c>
      <c r="AK1619" s="26">
        <v>0.922656408179793</v>
      </c>
      <c r="AL1619" s="26">
        <v>0.89333719582850502</v>
      </c>
      <c r="AM1619" s="25">
        <v>0.99</v>
      </c>
      <c r="AN1619" s="30">
        <v>0</v>
      </c>
      <c r="AO1619" s="30">
        <v>0</v>
      </c>
      <c r="AP1619" s="30">
        <v>0</v>
      </c>
      <c r="AQ1619" s="30">
        <v>1</v>
      </c>
      <c r="AR1619" s="50">
        <v>0.110069253262963</v>
      </c>
      <c r="AS1619" s="34">
        <v>8.8235294117647106E-2</v>
      </c>
      <c r="AT1619" s="34">
        <v>0.20689655172413801</v>
      </c>
      <c r="AU1619" s="34">
        <v>0.15384615384615399</v>
      </c>
      <c r="AV1619" s="34">
        <v>0.12299465240641699</v>
      </c>
      <c r="AW1619" s="10"/>
      <c r="AX1619" s="8"/>
    </row>
    <row r="1620" spans="1:50">
      <c r="A1620" s="7"/>
      <c r="B1620" s="10"/>
      <c r="C1620" s="45" t="s">
        <v>1468</v>
      </c>
      <c r="D1620" s="23" t="s">
        <v>27</v>
      </c>
      <c r="E1620" s="61" t="s">
        <v>1664</v>
      </c>
      <c r="F1620" s="61" t="s">
        <v>1664</v>
      </c>
      <c r="G1620" s="61" t="s">
        <v>1664</v>
      </c>
      <c r="H1620" s="61" t="s">
        <v>1664</v>
      </c>
      <c r="I1620" s="25">
        <v>0.9</v>
      </c>
      <c r="J1620" s="26">
        <v>0</v>
      </c>
      <c r="K1620" s="26">
        <v>0</v>
      </c>
      <c r="L1620" s="27">
        <v>0</v>
      </c>
      <c r="M1620" s="26">
        <v>0</v>
      </c>
      <c r="N1620" s="28">
        <v>0.9</v>
      </c>
      <c r="O1620" s="26">
        <v>0</v>
      </c>
      <c r="P1620" s="26">
        <v>0</v>
      </c>
      <c r="Q1620" s="26">
        <v>0</v>
      </c>
      <c r="R1620" s="26">
        <v>0</v>
      </c>
      <c r="S1620" s="28">
        <v>0.9</v>
      </c>
      <c r="T1620" s="26">
        <v>0</v>
      </c>
      <c r="U1620" s="26">
        <v>0</v>
      </c>
      <c r="V1620" s="26">
        <v>1</v>
      </c>
      <c r="W1620" s="26">
        <v>1</v>
      </c>
      <c r="X1620" s="28">
        <v>0.92</v>
      </c>
      <c r="Y1620" s="28">
        <v>0</v>
      </c>
      <c r="Z1620" s="28">
        <v>0</v>
      </c>
      <c r="AA1620" s="28">
        <v>0</v>
      </c>
      <c r="AB1620" s="28">
        <v>0</v>
      </c>
      <c r="AC1620" s="28">
        <v>0.92</v>
      </c>
      <c r="AD1620" s="26">
        <v>0.83904109589041098</v>
      </c>
      <c r="AE1620" s="26">
        <v>0.90553745928338802</v>
      </c>
      <c r="AF1620" s="26">
        <v>0.85620915032679701</v>
      </c>
      <c r="AG1620" s="26">
        <v>0.898559799624296</v>
      </c>
      <c r="AH1620" s="28">
        <v>0.92</v>
      </c>
      <c r="AI1620" s="26">
        <v>0</v>
      </c>
      <c r="AJ1620" s="26">
        <v>0</v>
      </c>
      <c r="AK1620" s="26">
        <v>1</v>
      </c>
      <c r="AL1620" s="26">
        <v>1</v>
      </c>
      <c r="AM1620" s="25">
        <v>0.99</v>
      </c>
      <c r="AN1620" s="30">
        <v>1</v>
      </c>
      <c r="AO1620" s="30">
        <v>1</v>
      </c>
      <c r="AP1620" s="30">
        <v>1</v>
      </c>
      <c r="AQ1620" s="30">
        <v>1</v>
      </c>
      <c r="AR1620" s="50">
        <v>0.110069253262963</v>
      </c>
      <c r="AS1620" s="34">
        <v>0</v>
      </c>
      <c r="AT1620" s="34">
        <v>0</v>
      </c>
      <c r="AU1620" s="34">
        <v>0</v>
      </c>
      <c r="AV1620" s="34">
        <v>0</v>
      </c>
      <c r="AW1620" s="10"/>
      <c r="AX1620" s="8"/>
    </row>
    <row r="1621" spans="1:50">
      <c r="A1621" s="7"/>
      <c r="B1621" s="10"/>
      <c r="C1621" s="45" t="s">
        <v>1468</v>
      </c>
      <c r="D1621" s="23" t="s">
        <v>27</v>
      </c>
      <c r="E1621" s="61" t="s">
        <v>1665</v>
      </c>
      <c r="F1621" s="61" t="s">
        <v>1665</v>
      </c>
      <c r="G1621" s="61" t="s">
        <v>1665</v>
      </c>
      <c r="H1621" s="61" t="s">
        <v>1665</v>
      </c>
      <c r="I1621" s="25">
        <v>0.9</v>
      </c>
      <c r="J1621" s="26">
        <v>0</v>
      </c>
      <c r="K1621" s="26">
        <v>0</v>
      </c>
      <c r="L1621" s="27">
        <v>0</v>
      </c>
      <c r="M1621" s="26">
        <v>0</v>
      </c>
      <c r="N1621" s="28">
        <v>0.9</v>
      </c>
      <c r="O1621" s="26">
        <v>0</v>
      </c>
      <c r="P1621" s="26">
        <v>0</v>
      </c>
      <c r="Q1621" s="26">
        <v>0</v>
      </c>
      <c r="R1621" s="26">
        <v>0</v>
      </c>
      <c r="S1621" s="28">
        <v>0.9</v>
      </c>
      <c r="T1621" s="26">
        <v>0</v>
      </c>
      <c r="U1621" s="26">
        <v>0</v>
      </c>
      <c r="V1621" s="26">
        <v>0</v>
      </c>
      <c r="W1621" s="26">
        <v>0</v>
      </c>
      <c r="X1621" s="28">
        <v>0.92</v>
      </c>
      <c r="Y1621" s="28">
        <v>0</v>
      </c>
      <c r="Z1621" s="28">
        <v>0</v>
      </c>
      <c r="AA1621" s="28">
        <v>0</v>
      </c>
      <c r="AB1621" s="28">
        <v>0</v>
      </c>
      <c r="AC1621" s="28">
        <v>0.92</v>
      </c>
      <c r="AD1621" s="26">
        <v>0.99543378995433796</v>
      </c>
      <c r="AE1621" s="26">
        <v>1</v>
      </c>
      <c r="AF1621" s="26">
        <v>1</v>
      </c>
      <c r="AG1621" s="26">
        <v>0.99848369977255502</v>
      </c>
      <c r="AH1621" s="28">
        <v>0.92</v>
      </c>
      <c r="AI1621" s="26">
        <v>0</v>
      </c>
      <c r="AJ1621" s="26">
        <v>0</v>
      </c>
      <c r="AK1621" s="26">
        <v>0</v>
      </c>
      <c r="AL1621" s="26">
        <v>0</v>
      </c>
      <c r="AM1621" s="25">
        <v>0.99</v>
      </c>
      <c r="AN1621" s="30">
        <v>1</v>
      </c>
      <c r="AO1621" s="30">
        <v>1</v>
      </c>
      <c r="AP1621" s="30">
        <v>0</v>
      </c>
      <c r="AQ1621" s="30">
        <v>1</v>
      </c>
      <c r="AR1621" s="50">
        <v>0.110069253262963</v>
      </c>
      <c r="AS1621" s="34">
        <v>0</v>
      </c>
      <c r="AT1621" s="34">
        <v>0</v>
      </c>
      <c r="AU1621" s="34">
        <v>0</v>
      </c>
      <c r="AV1621" s="34">
        <v>0</v>
      </c>
      <c r="AW1621" s="10"/>
      <c r="AX1621" s="8"/>
    </row>
    <row r="1622" spans="1:50">
      <c r="A1622" s="7"/>
      <c r="B1622" s="10"/>
      <c r="C1622" s="45" t="s">
        <v>1468</v>
      </c>
      <c r="D1622" s="23" t="s">
        <v>27</v>
      </c>
      <c r="E1622" s="61" t="s">
        <v>1666</v>
      </c>
      <c r="F1622" s="61" t="s">
        <v>1666</v>
      </c>
      <c r="G1622" s="61" t="s">
        <v>1666</v>
      </c>
      <c r="H1622" s="61" t="s">
        <v>1666</v>
      </c>
      <c r="I1622" s="25">
        <v>0.9</v>
      </c>
      <c r="J1622" s="26">
        <v>0</v>
      </c>
      <c r="K1622" s="26">
        <v>0</v>
      </c>
      <c r="L1622" s="27">
        <v>0</v>
      </c>
      <c r="M1622" s="26">
        <v>0</v>
      </c>
      <c r="N1622" s="28">
        <v>0.9</v>
      </c>
      <c r="O1622" s="26">
        <v>0</v>
      </c>
      <c r="P1622" s="26">
        <v>0</v>
      </c>
      <c r="Q1622" s="26">
        <v>0</v>
      </c>
      <c r="R1622" s="26">
        <v>0</v>
      </c>
      <c r="S1622" s="28">
        <v>0.9</v>
      </c>
      <c r="T1622" s="26">
        <v>1</v>
      </c>
      <c r="U1622" s="26">
        <v>0</v>
      </c>
      <c r="V1622" s="26">
        <v>1</v>
      </c>
      <c r="W1622" s="26">
        <v>1</v>
      </c>
      <c r="X1622" s="28">
        <v>0.92</v>
      </c>
      <c r="Y1622" s="28">
        <v>0</v>
      </c>
      <c r="Z1622" s="28">
        <v>0</v>
      </c>
      <c r="AA1622" s="28">
        <v>0</v>
      </c>
      <c r="AB1622" s="28">
        <v>1</v>
      </c>
      <c r="AC1622" s="28">
        <v>0.92</v>
      </c>
      <c r="AD1622" s="26">
        <v>1</v>
      </c>
      <c r="AE1622" s="26">
        <v>1</v>
      </c>
      <c r="AF1622" s="26">
        <v>0.99779492833517103</v>
      </c>
      <c r="AG1622" s="26">
        <v>0.99825523429710905</v>
      </c>
      <c r="AH1622" s="28">
        <v>0.92</v>
      </c>
      <c r="AI1622" s="26">
        <v>1</v>
      </c>
      <c r="AJ1622" s="26">
        <v>0</v>
      </c>
      <c r="AK1622" s="26">
        <v>1</v>
      </c>
      <c r="AL1622" s="26">
        <v>1</v>
      </c>
      <c r="AM1622" s="25">
        <v>0.99</v>
      </c>
      <c r="AN1622" s="30">
        <v>1</v>
      </c>
      <c r="AO1622" s="30">
        <v>1</v>
      </c>
      <c r="AP1622" s="30">
        <v>1</v>
      </c>
      <c r="AQ1622" s="30">
        <v>1</v>
      </c>
      <c r="AR1622" s="50">
        <v>0.110069253262963</v>
      </c>
      <c r="AS1622" s="34">
        <v>0</v>
      </c>
      <c r="AT1622" s="34">
        <v>0</v>
      </c>
      <c r="AU1622" s="34">
        <v>0</v>
      </c>
      <c r="AV1622" s="34">
        <v>0</v>
      </c>
      <c r="AW1622" s="10"/>
      <c r="AX1622" s="8"/>
    </row>
    <row r="1623" spans="1:50">
      <c r="A1623" s="7"/>
      <c r="B1623" s="10"/>
      <c r="C1623" s="45" t="s">
        <v>1468</v>
      </c>
      <c r="D1623" s="23" t="s">
        <v>27</v>
      </c>
      <c r="E1623" s="61" t="s">
        <v>1667</v>
      </c>
      <c r="F1623" s="61" t="s">
        <v>1667</v>
      </c>
      <c r="G1623" s="61" t="s">
        <v>1667</v>
      </c>
      <c r="H1623" s="61" t="s">
        <v>1667</v>
      </c>
      <c r="I1623" s="25">
        <v>0.9</v>
      </c>
      <c r="J1623" s="26">
        <v>1</v>
      </c>
      <c r="K1623" s="26">
        <v>1</v>
      </c>
      <c r="L1623" s="27">
        <v>0.97142857142857097</v>
      </c>
      <c r="M1623" s="26">
        <v>0.97222222222222199</v>
      </c>
      <c r="N1623" s="28">
        <v>0.9</v>
      </c>
      <c r="O1623" s="26">
        <v>0.85328101155439295</v>
      </c>
      <c r="P1623" s="26">
        <v>0.91070559610705604</v>
      </c>
      <c r="Q1623" s="26">
        <v>0.88771996939556197</v>
      </c>
      <c r="R1623" s="26">
        <v>0.88586914738217903</v>
      </c>
      <c r="S1623" s="28">
        <v>0.9</v>
      </c>
      <c r="T1623" s="26">
        <v>0.98822759973839103</v>
      </c>
      <c r="U1623" s="26">
        <v>0.99075425790754301</v>
      </c>
      <c r="V1623" s="26">
        <v>0.99254016832440695</v>
      </c>
      <c r="W1623" s="26">
        <v>0.99238871376950899</v>
      </c>
      <c r="X1623" s="28">
        <v>0.92</v>
      </c>
      <c r="Y1623" s="28">
        <v>0.13793103448275901</v>
      </c>
      <c r="Z1623" s="28">
        <v>0.75</v>
      </c>
      <c r="AA1623" s="28">
        <v>0.85714285714285698</v>
      </c>
      <c r="AB1623" s="28">
        <v>0.34375</v>
      </c>
      <c r="AC1623" s="28">
        <v>0.92</v>
      </c>
      <c r="AD1623" s="26">
        <v>1</v>
      </c>
      <c r="AE1623" s="26">
        <v>0.85714285714285698</v>
      </c>
      <c r="AF1623" s="26">
        <v>1</v>
      </c>
      <c r="AG1623" s="26">
        <v>0.94117647058823495</v>
      </c>
      <c r="AH1623" s="28">
        <v>0.92</v>
      </c>
      <c r="AI1623" s="26">
        <v>0.98613518197573702</v>
      </c>
      <c r="AJ1623" s="26">
        <v>0.994410692588092</v>
      </c>
      <c r="AK1623" s="26">
        <v>0.99579751671442196</v>
      </c>
      <c r="AL1623" s="26">
        <v>0.99371165644171799</v>
      </c>
      <c r="AM1623" s="25">
        <v>0.99</v>
      </c>
      <c r="AN1623" s="30">
        <v>0</v>
      </c>
      <c r="AO1623" s="30">
        <v>1</v>
      </c>
      <c r="AP1623" s="30">
        <v>1</v>
      </c>
      <c r="AQ1623" s="30">
        <v>1</v>
      </c>
      <c r="AR1623" s="50">
        <v>0.110069253262963</v>
      </c>
      <c r="AS1623" s="34">
        <v>0</v>
      </c>
      <c r="AT1623" s="34">
        <v>6.6666666666666693E-2</v>
      </c>
      <c r="AU1623" s="34">
        <v>4.1666666666666699E-2</v>
      </c>
      <c r="AV1623" s="34">
        <v>5.6122448979591802E-2</v>
      </c>
      <c r="AW1623" s="10"/>
      <c r="AX1623" s="8"/>
    </row>
    <row r="1624" spans="1:50">
      <c r="A1624" s="7"/>
      <c r="B1624" s="10"/>
      <c r="C1624" s="45" t="s">
        <v>1468</v>
      </c>
      <c r="D1624" s="23" t="s">
        <v>27</v>
      </c>
      <c r="E1624" s="61" t="s">
        <v>1668</v>
      </c>
      <c r="F1624" s="61" t="s">
        <v>1668</v>
      </c>
      <c r="G1624" s="61" t="s">
        <v>1668</v>
      </c>
      <c r="H1624" s="61" t="s">
        <v>1668</v>
      </c>
      <c r="I1624" s="25">
        <v>0.9</v>
      </c>
      <c r="J1624" s="26">
        <v>0</v>
      </c>
      <c r="K1624" s="26">
        <v>0</v>
      </c>
      <c r="L1624" s="27">
        <v>0</v>
      </c>
      <c r="M1624" s="26">
        <v>0</v>
      </c>
      <c r="N1624" s="28">
        <v>0.9</v>
      </c>
      <c r="O1624" s="26">
        <v>0</v>
      </c>
      <c r="P1624" s="26">
        <v>0</v>
      </c>
      <c r="Q1624" s="26">
        <v>0</v>
      </c>
      <c r="R1624" s="26">
        <v>0</v>
      </c>
      <c r="S1624" s="28">
        <v>0.9</v>
      </c>
      <c r="T1624" s="26">
        <v>0</v>
      </c>
      <c r="U1624" s="26">
        <v>0</v>
      </c>
      <c r="V1624" s="26">
        <v>0</v>
      </c>
      <c r="W1624" s="26">
        <v>0</v>
      </c>
      <c r="X1624" s="28">
        <v>0.92</v>
      </c>
      <c r="Y1624" s="28">
        <v>0</v>
      </c>
      <c r="Z1624" s="28">
        <v>0</v>
      </c>
      <c r="AA1624" s="28">
        <v>0</v>
      </c>
      <c r="AB1624" s="28">
        <v>0</v>
      </c>
      <c r="AC1624" s="28">
        <v>0.92</v>
      </c>
      <c r="AD1624" s="26">
        <v>0.93495934959349603</v>
      </c>
      <c r="AE1624" s="26">
        <v>1</v>
      </c>
      <c r="AF1624" s="26">
        <v>1</v>
      </c>
      <c r="AG1624" s="26">
        <v>0.98630136986301398</v>
      </c>
      <c r="AH1624" s="28">
        <v>0.92</v>
      </c>
      <c r="AI1624" s="26">
        <v>1</v>
      </c>
      <c r="AJ1624" s="26">
        <v>0</v>
      </c>
      <c r="AK1624" s="26">
        <v>0</v>
      </c>
      <c r="AL1624" s="26">
        <v>1</v>
      </c>
      <c r="AM1624" s="25">
        <v>0.99</v>
      </c>
      <c r="AN1624" s="30">
        <v>1</v>
      </c>
      <c r="AO1624" s="30">
        <v>1</v>
      </c>
      <c r="AP1624" s="30">
        <v>1</v>
      </c>
      <c r="AQ1624" s="30">
        <v>1</v>
      </c>
      <c r="AR1624" s="50">
        <v>0.110069253262963</v>
      </c>
      <c r="AS1624" s="34">
        <v>0</v>
      </c>
      <c r="AT1624" s="34">
        <v>0</v>
      </c>
      <c r="AU1624" s="34">
        <v>0</v>
      </c>
      <c r="AV1624" s="34">
        <v>0</v>
      </c>
      <c r="AW1624" s="10"/>
      <c r="AX1624" s="8"/>
    </row>
    <row r="1625" spans="1:50">
      <c r="A1625" s="7"/>
      <c r="B1625" s="10"/>
      <c r="C1625" s="45" t="s">
        <v>1468</v>
      </c>
      <c r="D1625" s="23" t="s">
        <v>27</v>
      </c>
      <c r="E1625" s="61" t="s">
        <v>1669</v>
      </c>
      <c r="F1625" s="61" t="s">
        <v>1669</v>
      </c>
      <c r="G1625" s="61" t="s">
        <v>1669</v>
      </c>
      <c r="H1625" s="61" t="s">
        <v>1669</v>
      </c>
      <c r="I1625" s="25">
        <v>0.9</v>
      </c>
      <c r="J1625" s="26">
        <v>0</v>
      </c>
      <c r="K1625" s="26">
        <v>0</v>
      </c>
      <c r="L1625" s="27">
        <v>0</v>
      </c>
      <c r="M1625" s="26">
        <v>0</v>
      </c>
      <c r="N1625" s="28">
        <v>0.9</v>
      </c>
      <c r="O1625" s="26">
        <v>0</v>
      </c>
      <c r="P1625" s="26">
        <v>0</v>
      </c>
      <c r="Q1625" s="26">
        <v>0</v>
      </c>
      <c r="R1625" s="26">
        <v>0</v>
      </c>
      <c r="S1625" s="28">
        <v>0.9</v>
      </c>
      <c r="T1625" s="26">
        <v>0</v>
      </c>
      <c r="U1625" s="26">
        <v>0</v>
      </c>
      <c r="V1625" s="26">
        <v>0</v>
      </c>
      <c r="W1625" s="26">
        <v>1</v>
      </c>
      <c r="X1625" s="28">
        <v>0.92</v>
      </c>
      <c r="Y1625" s="28">
        <v>0</v>
      </c>
      <c r="Z1625" s="28">
        <v>0</v>
      </c>
      <c r="AA1625" s="28">
        <v>0</v>
      </c>
      <c r="AB1625" s="28">
        <v>0</v>
      </c>
      <c r="AC1625" s="28">
        <v>0.92</v>
      </c>
      <c r="AD1625" s="26">
        <v>1</v>
      </c>
      <c r="AE1625" s="26">
        <v>0.990291262135922</v>
      </c>
      <c r="AF1625" s="26">
        <v>0.99508196721311504</v>
      </c>
      <c r="AG1625" s="26">
        <v>0.99506849315068502</v>
      </c>
      <c r="AH1625" s="28">
        <v>0.92</v>
      </c>
      <c r="AI1625" s="26">
        <v>0</v>
      </c>
      <c r="AJ1625" s="26">
        <v>0</v>
      </c>
      <c r="AK1625" s="26">
        <v>0</v>
      </c>
      <c r="AL1625" s="26">
        <v>1</v>
      </c>
      <c r="AM1625" s="25">
        <v>0.99</v>
      </c>
      <c r="AN1625" s="30">
        <v>1</v>
      </c>
      <c r="AO1625" s="30">
        <v>1</v>
      </c>
      <c r="AP1625" s="30">
        <v>1</v>
      </c>
      <c r="AQ1625" s="30">
        <v>1</v>
      </c>
      <c r="AR1625" s="50">
        <v>0.110069253262963</v>
      </c>
      <c r="AS1625" s="34">
        <v>0</v>
      </c>
      <c r="AT1625" s="34">
        <v>0</v>
      </c>
      <c r="AU1625" s="34">
        <v>0</v>
      </c>
      <c r="AV1625" s="34">
        <v>0</v>
      </c>
      <c r="AW1625" s="10"/>
      <c r="AX1625" s="8"/>
    </row>
    <row r="1626" spans="1:50">
      <c r="A1626" s="7"/>
      <c r="B1626" s="10"/>
      <c r="C1626" s="45" t="s">
        <v>1468</v>
      </c>
      <c r="D1626" s="23" t="s">
        <v>27</v>
      </c>
      <c r="E1626" s="61" t="s">
        <v>1670</v>
      </c>
      <c r="F1626" s="61" t="s">
        <v>1670</v>
      </c>
      <c r="G1626" s="61" t="s">
        <v>1670</v>
      </c>
      <c r="H1626" s="61" t="s">
        <v>1670</v>
      </c>
      <c r="I1626" s="25">
        <v>0.9</v>
      </c>
      <c r="J1626" s="26">
        <v>0</v>
      </c>
      <c r="K1626" s="26">
        <v>0</v>
      </c>
      <c r="L1626" s="27">
        <v>0</v>
      </c>
      <c r="M1626" s="26">
        <v>0</v>
      </c>
      <c r="N1626" s="28">
        <v>0.9</v>
      </c>
      <c r="O1626" s="26">
        <v>0</v>
      </c>
      <c r="P1626" s="26">
        <v>0</v>
      </c>
      <c r="Q1626" s="26">
        <v>0</v>
      </c>
      <c r="R1626" s="26">
        <v>0</v>
      </c>
      <c r="S1626" s="28">
        <v>0.9</v>
      </c>
      <c r="T1626" s="26">
        <v>0</v>
      </c>
      <c r="U1626" s="26">
        <v>0</v>
      </c>
      <c r="V1626" s="26">
        <v>0</v>
      </c>
      <c r="W1626" s="26">
        <v>0</v>
      </c>
      <c r="X1626" s="28">
        <v>0.92</v>
      </c>
      <c r="Y1626" s="28">
        <v>0</v>
      </c>
      <c r="Z1626" s="28">
        <v>0</v>
      </c>
      <c r="AA1626" s="28">
        <v>0</v>
      </c>
      <c r="AB1626" s="28">
        <v>0</v>
      </c>
      <c r="AC1626" s="28">
        <v>0.92</v>
      </c>
      <c r="AD1626" s="26">
        <v>0.89361702127659604</v>
      </c>
      <c r="AE1626" s="26">
        <v>0.90785907859078596</v>
      </c>
      <c r="AF1626" s="26">
        <v>0.99266503667481698</v>
      </c>
      <c r="AG1626" s="26">
        <v>0.96285979572887603</v>
      </c>
      <c r="AH1626" s="28">
        <v>0.92</v>
      </c>
      <c r="AI1626" s="26">
        <v>0</v>
      </c>
      <c r="AJ1626" s="26">
        <v>1</v>
      </c>
      <c r="AK1626" s="26">
        <v>0</v>
      </c>
      <c r="AL1626" s="26">
        <v>0.66666666666666696</v>
      </c>
      <c r="AM1626" s="25">
        <v>0.99</v>
      </c>
      <c r="AN1626" s="30">
        <v>1</v>
      </c>
      <c r="AO1626" s="30">
        <v>1</v>
      </c>
      <c r="AP1626" s="30">
        <v>1</v>
      </c>
      <c r="AQ1626" s="30">
        <v>1</v>
      </c>
      <c r="AR1626" s="50">
        <v>0.110069253262963</v>
      </c>
      <c r="AS1626" s="34">
        <v>0</v>
      </c>
      <c r="AT1626" s="34">
        <v>0</v>
      </c>
      <c r="AU1626" s="34">
        <v>0</v>
      </c>
      <c r="AV1626" s="34">
        <v>0</v>
      </c>
      <c r="AW1626" s="10"/>
      <c r="AX1626" s="8"/>
    </row>
    <row r="1627" spans="1:50">
      <c r="A1627" s="7"/>
      <c r="B1627" s="10"/>
      <c r="C1627" s="45" t="s">
        <v>1468</v>
      </c>
      <c r="D1627" s="23" t="s">
        <v>27</v>
      </c>
      <c r="E1627" s="61" t="s">
        <v>1671</v>
      </c>
      <c r="F1627" s="61" t="s">
        <v>1671</v>
      </c>
      <c r="G1627" s="61" t="s">
        <v>1671</v>
      </c>
      <c r="H1627" s="61" t="s">
        <v>1671</v>
      </c>
      <c r="I1627" s="25">
        <v>0.9</v>
      </c>
      <c r="J1627" s="26">
        <v>0</v>
      </c>
      <c r="K1627" s="26">
        <v>0</v>
      </c>
      <c r="L1627" s="27">
        <v>0</v>
      </c>
      <c r="M1627" s="26">
        <v>0</v>
      </c>
      <c r="N1627" s="28">
        <v>0.9</v>
      </c>
      <c r="O1627" s="26">
        <v>0</v>
      </c>
      <c r="P1627" s="26">
        <v>0</v>
      </c>
      <c r="Q1627" s="26">
        <v>0</v>
      </c>
      <c r="R1627" s="26">
        <v>0</v>
      </c>
      <c r="S1627" s="28">
        <v>0.9</v>
      </c>
      <c r="T1627" s="26">
        <v>0</v>
      </c>
      <c r="U1627" s="26">
        <v>0</v>
      </c>
      <c r="V1627" s="26">
        <v>0</v>
      </c>
      <c r="W1627" s="26">
        <v>0</v>
      </c>
      <c r="X1627" s="28">
        <v>0.92</v>
      </c>
      <c r="Y1627" s="28">
        <v>0</v>
      </c>
      <c r="Z1627" s="28">
        <v>0</v>
      </c>
      <c r="AA1627" s="28">
        <v>0</v>
      </c>
      <c r="AB1627" s="28">
        <v>0</v>
      </c>
      <c r="AC1627" s="28">
        <v>0.92</v>
      </c>
      <c r="AD1627" s="26">
        <v>1</v>
      </c>
      <c r="AE1627" s="26">
        <v>1</v>
      </c>
      <c r="AF1627" s="26">
        <v>0.99550898203592797</v>
      </c>
      <c r="AG1627" s="26">
        <v>0.99848116646415597</v>
      </c>
      <c r="AH1627" s="28">
        <v>0.92</v>
      </c>
      <c r="AI1627" s="26">
        <v>0</v>
      </c>
      <c r="AJ1627" s="26">
        <v>0</v>
      </c>
      <c r="AK1627" s="26">
        <v>0</v>
      </c>
      <c r="AL1627" s="26">
        <v>0</v>
      </c>
      <c r="AM1627" s="25">
        <v>0.99</v>
      </c>
      <c r="AN1627" s="30">
        <v>1</v>
      </c>
      <c r="AO1627" s="30">
        <v>1</v>
      </c>
      <c r="AP1627" s="30">
        <v>0</v>
      </c>
      <c r="AQ1627" s="30">
        <v>1</v>
      </c>
      <c r="AR1627" s="50">
        <v>0.110069253262963</v>
      </c>
      <c r="AS1627" s="34">
        <v>0</v>
      </c>
      <c r="AT1627" s="34">
        <v>0</v>
      </c>
      <c r="AU1627" s="34">
        <v>0</v>
      </c>
      <c r="AV1627" s="34">
        <v>0</v>
      </c>
      <c r="AW1627" s="10"/>
      <c r="AX1627" s="8"/>
    </row>
    <row r="1628" spans="1:50">
      <c r="A1628" s="7"/>
      <c r="B1628" s="10"/>
      <c r="C1628" s="45" t="s">
        <v>1468</v>
      </c>
      <c r="D1628" s="23" t="s">
        <v>27</v>
      </c>
      <c r="E1628" s="61" t="s">
        <v>1672</v>
      </c>
      <c r="F1628" s="61" t="s">
        <v>1672</v>
      </c>
      <c r="G1628" s="61" t="s">
        <v>1672</v>
      </c>
      <c r="H1628" s="61" t="s">
        <v>1672</v>
      </c>
      <c r="I1628" s="25">
        <v>0.9</v>
      </c>
      <c r="J1628" s="26">
        <v>0</v>
      </c>
      <c r="K1628" s="26">
        <v>0</v>
      </c>
      <c r="L1628" s="27">
        <v>0</v>
      </c>
      <c r="M1628" s="26">
        <v>0</v>
      </c>
      <c r="N1628" s="28">
        <v>0.9</v>
      </c>
      <c r="O1628" s="26">
        <v>0</v>
      </c>
      <c r="P1628" s="26">
        <v>0</v>
      </c>
      <c r="Q1628" s="26">
        <v>0</v>
      </c>
      <c r="R1628" s="26">
        <v>0</v>
      </c>
      <c r="S1628" s="28">
        <v>0.9</v>
      </c>
      <c r="T1628" s="26">
        <v>1</v>
      </c>
      <c r="U1628" s="26">
        <v>0</v>
      </c>
      <c r="V1628" s="26">
        <v>0</v>
      </c>
      <c r="W1628" s="26">
        <v>1</v>
      </c>
      <c r="X1628" s="28">
        <v>0.92</v>
      </c>
      <c r="Y1628" s="28">
        <v>0</v>
      </c>
      <c r="Z1628" s="28">
        <v>0</v>
      </c>
      <c r="AA1628" s="28">
        <v>0</v>
      </c>
      <c r="AB1628" s="28">
        <v>0</v>
      </c>
      <c r="AC1628" s="28">
        <v>0.92</v>
      </c>
      <c r="AD1628" s="26">
        <v>0.90909090909090895</v>
      </c>
      <c r="AE1628" s="26">
        <v>0.91461100569260001</v>
      </c>
      <c r="AF1628" s="26">
        <v>0.96378269617706203</v>
      </c>
      <c r="AG1628" s="26">
        <v>0.95722870272181004</v>
      </c>
      <c r="AH1628" s="28">
        <v>0.92</v>
      </c>
      <c r="AI1628" s="26">
        <v>1</v>
      </c>
      <c r="AJ1628" s="26">
        <v>0</v>
      </c>
      <c r="AK1628" s="26">
        <v>1</v>
      </c>
      <c r="AL1628" s="26">
        <v>1</v>
      </c>
      <c r="AM1628" s="25">
        <v>0.99</v>
      </c>
      <c r="AN1628" s="30">
        <v>1</v>
      </c>
      <c r="AO1628" s="30">
        <v>1</v>
      </c>
      <c r="AP1628" s="30">
        <v>1</v>
      </c>
      <c r="AQ1628" s="30">
        <v>1</v>
      </c>
      <c r="AR1628" s="50">
        <v>0.110069253262963</v>
      </c>
      <c r="AS1628" s="34">
        <v>0</v>
      </c>
      <c r="AT1628" s="34">
        <v>0</v>
      </c>
      <c r="AU1628" s="34">
        <v>0</v>
      </c>
      <c r="AV1628" s="34">
        <v>0</v>
      </c>
      <c r="AW1628" s="10"/>
      <c r="AX1628" s="8"/>
    </row>
    <row r="1629" spans="1:50">
      <c r="A1629" s="7"/>
      <c r="B1629" s="10"/>
      <c r="C1629" s="45" t="s">
        <v>1468</v>
      </c>
      <c r="D1629" s="23" t="s">
        <v>27</v>
      </c>
      <c r="E1629" s="61" t="s">
        <v>1673</v>
      </c>
      <c r="F1629" s="61" t="s">
        <v>1673</v>
      </c>
      <c r="G1629" s="61" t="s">
        <v>1673</v>
      </c>
      <c r="H1629" s="61" t="s">
        <v>1673</v>
      </c>
      <c r="I1629" s="25">
        <v>0.9</v>
      </c>
      <c r="J1629" s="26">
        <v>0.74193548387096797</v>
      </c>
      <c r="K1629" s="26">
        <v>0.78571428571428603</v>
      </c>
      <c r="L1629" s="27">
        <v>0.8</v>
      </c>
      <c r="M1629" s="26">
        <v>0.78453038674033104</v>
      </c>
      <c r="N1629" s="28">
        <v>0.9</v>
      </c>
      <c r="O1629" s="26">
        <v>0.97284275076653504</v>
      </c>
      <c r="P1629" s="26">
        <v>0.98630918425556202</v>
      </c>
      <c r="Q1629" s="26">
        <v>0.98201263976664999</v>
      </c>
      <c r="R1629" s="26">
        <v>0.97928748964374501</v>
      </c>
      <c r="S1629" s="28">
        <v>0.9</v>
      </c>
      <c r="T1629" s="26">
        <v>0.47568988173456001</v>
      </c>
      <c r="U1629" s="26">
        <v>0.39874500855675998</v>
      </c>
      <c r="V1629" s="26">
        <v>0.43266893534273199</v>
      </c>
      <c r="W1629" s="26">
        <v>0.36884838442419199</v>
      </c>
      <c r="X1629" s="28">
        <v>0.92</v>
      </c>
      <c r="Y1629" s="28">
        <v>0.65076142131979697</v>
      </c>
      <c r="Z1629" s="28">
        <v>0.65714285714285703</v>
      </c>
      <c r="AA1629" s="28">
        <v>0.65697091273821495</v>
      </c>
      <c r="AB1629" s="28">
        <v>0.64162389174055101</v>
      </c>
      <c r="AC1629" s="28">
        <v>0.92</v>
      </c>
      <c r="AD1629" s="26">
        <v>1</v>
      </c>
      <c r="AE1629" s="26">
        <v>1</v>
      </c>
      <c r="AF1629" s="26">
        <v>0.49107142857142899</v>
      </c>
      <c r="AG1629" s="26">
        <v>0.85563751317175996</v>
      </c>
      <c r="AH1629" s="28">
        <v>0.92</v>
      </c>
      <c r="AI1629" s="26">
        <v>0.71844888366627502</v>
      </c>
      <c r="AJ1629" s="26">
        <v>0.72037596508895596</v>
      </c>
      <c r="AK1629" s="26">
        <v>0.72593320235756398</v>
      </c>
      <c r="AL1629" s="26">
        <v>0.70584817970565406</v>
      </c>
      <c r="AM1629" s="25">
        <v>0.99</v>
      </c>
      <c r="AN1629" s="30">
        <v>0</v>
      </c>
      <c r="AO1629" s="30">
        <v>1</v>
      </c>
      <c r="AP1629" s="30">
        <v>0</v>
      </c>
      <c r="AQ1629" s="30">
        <v>1</v>
      </c>
      <c r="AR1629" s="50">
        <v>0.110069253262963</v>
      </c>
      <c r="AS1629" s="34">
        <v>0.125</v>
      </c>
      <c r="AT1629" s="34">
        <v>0.25</v>
      </c>
      <c r="AU1629" s="34">
        <v>0.13157894736842099</v>
      </c>
      <c r="AV1629" s="34">
        <v>0.15384615384615399</v>
      </c>
      <c r="AW1629" s="10"/>
      <c r="AX1629" s="8"/>
    </row>
    <row r="1630" spans="1:50">
      <c r="A1630" s="7"/>
      <c r="B1630" s="10"/>
      <c r="C1630" s="45" t="s">
        <v>1468</v>
      </c>
      <c r="D1630" s="23" t="s">
        <v>27</v>
      </c>
      <c r="E1630" s="61" t="s">
        <v>1674</v>
      </c>
      <c r="F1630" s="61" t="s">
        <v>1674</v>
      </c>
      <c r="G1630" s="61" t="s">
        <v>1674</v>
      </c>
      <c r="H1630" s="61" t="s">
        <v>1674</v>
      </c>
      <c r="I1630" s="25">
        <v>0.9</v>
      </c>
      <c r="J1630" s="26">
        <v>0</v>
      </c>
      <c r="K1630" s="26">
        <v>0</v>
      </c>
      <c r="L1630" s="27">
        <v>0</v>
      </c>
      <c r="M1630" s="26">
        <v>0</v>
      </c>
      <c r="N1630" s="28">
        <v>0.9</v>
      </c>
      <c r="O1630" s="26">
        <v>0</v>
      </c>
      <c r="P1630" s="26">
        <v>0</v>
      </c>
      <c r="Q1630" s="26">
        <v>0</v>
      </c>
      <c r="R1630" s="26">
        <v>0</v>
      </c>
      <c r="S1630" s="28">
        <v>0.9</v>
      </c>
      <c r="T1630" s="26">
        <v>0</v>
      </c>
      <c r="U1630" s="26">
        <v>0</v>
      </c>
      <c r="V1630" s="26">
        <v>1</v>
      </c>
      <c r="W1630" s="26">
        <v>1</v>
      </c>
      <c r="X1630" s="28">
        <v>0.92</v>
      </c>
      <c r="Y1630" s="28">
        <v>0</v>
      </c>
      <c r="Z1630" s="28">
        <v>0</v>
      </c>
      <c r="AA1630" s="28">
        <v>0</v>
      </c>
      <c r="AB1630" s="28">
        <v>0</v>
      </c>
      <c r="AC1630" s="28">
        <v>0.92</v>
      </c>
      <c r="AD1630" s="26">
        <v>1</v>
      </c>
      <c r="AE1630" s="26">
        <v>1</v>
      </c>
      <c r="AF1630" s="26">
        <v>1</v>
      </c>
      <c r="AG1630" s="26">
        <v>1</v>
      </c>
      <c r="AH1630" s="28">
        <v>0.92</v>
      </c>
      <c r="AI1630" s="26">
        <v>0</v>
      </c>
      <c r="AJ1630" s="26">
        <v>0</v>
      </c>
      <c r="AK1630" s="26">
        <v>1</v>
      </c>
      <c r="AL1630" s="26">
        <v>1</v>
      </c>
      <c r="AM1630" s="25">
        <v>0.99</v>
      </c>
      <c r="AN1630" s="30">
        <v>1</v>
      </c>
      <c r="AO1630" s="30">
        <v>1</v>
      </c>
      <c r="AP1630" s="30">
        <v>1</v>
      </c>
      <c r="AQ1630" s="30">
        <v>1</v>
      </c>
      <c r="AR1630" s="50">
        <v>0.110069253262963</v>
      </c>
      <c r="AS1630" s="34">
        <v>0</v>
      </c>
      <c r="AT1630" s="34">
        <v>0</v>
      </c>
      <c r="AU1630" s="34">
        <v>0</v>
      </c>
      <c r="AV1630" s="34">
        <v>0</v>
      </c>
      <c r="AW1630" s="10"/>
      <c r="AX1630" s="8"/>
    </row>
    <row r="1631" spans="1:50">
      <c r="A1631" s="7"/>
      <c r="B1631" s="10"/>
      <c r="C1631" s="45" t="s">
        <v>1468</v>
      </c>
      <c r="D1631" s="23" t="s">
        <v>27</v>
      </c>
      <c r="E1631" s="61" t="s">
        <v>1675</v>
      </c>
      <c r="F1631" s="61" t="s">
        <v>1675</v>
      </c>
      <c r="G1631" s="61" t="s">
        <v>1675</v>
      </c>
      <c r="H1631" s="61" t="s">
        <v>1675</v>
      </c>
      <c r="I1631" s="25">
        <v>0.9</v>
      </c>
      <c r="J1631" s="26">
        <v>1</v>
      </c>
      <c r="K1631" s="26">
        <v>1</v>
      </c>
      <c r="L1631" s="27">
        <v>0.91666666666666696</v>
      </c>
      <c r="M1631" s="26">
        <v>0.97297297297297303</v>
      </c>
      <c r="N1631" s="28">
        <v>0.9</v>
      </c>
      <c r="O1631" s="26">
        <v>0.99608993157380299</v>
      </c>
      <c r="P1631" s="26">
        <v>0.99323181049069398</v>
      </c>
      <c r="Q1631" s="26">
        <v>0.95690284879474097</v>
      </c>
      <c r="R1631" s="26">
        <v>0.96965446895320695</v>
      </c>
      <c r="S1631" s="28">
        <v>0.9</v>
      </c>
      <c r="T1631" s="26">
        <v>0.91593352883675505</v>
      </c>
      <c r="U1631" s="26">
        <v>0.92385786802030501</v>
      </c>
      <c r="V1631" s="26">
        <v>0.85463842220598996</v>
      </c>
      <c r="W1631" s="26">
        <v>0.90182328190743299</v>
      </c>
      <c r="X1631" s="28">
        <v>0.92</v>
      </c>
      <c r="Y1631" s="28">
        <v>0</v>
      </c>
      <c r="Z1631" s="28">
        <v>0</v>
      </c>
      <c r="AA1631" s="28">
        <v>0</v>
      </c>
      <c r="AB1631" s="28">
        <v>0</v>
      </c>
      <c r="AC1631" s="28">
        <v>0.92</v>
      </c>
      <c r="AD1631" s="26">
        <v>1</v>
      </c>
      <c r="AE1631" s="26">
        <v>1</v>
      </c>
      <c r="AF1631" s="26">
        <v>1</v>
      </c>
      <c r="AG1631" s="26">
        <v>0.97126436781609204</v>
      </c>
      <c r="AH1631" s="28">
        <v>0.92</v>
      </c>
      <c r="AI1631" s="26">
        <v>0.95992179863147598</v>
      </c>
      <c r="AJ1631" s="26">
        <v>0.96446700507614203</v>
      </c>
      <c r="AK1631" s="26">
        <v>0.96932067202337502</v>
      </c>
      <c r="AL1631" s="26">
        <v>0.97143950019125302</v>
      </c>
      <c r="AM1631" s="25">
        <v>0.99</v>
      </c>
      <c r="AN1631" s="30">
        <v>1</v>
      </c>
      <c r="AO1631" s="30">
        <v>0</v>
      </c>
      <c r="AP1631" s="30">
        <v>0</v>
      </c>
      <c r="AQ1631" s="30">
        <v>1</v>
      </c>
      <c r="AR1631" s="50">
        <v>0.110069253262963</v>
      </c>
      <c r="AS1631" s="34">
        <v>0.08</v>
      </c>
      <c r="AT1631" s="34">
        <v>5.5555555555555601E-2</v>
      </c>
      <c r="AU1631" s="34">
        <v>7.1428571428571397E-2</v>
      </c>
      <c r="AV1631" s="34">
        <v>7.9245283018867907E-2</v>
      </c>
      <c r="AW1631" s="10"/>
      <c r="AX1631" s="8"/>
    </row>
    <row r="1632" spans="1:50">
      <c r="A1632" s="7"/>
      <c r="B1632" s="10"/>
      <c r="C1632" s="45" t="s">
        <v>1468</v>
      </c>
      <c r="D1632" s="23" t="s">
        <v>27</v>
      </c>
      <c r="E1632" s="61" t="s">
        <v>1676</v>
      </c>
      <c r="F1632" s="61" t="s">
        <v>1676</v>
      </c>
      <c r="G1632" s="61" t="s">
        <v>1676</v>
      </c>
      <c r="H1632" s="61" t="s">
        <v>1676</v>
      </c>
      <c r="I1632" s="25">
        <v>0.9</v>
      </c>
      <c r="J1632" s="26">
        <v>0.92</v>
      </c>
      <c r="K1632" s="26">
        <v>0.91666666666666696</v>
      </c>
      <c r="L1632" s="27">
        <v>0.92</v>
      </c>
      <c r="M1632" s="26">
        <v>0.932885906040268</v>
      </c>
      <c r="N1632" s="28">
        <v>0.9</v>
      </c>
      <c r="O1632" s="26">
        <v>0.98385093167701898</v>
      </c>
      <c r="P1632" s="26">
        <v>0.97769953051643199</v>
      </c>
      <c r="Q1632" s="26">
        <v>0.97090567808540595</v>
      </c>
      <c r="R1632" s="26">
        <v>0.96765264156912401</v>
      </c>
      <c r="S1632" s="28">
        <v>0.9</v>
      </c>
      <c r="T1632" s="26">
        <v>0.488612836438923</v>
      </c>
      <c r="U1632" s="26">
        <v>0.51643192488262901</v>
      </c>
      <c r="V1632" s="26">
        <v>0.45143125293289499</v>
      </c>
      <c r="W1632" s="26">
        <v>0.42834546029737403</v>
      </c>
      <c r="X1632" s="28">
        <v>0.92</v>
      </c>
      <c r="Y1632" s="28">
        <v>0.72234762979683997</v>
      </c>
      <c r="Z1632" s="28">
        <v>0.68732654949121197</v>
      </c>
      <c r="AA1632" s="28">
        <v>0.62107904642408995</v>
      </c>
      <c r="AB1632" s="28">
        <v>0.68147086914995203</v>
      </c>
      <c r="AC1632" s="28">
        <v>0.92</v>
      </c>
      <c r="AD1632" s="26">
        <v>1</v>
      </c>
      <c r="AE1632" s="26">
        <v>1</v>
      </c>
      <c r="AF1632" s="26">
        <v>1</v>
      </c>
      <c r="AG1632" s="26">
        <v>0.96</v>
      </c>
      <c r="AH1632" s="28">
        <v>0.92</v>
      </c>
      <c r="AI1632" s="26">
        <v>0.81017191977077396</v>
      </c>
      <c r="AJ1632" s="26">
        <v>0.796914244707571</v>
      </c>
      <c r="AK1632" s="26">
        <v>0.76741803278688503</v>
      </c>
      <c r="AL1632" s="26">
        <v>0.79206885074414002</v>
      </c>
      <c r="AM1632" s="25">
        <v>0.99</v>
      </c>
      <c r="AN1632" s="30">
        <v>1</v>
      </c>
      <c r="AO1632" s="30">
        <v>0</v>
      </c>
      <c r="AP1632" s="30">
        <v>0</v>
      </c>
      <c r="AQ1632" s="30">
        <v>1</v>
      </c>
      <c r="AR1632" s="50">
        <v>0.110069253262963</v>
      </c>
      <c r="AS1632" s="34">
        <v>0</v>
      </c>
      <c r="AT1632" s="34">
        <v>0</v>
      </c>
      <c r="AU1632" s="34">
        <v>0</v>
      </c>
      <c r="AV1632" s="34">
        <v>6.4935064935064901E-2</v>
      </c>
      <c r="AW1632" s="10"/>
      <c r="AX1632" s="8"/>
    </row>
    <row r="1633" spans="1:50">
      <c r="A1633" s="7"/>
      <c r="B1633" s="10"/>
      <c r="C1633" s="45" t="s">
        <v>1468</v>
      </c>
      <c r="D1633" s="23" t="s">
        <v>27</v>
      </c>
      <c r="E1633" s="61" t="s">
        <v>1677</v>
      </c>
      <c r="F1633" s="61" t="s">
        <v>1677</v>
      </c>
      <c r="G1633" s="61" t="s">
        <v>1677</v>
      </c>
      <c r="H1633" s="61" t="s">
        <v>1677</v>
      </c>
      <c r="I1633" s="25">
        <v>0.9</v>
      </c>
      <c r="J1633" s="26">
        <v>0.89285714285714302</v>
      </c>
      <c r="K1633" s="26">
        <v>1</v>
      </c>
      <c r="L1633" s="27">
        <v>0.96153846153846201</v>
      </c>
      <c r="M1633" s="26">
        <v>0.969135802469136</v>
      </c>
      <c r="N1633" s="28">
        <v>0.9</v>
      </c>
      <c r="O1633" s="26">
        <v>0.80646929824561397</v>
      </c>
      <c r="P1633" s="26">
        <v>0.875163114397564</v>
      </c>
      <c r="Q1633" s="26">
        <v>0.895756457564576</v>
      </c>
      <c r="R1633" s="26">
        <v>0.86640437906260703</v>
      </c>
      <c r="S1633" s="28">
        <v>0.9</v>
      </c>
      <c r="T1633" s="26">
        <v>0.84649122807017496</v>
      </c>
      <c r="U1633" s="26">
        <v>0.90256633318834301</v>
      </c>
      <c r="V1633" s="26">
        <v>0.91881918819188202</v>
      </c>
      <c r="W1633" s="26">
        <v>0.89197742045843298</v>
      </c>
      <c r="X1633" s="28">
        <v>0.92</v>
      </c>
      <c r="Y1633" s="28">
        <v>0.91884816753926701</v>
      </c>
      <c r="Z1633" s="28">
        <v>0.78052805280528004</v>
      </c>
      <c r="AA1633" s="28">
        <v>0.92068965517241397</v>
      </c>
      <c r="AB1633" s="28">
        <v>0.81366537354523805</v>
      </c>
      <c r="AC1633" s="28">
        <v>0.92</v>
      </c>
      <c r="AD1633" s="26">
        <v>0.98989898989898994</v>
      </c>
      <c r="AE1633" s="26">
        <v>0.98496240601503804</v>
      </c>
      <c r="AF1633" s="26">
        <v>0.71532846715328502</v>
      </c>
      <c r="AG1633" s="26">
        <v>0.94025604551920305</v>
      </c>
      <c r="AH1633" s="28">
        <v>0.92</v>
      </c>
      <c r="AI1633" s="26">
        <v>0.94126738794435905</v>
      </c>
      <c r="AJ1633" s="26">
        <v>0.90259185417260002</v>
      </c>
      <c r="AK1633" s="26">
        <v>0.96182954919381403</v>
      </c>
      <c r="AL1633" s="26">
        <v>0.90470869101437501</v>
      </c>
      <c r="AM1633" s="25">
        <v>0.99</v>
      </c>
      <c r="AN1633" s="30">
        <v>1</v>
      </c>
      <c r="AO1633" s="30">
        <v>1</v>
      </c>
      <c r="AP1633" s="30">
        <v>1</v>
      </c>
      <c r="AQ1633" s="30">
        <v>1</v>
      </c>
      <c r="AR1633" s="50">
        <v>0.110069253262963</v>
      </c>
      <c r="AS1633" s="34">
        <v>7.1428571428571397E-2</v>
      </c>
      <c r="AT1633" s="34">
        <v>0.1</v>
      </c>
      <c r="AU1633" s="34">
        <v>0</v>
      </c>
      <c r="AV1633" s="34">
        <v>5.7971014492753603E-2</v>
      </c>
      <c r="AW1633" s="10"/>
      <c r="AX1633" s="8"/>
    </row>
    <row r="1634" spans="1:50">
      <c r="A1634" s="7"/>
      <c r="B1634" s="10"/>
      <c r="C1634" s="45" t="s">
        <v>1468</v>
      </c>
      <c r="D1634" s="23" t="s">
        <v>27</v>
      </c>
      <c r="E1634" s="61" t="s">
        <v>1678</v>
      </c>
      <c r="F1634" s="61" t="s">
        <v>1678</v>
      </c>
      <c r="G1634" s="61" t="s">
        <v>1678</v>
      </c>
      <c r="H1634" s="61" t="s">
        <v>1678</v>
      </c>
      <c r="I1634" s="25">
        <v>0.9</v>
      </c>
      <c r="J1634" s="26">
        <v>1</v>
      </c>
      <c r="K1634" s="26">
        <v>0.92592592592592604</v>
      </c>
      <c r="L1634" s="27">
        <v>0.91666666666666696</v>
      </c>
      <c r="M1634" s="26">
        <v>0.91249999999999998</v>
      </c>
      <c r="N1634" s="28">
        <v>0.9</v>
      </c>
      <c r="O1634" s="26">
        <v>0.96592920353982303</v>
      </c>
      <c r="P1634" s="26">
        <v>0.98730606488011297</v>
      </c>
      <c r="Q1634" s="26">
        <v>0.95675494468655697</v>
      </c>
      <c r="R1634" s="26">
        <v>0.97149832510077805</v>
      </c>
      <c r="S1634" s="28">
        <v>0.9</v>
      </c>
      <c r="T1634" s="26">
        <v>0.90176991150442498</v>
      </c>
      <c r="U1634" s="26">
        <v>0.91960507757404797</v>
      </c>
      <c r="V1634" s="26">
        <v>0.92356687898089196</v>
      </c>
      <c r="W1634" s="26">
        <v>0.90989609947198102</v>
      </c>
      <c r="X1634" s="28">
        <v>0.92</v>
      </c>
      <c r="Y1634" s="28">
        <v>0</v>
      </c>
      <c r="Z1634" s="28">
        <v>0</v>
      </c>
      <c r="AA1634" s="28">
        <v>0</v>
      </c>
      <c r="AB1634" s="28">
        <v>0</v>
      </c>
      <c r="AC1634" s="28">
        <v>0.92</v>
      </c>
      <c r="AD1634" s="26">
        <v>0.98765432098765404</v>
      </c>
      <c r="AE1634" s="26">
        <v>0.99453551912568305</v>
      </c>
      <c r="AF1634" s="26">
        <v>1</v>
      </c>
      <c r="AG1634" s="26">
        <v>0.944365192582026</v>
      </c>
      <c r="AH1634" s="28">
        <v>0.92</v>
      </c>
      <c r="AI1634" s="26">
        <v>0.95398230088495595</v>
      </c>
      <c r="AJ1634" s="26">
        <v>0.95944992947813801</v>
      </c>
      <c r="AK1634" s="26">
        <v>0.96950402144772097</v>
      </c>
      <c r="AL1634" s="26">
        <v>0.965397923875433</v>
      </c>
      <c r="AM1634" s="25">
        <v>0.99</v>
      </c>
      <c r="AN1634" s="30">
        <v>0</v>
      </c>
      <c r="AO1634" s="30">
        <v>0</v>
      </c>
      <c r="AP1634" s="30">
        <v>0</v>
      </c>
      <c r="AQ1634" s="30">
        <v>1</v>
      </c>
      <c r="AR1634" s="50">
        <v>0.110069253262963</v>
      </c>
      <c r="AS1634" s="34">
        <v>5.2631578947368397E-2</v>
      </c>
      <c r="AT1634" s="34">
        <v>8.6956521739130405E-2</v>
      </c>
      <c r="AU1634" s="34">
        <v>0.14285714285714299</v>
      </c>
      <c r="AV1634" s="34">
        <v>6.5693430656934296E-2</v>
      </c>
      <c r="AW1634" s="10"/>
      <c r="AX1634" s="8"/>
    </row>
    <row r="1635" spans="1:50">
      <c r="A1635" s="7"/>
      <c r="B1635" s="10"/>
      <c r="C1635" s="45" t="s">
        <v>1468</v>
      </c>
      <c r="D1635" s="23" t="s">
        <v>27</v>
      </c>
      <c r="E1635" s="61" t="s">
        <v>1679</v>
      </c>
      <c r="F1635" s="61" t="s">
        <v>1679</v>
      </c>
      <c r="G1635" s="61" t="s">
        <v>1679</v>
      </c>
      <c r="H1635" s="61" t="s">
        <v>1679</v>
      </c>
      <c r="I1635" s="25">
        <v>0.9</v>
      </c>
      <c r="J1635" s="26">
        <v>0.92307692307692302</v>
      </c>
      <c r="K1635" s="26">
        <v>0.90476190476190499</v>
      </c>
      <c r="L1635" s="27">
        <v>0.93023255813953498</v>
      </c>
      <c r="M1635" s="26">
        <v>0.90123456790123502</v>
      </c>
      <c r="N1635" s="28">
        <v>0.9</v>
      </c>
      <c r="O1635" s="26">
        <v>0.98467930407686299</v>
      </c>
      <c r="P1635" s="26">
        <v>0.99127516778523495</v>
      </c>
      <c r="Q1635" s="26">
        <v>0.98153569015987396</v>
      </c>
      <c r="R1635" s="26">
        <v>0.96940891131713802</v>
      </c>
      <c r="S1635" s="28">
        <v>0.9</v>
      </c>
      <c r="T1635" s="26">
        <v>0.94131394443001803</v>
      </c>
      <c r="U1635" s="26">
        <v>0.95816554809843402</v>
      </c>
      <c r="V1635" s="26">
        <v>0.95789236658410304</v>
      </c>
      <c r="W1635" s="26">
        <v>0.95309627195556101</v>
      </c>
      <c r="X1635" s="28">
        <v>0.92</v>
      </c>
      <c r="Y1635" s="28">
        <v>0</v>
      </c>
      <c r="Z1635" s="28">
        <v>0</v>
      </c>
      <c r="AA1635" s="28">
        <v>0</v>
      </c>
      <c r="AB1635" s="28">
        <v>0</v>
      </c>
      <c r="AC1635" s="28">
        <v>0.92</v>
      </c>
      <c r="AD1635" s="26">
        <v>0.85714285714285698</v>
      </c>
      <c r="AE1635" s="26">
        <v>1</v>
      </c>
      <c r="AF1635" s="26">
        <v>0.85714285714285698</v>
      </c>
      <c r="AG1635" s="26">
        <v>0.93162393162393198</v>
      </c>
      <c r="AH1635" s="28">
        <v>0.92</v>
      </c>
      <c r="AI1635" s="26">
        <v>0.95717622631715504</v>
      </c>
      <c r="AJ1635" s="26">
        <v>0.969818913480885</v>
      </c>
      <c r="AK1635" s="26">
        <v>0.97636199909950505</v>
      </c>
      <c r="AL1635" s="26">
        <v>0.97317063631741596</v>
      </c>
      <c r="AM1635" s="25">
        <v>0.99</v>
      </c>
      <c r="AN1635" s="30">
        <v>1</v>
      </c>
      <c r="AO1635" s="30">
        <v>1</v>
      </c>
      <c r="AP1635" s="30">
        <v>1</v>
      </c>
      <c r="AQ1635" s="30">
        <v>1</v>
      </c>
      <c r="AR1635" s="50">
        <v>0.110069253262963</v>
      </c>
      <c r="AS1635" s="34">
        <v>3.3333333333333298E-2</v>
      </c>
      <c r="AT1635" s="34">
        <v>0</v>
      </c>
      <c r="AU1635" s="34">
        <v>0.27272727272727298</v>
      </c>
      <c r="AV1635" s="34">
        <v>7.4999999999999997E-2</v>
      </c>
      <c r="AW1635" s="10"/>
      <c r="AX1635" s="8"/>
    </row>
    <row r="1636" spans="1:50">
      <c r="A1636" s="7"/>
      <c r="B1636" s="10"/>
      <c r="C1636" s="45" t="s">
        <v>1468</v>
      </c>
      <c r="D1636" s="23" t="s">
        <v>27</v>
      </c>
      <c r="E1636" s="61" t="s">
        <v>1680</v>
      </c>
      <c r="F1636" s="61" t="s">
        <v>1680</v>
      </c>
      <c r="G1636" s="61" t="s">
        <v>1680</v>
      </c>
      <c r="H1636" s="61" t="s">
        <v>1680</v>
      </c>
      <c r="I1636" s="25">
        <v>0.9</v>
      </c>
      <c r="J1636" s="26">
        <v>1</v>
      </c>
      <c r="K1636" s="26">
        <v>1</v>
      </c>
      <c r="L1636" s="27">
        <v>1</v>
      </c>
      <c r="M1636" s="26">
        <v>1</v>
      </c>
      <c r="N1636" s="28">
        <v>0.9</v>
      </c>
      <c r="O1636" s="26">
        <v>0.92291985706993396</v>
      </c>
      <c r="P1636" s="26">
        <v>0.96403385049365298</v>
      </c>
      <c r="Q1636" s="26">
        <v>0.95551601423487498</v>
      </c>
      <c r="R1636" s="26">
        <v>0.94610956728860696</v>
      </c>
      <c r="S1636" s="28">
        <v>0.9</v>
      </c>
      <c r="T1636" s="26">
        <v>0.75803981623277195</v>
      </c>
      <c r="U1636" s="26">
        <v>0.82369534555712298</v>
      </c>
      <c r="V1636" s="26">
        <v>0.77698695136417595</v>
      </c>
      <c r="W1636" s="26">
        <v>0.74771734815402902</v>
      </c>
      <c r="X1636" s="28">
        <v>0.92</v>
      </c>
      <c r="Y1636" s="28">
        <v>0.88866930171278002</v>
      </c>
      <c r="Z1636" s="28">
        <v>0.87368421052631595</v>
      </c>
      <c r="AA1636" s="28">
        <v>0.874309392265193</v>
      </c>
      <c r="AB1636" s="28">
        <v>0.861027190332326</v>
      </c>
      <c r="AC1636" s="28">
        <v>0.92</v>
      </c>
      <c r="AD1636" s="26">
        <v>1</v>
      </c>
      <c r="AE1636" s="26">
        <v>1</v>
      </c>
      <c r="AF1636" s="26">
        <v>1</v>
      </c>
      <c r="AG1636" s="26">
        <v>0.99860917941585503</v>
      </c>
      <c r="AH1636" s="28">
        <v>0.92</v>
      </c>
      <c r="AI1636" s="26">
        <v>0.90997986770204198</v>
      </c>
      <c r="AJ1636" s="26">
        <v>0.90661794559480302</v>
      </c>
      <c r="AK1636" s="26">
        <v>0.92208868628263596</v>
      </c>
      <c r="AL1636" s="26">
        <v>0.89668279198341405</v>
      </c>
      <c r="AM1636" s="25">
        <v>0.99</v>
      </c>
      <c r="AN1636" s="30">
        <v>1</v>
      </c>
      <c r="AO1636" s="30">
        <v>1</v>
      </c>
      <c r="AP1636" s="30">
        <v>1</v>
      </c>
      <c r="AQ1636" s="30">
        <v>1</v>
      </c>
      <c r="AR1636" s="50">
        <v>0.110069253262963</v>
      </c>
      <c r="AS1636" s="34">
        <v>0</v>
      </c>
      <c r="AT1636" s="34">
        <v>0.16666666666666699</v>
      </c>
      <c r="AU1636" s="34">
        <v>0.08</v>
      </c>
      <c r="AV1636" s="34">
        <v>5.9459459459459497E-2</v>
      </c>
      <c r="AW1636" s="10"/>
      <c r="AX1636" s="8"/>
    </row>
    <row r="1637" spans="1:50">
      <c r="A1637" s="7"/>
      <c r="B1637" s="10"/>
      <c r="C1637" s="45" t="s">
        <v>1468</v>
      </c>
      <c r="D1637" s="23" t="s">
        <v>27</v>
      </c>
      <c r="E1637" s="61" t="s">
        <v>1681</v>
      </c>
      <c r="F1637" s="61" t="s">
        <v>1681</v>
      </c>
      <c r="G1637" s="61" t="s">
        <v>1681</v>
      </c>
      <c r="H1637" s="61" t="s">
        <v>1681</v>
      </c>
      <c r="I1637" s="25">
        <v>0.9</v>
      </c>
      <c r="J1637" s="26">
        <v>0.96</v>
      </c>
      <c r="K1637" s="26">
        <v>1</v>
      </c>
      <c r="L1637" s="27">
        <v>1</v>
      </c>
      <c r="M1637" s="26">
        <v>0.99337748344370902</v>
      </c>
      <c r="N1637" s="28">
        <v>0.9</v>
      </c>
      <c r="O1637" s="26">
        <v>0.88307584269662898</v>
      </c>
      <c r="P1637" s="26">
        <v>0.82271325796505701</v>
      </c>
      <c r="Q1637" s="26">
        <v>0.86834094368340897</v>
      </c>
      <c r="R1637" s="26">
        <v>0.87494495816820805</v>
      </c>
      <c r="S1637" s="28">
        <v>0.9</v>
      </c>
      <c r="T1637" s="26">
        <v>0.860252808988764</v>
      </c>
      <c r="U1637" s="26">
        <v>0.82785200411099702</v>
      </c>
      <c r="V1637" s="26">
        <v>0.86681887366818899</v>
      </c>
      <c r="W1637" s="26">
        <v>0.83204378184563099</v>
      </c>
      <c r="X1637" s="28">
        <v>0.92</v>
      </c>
      <c r="Y1637" s="28">
        <v>1</v>
      </c>
      <c r="Z1637" s="28">
        <v>0.66666666666666696</v>
      </c>
      <c r="AA1637" s="28">
        <v>0.6</v>
      </c>
      <c r="AB1637" s="28">
        <v>0.51515151515151503</v>
      </c>
      <c r="AC1637" s="28">
        <v>0.92</v>
      </c>
      <c r="AD1637" s="26">
        <v>1</v>
      </c>
      <c r="AE1637" s="26">
        <v>1</v>
      </c>
      <c r="AF1637" s="26">
        <v>0.9</v>
      </c>
      <c r="AG1637" s="26">
        <v>0.91712707182320397</v>
      </c>
      <c r="AH1637" s="28">
        <v>0.92</v>
      </c>
      <c r="AI1637" s="26">
        <v>0.95929824561403498</v>
      </c>
      <c r="AJ1637" s="26">
        <v>0.94869163673678802</v>
      </c>
      <c r="AK1637" s="26">
        <v>0.95861807137433597</v>
      </c>
      <c r="AL1637" s="26">
        <v>0.95142157785727699</v>
      </c>
      <c r="AM1637" s="25">
        <v>0.99</v>
      </c>
      <c r="AN1637" s="30">
        <v>0</v>
      </c>
      <c r="AO1637" s="30">
        <v>0</v>
      </c>
      <c r="AP1637" s="30">
        <v>0</v>
      </c>
      <c r="AQ1637" s="30">
        <v>0</v>
      </c>
      <c r="AR1637" s="50">
        <v>0.110069253262963</v>
      </c>
      <c r="AS1637" s="34">
        <v>0</v>
      </c>
      <c r="AT1637" s="34">
        <v>8.3333333333333301E-2</v>
      </c>
      <c r="AU1637" s="34">
        <v>0.133333333333333</v>
      </c>
      <c r="AV1637" s="34">
        <v>6.4814814814814797E-2</v>
      </c>
      <c r="AW1637" s="10"/>
      <c r="AX1637" s="8"/>
    </row>
    <row r="1638" spans="1:50">
      <c r="A1638" s="7"/>
      <c r="B1638" s="10"/>
      <c r="C1638" s="45" t="s">
        <v>1468</v>
      </c>
      <c r="D1638" s="23" t="s">
        <v>27</v>
      </c>
      <c r="E1638" s="61" t="s">
        <v>1682</v>
      </c>
      <c r="F1638" s="61" t="s">
        <v>1682</v>
      </c>
      <c r="G1638" s="61" t="s">
        <v>1682</v>
      </c>
      <c r="H1638" s="61" t="s">
        <v>1682</v>
      </c>
      <c r="I1638" s="25">
        <v>0.9</v>
      </c>
      <c r="J1638" s="26">
        <v>1</v>
      </c>
      <c r="K1638" s="26">
        <v>0.95454545454545503</v>
      </c>
      <c r="L1638" s="27">
        <v>1</v>
      </c>
      <c r="M1638" s="26">
        <v>0.98484848484848497</v>
      </c>
      <c r="N1638" s="28">
        <v>0.9</v>
      </c>
      <c r="O1638" s="26">
        <v>0.99544270833333304</v>
      </c>
      <c r="P1638" s="26">
        <v>0.99009324009323996</v>
      </c>
      <c r="Q1638" s="26">
        <v>0.95973154362416102</v>
      </c>
      <c r="R1638" s="26">
        <v>0.98780164412622695</v>
      </c>
      <c r="S1638" s="28">
        <v>0.9</v>
      </c>
      <c r="T1638" s="26">
        <v>0.91015625</v>
      </c>
      <c r="U1638" s="26">
        <v>0.93240093240093203</v>
      </c>
      <c r="V1638" s="26">
        <v>0.91898370086289505</v>
      </c>
      <c r="W1638" s="26">
        <v>0.92636789534164199</v>
      </c>
      <c r="X1638" s="28">
        <v>0.92</v>
      </c>
      <c r="Y1638" s="28">
        <v>0</v>
      </c>
      <c r="Z1638" s="28">
        <v>0</v>
      </c>
      <c r="AA1638" s="28">
        <v>0</v>
      </c>
      <c r="AB1638" s="28">
        <v>0</v>
      </c>
      <c r="AC1638" s="28">
        <v>0.92</v>
      </c>
      <c r="AD1638" s="26">
        <v>0.89130434782608703</v>
      </c>
      <c r="AE1638" s="26">
        <v>0.95</v>
      </c>
      <c r="AF1638" s="26">
        <v>1</v>
      </c>
      <c r="AG1638" s="26">
        <v>0.96408839779005495</v>
      </c>
      <c r="AH1638" s="28">
        <v>0.92</v>
      </c>
      <c r="AI1638" s="26">
        <v>0.96158854166666696</v>
      </c>
      <c r="AJ1638" s="26">
        <v>0.96678321678321699</v>
      </c>
      <c r="AK1638" s="26">
        <v>0.97267497603068098</v>
      </c>
      <c r="AL1638" s="26">
        <v>0.97118359409528898</v>
      </c>
      <c r="AM1638" s="25">
        <v>0.99</v>
      </c>
      <c r="AN1638" s="30">
        <v>1</v>
      </c>
      <c r="AO1638" s="30">
        <v>1</v>
      </c>
      <c r="AP1638" s="30">
        <v>1</v>
      </c>
      <c r="AQ1638" s="30">
        <v>1</v>
      </c>
      <c r="AR1638" s="50">
        <v>0.110069253262963</v>
      </c>
      <c r="AS1638" s="34">
        <v>4.7619047619047603E-2</v>
      </c>
      <c r="AT1638" s="34">
        <v>0</v>
      </c>
      <c r="AU1638" s="34">
        <v>0</v>
      </c>
      <c r="AV1638" s="34">
        <v>3.1914893617021302E-2</v>
      </c>
      <c r="AW1638" s="10"/>
      <c r="AX1638" s="8"/>
    </row>
    <row r="1639" spans="1:50">
      <c r="A1639" s="7"/>
      <c r="B1639" s="10"/>
      <c r="C1639" s="45" t="s">
        <v>1468</v>
      </c>
      <c r="D1639" s="23" t="s">
        <v>27</v>
      </c>
      <c r="E1639" s="61" t="s">
        <v>1683</v>
      </c>
      <c r="F1639" s="61" t="s">
        <v>1683</v>
      </c>
      <c r="G1639" s="61" t="s">
        <v>1683</v>
      </c>
      <c r="H1639" s="61" t="s">
        <v>1683</v>
      </c>
      <c r="I1639" s="25">
        <v>0.9</v>
      </c>
      <c r="J1639" s="26">
        <v>0.95833333333333304</v>
      </c>
      <c r="K1639" s="26">
        <v>0.97959183673469397</v>
      </c>
      <c r="L1639" s="27">
        <v>0.97872340425531901</v>
      </c>
      <c r="M1639" s="26">
        <v>0.97916666666666696</v>
      </c>
      <c r="N1639" s="28">
        <v>0.9</v>
      </c>
      <c r="O1639" s="26">
        <v>0.93547478162862796</v>
      </c>
      <c r="P1639" s="26">
        <v>0.96238166417538595</v>
      </c>
      <c r="Q1639" s="26">
        <v>0.86488656896205596</v>
      </c>
      <c r="R1639" s="26">
        <v>0.92110266159695797</v>
      </c>
      <c r="S1639" s="28">
        <v>0.9</v>
      </c>
      <c r="T1639" s="26">
        <v>0.85038038884192702</v>
      </c>
      <c r="U1639" s="26">
        <v>0.89486796213253605</v>
      </c>
      <c r="V1639" s="26">
        <v>0.89319413772334899</v>
      </c>
      <c r="W1639" s="26">
        <v>0.87912547528517104</v>
      </c>
      <c r="X1639" s="28">
        <v>0.92</v>
      </c>
      <c r="Y1639" s="28">
        <v>0</v>
      </c>
      <c r="Z1639" s="28">
        <v>1</v>
      </c>
      <c r="AA1639" s="28">
        <v>0</v>
      </c>
      <c r="AB1639" s="28">
        <v>1</v>
      </c>
      <c r="AC1639" s="28">
        <v>0.92</v>
      </c>
      <c r="AD1639" s="26">
        <v>0.78177966101694896</v>
      </c>
      <c r="AE1639" s="26">
        <v>0.92456479690522198</v>
      </c>
      <c r="AF1639" s="26">
        <v>0.99044585987261102</v>
      </c>
      <c r="AG1639" s="26">
        <v>0.92544459644322796</v>
      </c>
      <c r="AH1639" s="28">
        <v>0.92</v>
      </c>
      <c r="AI1639" s="26">
        <v>0.91518737672583805</v>
      </c>
      <c r="AJ1639" s="26">
        <v>0.94171855541718597</v>
      </c>
      <c r="AK1639" s="26">
        <v>0.94197952218430003</v>
      </c>
      <c r="AL1639" s="26">
        <v>0.93593399490513696</v>
      </c>
      <c r="AM1639" s="25">
        <v>0.99</v>
      </c>
      <c r="AN1639" s="30">
        <v>1</v>
      </c>
      <c r="AO1639" s="30">
        <v>1</v>
      </c>
      <c r="AP1639" s="30">
        <v>1</v>
      </c>
      <c r="AQ1639" s="30">
        <v>1</v>
      </c>
      <c r="AR1639" s="50">
        <v>0.110069253262963</v>
      </c>
      <c r="AS1639" s="34">
        <v>3.2258064516128997E-2</v>
      </c>
      <c r="AT1639" s="34">
        <v>8.5714285714285701E-2</v>
      </c>
      <c r="AU1639" s="34">
        <v>4.3478260869565202E-2</v>
      </c>
      <c r="AV1639" s="34">
        <v>5.4347826086956499E-2</v>
      </c>
      <c r="AW1639" s="10"/>
      <c r="AX1639" s="8"/>
    </row>
    <row r="1640" spans="1:50">
      <c r="A1640" s="7"/>
      <c r="B1640" s="10"/>
      <c r="C1640" s="45" t="s">
        <v>1468</v>
      </c>
      <c r="D1640" s="23" t="s">
        <v>27</v>
      </c>
      <c r="E1640" s="61" t="s">
        <v>1684</v>
      </c>
      <c r="F1640" s="61" t="s">
        <v>1684</v>
      </c>
      <c r="G1640" s="61" t="s">
        <v>1684</v>
      </c>
      <c r="H1640" s="61" t="s">
        <v>1684</v>
      </c>
      <c r="I1640" s="25">
        <v>0.9</v>
      </c>
      <c r="J1640" s="26">
        <v>1</v>
      </c>
      <c r="K1640" s="26">
        <v>0.91666666666666696</v>
      </c>
      <c r="L1640" s="27">
        <v>0.90625</v>
      </c>
      <c r="M1640" s="26">
        <v>0.93023255813953498</v>
      </c>
      <c r="N1640" s="28">
        <v>0.9</v>
      </c>
      <c r="O1640" s="26">
        <v>0.91605504587155995</v>
      </c>
      <c r="P1640" s="26">
        <v>0.91582491582491599</v>
      </c>
      <c r="Q1640" s="26">
        <v>0.90399002493765601</v>
      </c>
      <c r="R1640" s="26">
        <v>0.90913441406951001</v>
      </c>
      <c r="S1640" s="28">
        <v>0.9</v>
      </c>
      <c r="T1640" s="26">
        <v>0.78853211009174295</v>
      </c>
      <c r="U1640" s="26">
        <v>0.809577254021698</v>
      </c>
      <c r="V1640" s="26">
        <v>0.87998753117206996</v>
      </c>
      <c r="W1640" s="26">
        <v>0.83465932882694305</v>
      </c>
      <c r="X1640" s="28">
        <v>0.92</v>
      </c>
      <c r="Y1640" s="28">
        <v>0</v>
      </c>
      <c r="Z1640" s="28">
        <v>0</v>
      </c>
      <c r="AA1640" s="28">
        <v>0</v>
      </c>
      <c r="AB1640" s="28">
        <v>0</v>
      </c>
      <c r="AC1640" s="28">
        <v>0.92</v>
      </c>
      <c r="AD1640" s="26">
        <v>1</v>
      </c>
      <c r="AE1640" s="26">
        <v>0.95852534562212</v>
      </c>
      <c r="AF1640" s="26">
        <v>1</v>
      </c>
      <c r="AG1640" s="26">
        <v>0.97113071371291104</v>
      </c>
      <c r="AH1640" s="28">
        <v>0.92</v>
      </c>
      <c r="AI1640" s="26">
        <v>0.895871559633028</v>
      </c>
      <c r="AJ1640" s="26">
        <v>0.87055742611298204</v>
      </c>
      <c r="AK1640" s="26">
        <v>0.92456359102244401</v>
      </c>
      <c r="AL1640" s="26">
        <v>0.90488724053358904</v>
      </c>
      <c r="AM1640" s="25">
        <v>0.99</v>
      </c>
      <c r="AN1640" s="30">
        <v>1</v>
      </c>
      <c r="AO1640" s="30">
        <v>1</v>
      </c>
      <c r="AP1640" s="30">
        <v>1</v>
      </c>
      <c r="AQ1640" s="30">
        <v>1</v>
      </c>
      <c r="AR1640" s="50">
        <v>0.110069253262963</v>
      </c>
      <c r="AS1640" s="34">
        <v>0</v>
      </c>
      <c r="AT1640" s="34">
        <v>5.8823529411764698E-2</v>
      </c>
      <c r="AU1640" s="34">
        <v>3.5714285714285698E-2</v>
      </c>
      <c r="AV1640" s="34">
        <v>5.7851239669421503E-2</v>
      </c>
      <c r="AW1640" s="10"/>
      <c r="AX1640" s="8"/>
    </row>
    <row r="1641" spans="1:50">
      <c r="A1641" s="7"/>
      <c r="B1641" s="10"/>
      <c r="C1641" s="45" t="s">
        <v>1468</v>
      </c>
      <c r="D1641" s="23" t="s">
        <v>27</v>
      </c>
      <c r="E1641" s="61" t="s">
        <v>1685</v>
      </c>
      <c r="F1641" s="61" t="s">
        <v>1685</v>
      </c>
      <c r="G1641" s="61" t="s">
        <v>1685</v>
      </c>
      <c r="H1641" s="61" t="s">
        <v>1685</v>
      </c>
      <c r="I1641" s="25">
        <v>0.9</v>
      </c>
      <c r="J1641" s="26">
        <v>1</v>
      </c>
      <c r="K1641" s="26">
        <v>1</v>
      </c>
      <c r="L1641" s="27">
        <v>0.92592592592592604</v>
      </c>
      <c r="M1641" s="26">
        <v>0.96250000000000002</v>
      </c>
      <c r="N1641" s="28">
        <v>0.9</v>
      </c>
      <c r="O1641" s="26">
        <v>0.932503276539974</v>
      </c>
      <c r="P1641" s="26">
        <v>0.94345991561181397</v>
      </c>
      <c r="Q1641" s="26">
        <v>0.92873051224944303</v>
      </c>
      <c r="R1641" s="26">
        <v>0.91853688778673304</v>
      </c>
      <c r="S1641" s="28">
        <v>0.9</v>
      </c>
      <c r="T1641" s="26">
        <v>0.70707732634338105</v>
      </c>
      <c r="U1641" s="26">
        <v>0.72995780590717296</v>
      </c>
      <c r="V1641" s="26">
        <v>0.71269487750556804</v>
      </c>
      <c r="W1641" s="26">
        <v>0.68195908245505299</v>
      </c>
      <c r="X1641" s="28">
        <v>0.92</v>
      </c>
      <c r="Y1641" s="28">
        <v>0.82743362831858402</v>
      </c>
      <c r="Z1641" s="28">
        <v>0.89663461538461497</v>
      </c>
      <c r="AA1641" s="28">
        <v>0.91376451077943599</v>
      </c>
      <c r="AB1641" s="28">
        <v>0.86934514394179097</v>
      </c>
      <c r="AC1641" s="28">
        <v>0.92</v>
      </c>
      <c r="AD1641" s="26">
        <v>1</v>
      </c>
      <c r="AE1641" s="26">
        <v>1</v>
      </c>
      <c r="AF1641" s="26">
        <v>0.95522388059701502</v>
      </c>
      <c r="AG1641" s="26">
        <v>0.98739495798319299</v>
      </c>
      <c r="AH1641" s="28">
        <v>0.92</v>
      </c>
      <c r="AI1641" s="26">
        <v>0.87603878116343503</v>
      </c>
      <c r="AJ1641" s="26">
        <v>0.91276490882207995</v>
      </c>
      <c r="AK1641" s="26">
        <v>0.92704081632653101</v>
      </c>
      <c r="AL1641" s="26">
        <v>0.89699066067104805</v>
      </c>
      <c r="AM1641" s="25">
        <v>0.99</v>
      </c>
      <c r="AN1641" s="30">
        <v>0</v>
      </c>
      <c r="AO1641" s="30">
        <v>1</v>
      </c>
      <c r="AP1641" s="30">
        <v>0</v>
      </c>
      <c r="AQ1641" s="30">
        <v>1</v>
      </c>
      <c r="AR1641" s="50">
        <v>0.110069253262963</v>
      </c>
      <c r="AS1641" s="34">
        <v>5.5555555555555601E-2</v>
      </c>
      <c r="AT1641" s="34">
        <v>0.11764705882352899</v>
      </c>
      <c r="AU1641" s="34">
        <v>0.157894736842105</v>
      </c>
      <c r="AV1641" s="34">
        <v>7.5187969924811998E-2</v>
      </c>
      <c r="AW1641" s="10"/>
      <c r="AX1641" s="8"/>
    </row>
    <row r="1642" spans="1:50">
      <c r="A1642" s="7"/>
      <c r="B1642" s="10"/>
      <c r="C1642" s="45" t="s">
        <v>1468</v>
      </c>
      <c r="D1642" s="23" t="s">
        <v>27</v>
      </c>
      <c r="E1642" s="61" t="s">
        <v>1686</v>
      </c>
      <c r="F1642" s="61" t="s">
        <v>1686</v>
      </c>
      <c r="G1642" s="61" t="s">
        <v>1686</v>
      </c>
      <c r="H1642" s="61" t="s">
        <v>1686</v>
      </c>
      <c r="I1642" s="25">
        <v>0.9</v>
      </c>
      <c r="J1642" s="26">
        <v>1</v>
      </c>
      <c r="K1642" s="26">
        <v>0.96969696969696995</v>
      </c>
      <c r="L1642" s="27">
        <v>0.94285714285714295</v>
      </c>
      <c r="M1642" s="26">
        <v>0.980582524271845</v>
      </c>
      <c r="N1642" s="28">
        <v>0.9</v>
      </c>
      <c r="O1642" s="26">
        <v>0.84031496062992095</v>
      </c>
      <c r="P1642" s="26">
        <v>0.83981693363844401</v>
      </c>
      <c r="Q1642" s="26">
        <v>0.81744966442953004</v>
      </c>
      <c r="R1642" s="26">
        <v>0.82733690083115097</v>
      </c>
      <c r="S1642" s="28">
        <v>0.9</v>
      </c>
      <c r="T1642" s="26">
        <v>0.70299212598425198</v>
      </c>
      <c r="U1642" s="26">
        <v>0.66590389016018303</v>
      </c>
      <c r="V1642" s="26">
        <v>0.64865771812080497</v>
      </c>
      <c r="W1642" s="26">
        <v>0.63674143231242197</v>
      </c>
      <c r="X1642" s="28">
        <v>0.92</v>
      </c>
      <c r="Y1642" s="28">
        <v>0.84926931106471804</v>
      </c>
      <c r="Z1642" s="28">
        <v>0.78289000718907298</v>
      </c>
      <c r="AA1642" s="28">
        <v>0.797173732335827</v>
      </c>
      <c r="AB1642" s="28">
        <v>0.77826086956521701</v>
      </c>
      <c r="AC1642" s="28">
        <v>0.92</v>
      </c>
      <c r="AD1642" s="26">
        <v>0.97222222222222199</v>
      </c>
      <c r="AE1642" s="26">
        <v>0.93333333333333302</v>
      </c>
      <c r="AF1642" s="26">
        <v>0.93617021276595702</v>
      </c>
      <c r="AG1642" s="26">
        <v>0.957317073170732</v>
      </c>
      <c r="AH1642" s="28">
        <v>0.92</v>
      </c>
      <c r="AI1642" s="26">
        <v>0.89553042541733996</v>
      </c>
      <c r="AJ1642" s="26">
        <v>0.85472215300274101</v>
      </c>
      <c r="AK1642" s="26">
        <v>0.86806883365200804</v>
      </c>
      <c r="AL1642" s="26">
        <v>0.85219106664787903</v>
      </c>
      <c r="AM1642" s="25">
        <v>0.99</v>
      </c>
      <c r="AN1642" s="30">
        <v>1</v>
      </c>
      <c r="AO1642" s="30">
        <v>1</v>
      </c>
      <c r="AP1642" s="30">
        <v>0</v>
      </c>
      <c r="AQ1642" s="30">
        <v>1</v>
      </c>
      <c r="AR1642" s="50">
        <v>0.110069253262963</v>
      </c>
      <c r="AS1642" s="34">
        <v>0.18518518518518501</v>
      </c>
      <c r="AT1642" s="34">
        <v>9.0909090909090898E-2</v>
      </c>
      <c r="AU1642" s="34">
        <v>0.14285714285714299</v>
      </c>
      <c r="AV1642" s="34">
        <v>0.184</v>
      </c>
      <c r="AW1642" s="10"/>
      <c r="AX1642" s="8"/>
    </row>
    <row r="1643" spans="1:50">
      <c r="A1643" s="7"/>
      <c r="B1643" s="10"/>
      <c r="C1643" s="45" t="s">
        <v>1468</v>
      </c>
      <c r="D1643" s="23" t="s">
        <v>27</v>
      </c>
      <c r="E1643" s="61" t="s">
        <v>1687</v>
      </c>
      <c r="F1643" s="61" t="s">
        <v>1687</v>
      </c>
      <c r="G1643" s="61" t="s">
        <v>1687</v>
      </c>
      <c r="H1643" s="61" t="s">
        <v>1687</v>
      </c>
      <c r="I1643" s="25">
        <v>0.9</v>
      </c>
      <c r="J1643" s="26">
        <v>1</v>
      </c>
      <c r="K1643" s="26">
        <v>0.94285714285714295</v>
      </c>
      <c r="L1643" s="27">
        <v>1</v>
      </c>
      <c r="M1643" s="26">
        <v>0.98514851485148502</v>
      </c>
      <c r="N1643" s="28">
        <v>0.9</v>
      </c>
      <c r="O1643" s="26">
        <v>0.90734901770555398</v>
      </c>
      <c r="P1643" s="26">
        <v>0.90933734939759003</v>
      </c>
      <c r="Q1643" s="26">
        <v>0.96220251983201099</v>
      </c>
      <c r="R1643" s="26">
        <v>0.90734836855984602</v>
      </c>
      <c r="S1643" s="28">
        <v>0.9</v>
      </c>
      <c r="T1643" s="26">
        <v>0.86005335920446302</v>
      </c>
      <c r="U1643" s="26">
        <v>0.79126506024096399</v>
      </c>
      <c r="V1643" s="26">
        <v>0.78628091460569305</v>
      </c>
      <c r="W1643" s="26">
        <v>0.79836265596095601</v>
      </c>
      <c r="X1643" s="28">
        <v>0.92</v>
      </c>
      <c r="Y1643" s="28">
        <v>0.66666666666666696</v>
      </c>
      <c r="Z1643" s="28">
        <v>0</v>
      </c>
      <c r="AA1643" s="28">
        <v>0.33333333333333298</v>
      </c>
      <c r="AB1643" s="28">
        <v>0.14000000000000001</v>
      </c>
      <c r="AC1643" s="28">
        <v>0.92</v>
      </c>
      <c r="AD1643" s="26">
        <v>1</v>
      </c>
      <c r="AE1643" s="26">
        <v>0.98214285714285698</v>
      </c>
      <c r="AF1643" s="26">
        <v>0.95</v>
      </c>
      <c r="AG1643" s="26">
        <v>0.96296296296296302</v>
      </c>
      <c r="AH1643" s="28">
        <v>0.92</v>
      </c>
      <c r="AI1643" s="26">
        <v>0.96413859946692504</v>
      </c>
      <c r="AJ1643" s="26">
        <v>0.95918367346938804</v>
      </c>
      <c r="AK1643" s="26">
        <v>0.95929285880437298</v>
      </c>
      <c r="AL1643" s="26">
        <v>0.95956502963922596</v>
      </c>
      <c r="AM1643" s="25">
        <v>0.99</v>
      </c>
      <c r="AN1643" s="30">
        <v>1</v>
      </c>
      <c r="AO1643" s="30">
        <v>1</v>
      </c>
      <c r="AP1643" s="30">
        <v>1</v>
      </c>
      <c r="AQ1643" s="30">
        <v>1</v>
      </c>
      <c r="AR1643" s="50">
        <v>0.110069253262963</v>
      </c>
      <c r="AS1643" s="34">
        <v>0.125</v>
      </c>
      <c r="AT1643" s="34">
        <v>0.28571428571428598</v>
      </c>
      <c r="AU1643" s="34">
        <v>0.05</v>
      </c>
      <c r="AV1643" s="34">
        <v>0.11764705882352899</v>
      </c>
      <c r="AW1643" s="10"/>
      <c r="AX1643" s="8"/>
    </row>
    <row r="1644" spans="1:50">
      <c r="A1644" s="7"/>
      <c r="B1644" s="10"/>
      <c r="C1644" s="45" t="s">
        <v>1468</v>
      </c>
      <c r="D1644" s="23" t="s">
        <v>27</v>
      </c>
      <c r="E1644" s="61" t="s">
        <v>1688</v>
      </c>
      <c r="F1644" s="61" t="s">
        <v>1688</v>
      </c>
      <c r="G1644" s="61" t="s">
        <v>1688</v>
      </c>
      <c r="H1644" s="61" t="s">
        <v>1688</v>
      </c>
      <c r="I1644" s="25">
        <v>0.9</v>
      </c>
      <c r="J1644" s="26">
        <v>0.91111111111111098</v>
      </c>
      <c r="K1644" s="26">
        <v>0.93023255813953498</v>
      </c>
      <c r="L1644" s="27">
        <v>0.93023255813953498</v>
      </c>
      <c r="M1644" s="26">
        <v>0.89694656488549596</v>
      </c>
      <c r="N1644" s="28">
        <v>0.9</v>
      </c>
      <c r="O1644" s="26">
        <v>0.84359351988218001</v>
      </c>
      <c r="P1644" s="26">
        <v>0.79637681159420304</v>
      </c>
      <c r="Q1644" s="26">
        <v>0.70085470085470103</v>
      </c>
      <c r="R1644" s="26">
        <v>0.76546371750096998</v>
      </c>
      <c r="S1644" s="28">
        <v>0.9</v>
      </c>
      <c r="T1644" s="26">
        <v>0.67599410898379997</v>
      </c>
      <c r="U1644" s="26">
        <v>0.69879227053140103</v>
      </c>
      <c r="V1644" s="26">
        <v>0.65384615384615397</v>
      </c>
      <c r="W1644" s="26">
        <v>0.68804811796662801</v>
      </c>
      <c r="X1644" s="28">
        <v>0.92</v>
      </c>
      <c r="Y1644" s="28">
        <v>0</v>
      </c>
      <c r="Z1644" s="28">
        <v>0</v>
      </c>
      <c r="AA1644" s="28">
        <v>0</v>
      </c>
      <c r="AB1644" s="28">
        <v>0</v>
      </c>
      <c r="AC1644" s="28">
        <v>0.92</v>
      </c>
      <c r="AD1644" s="26">
        <v>0.99546485260771</v>
      </c>
      <c r="AE1644" s="26">
        <v>0.96088019559902205</v>
      </c>
      <c r="AF1644" s="26">
        <v>0.98993963782696204</v>
      </c>
      <c r="AG1644" s="26">
        <v>0.987669053301512</v>
      </c>
      <c r="AH1644" s="28">
        <v>0.92</v>
      </c>
      <c r="AI1644" s="26">
        <v>0.85743740795287204</v>
      </c>
      <c r="AJ1644" s="26">
        <v>0.86014492753623195</v>
      </c>
      <c r="AK1644" s="26">
        <v>0.838013838013838</v>
      </c>
      <c r="AL1644" s="26">
        <v>0.84947613504074504</v>
      </c>
      <c r="AM1644" s="25">
        <v>0.99</v>
      </c>
      <c r="AN1644" s="30">
        <v>1</v>
      </c>
      <c r="AO1644" s="30">
        <v>1</v>
      </c>
      <c r="AP1644" s="30">
        <v>1</v>
      </c>
      <c r="AQ1644" s="30">
        <v>1</v>
      </c>
      <c r="AR1644" s="50">
        <v>0.110069253262963</v>
      </c>
      <c r="AS1644" s="34">
        <v>0.14285714285714299</v>
      </c>
      <c r="AT1644" s="34">
        <v>2.9411764705882401E-2</v>
      </c>
      <c r="AU1644" s="34">
        <v>6.6666666666666693E-2</v>
      </c>
      <c r="AV1644" s="34">
        <v>7.69230769230769E-2</v>
      </c>
      <c r="AW1644" s="10"/>
      <c r="AX1644" s="8"/>
    </row>
    <row r="1645" spans="1:50">
      <c r="A1645" s="7"/>
      <c r="B1645" s="10"/>
      <c r="C1645" s="45" t="s">
        <v>1468</v>
      </c>
      <c r="D1645" s="23" t="s">
        <v>27</v>
      </c>
      <c r="E1645" s="61" t="s">
        <v>1689</v>
      </c>
      <c r="F1645" s="61" t="s">
        <v>1689</v>
      </c>
      <c r="G1645" s="61" t="s">
        <v>1689</v>
      </c>
      <c r="H1645" s="61" t="s">
        <v>1689</v>
      </c>
      <c r="I1645" s="25">
        <v>0.9</v>
      </c>
      <c r="J1645" s="26">
        <v>0.96428571428571397</v>
      </c>
      <c r="K1645" s="26">
        <v>0.96153846153846201</v>
      </c>
      <c r="L1645" s="27">
        <v>1</v>
      </c>
      <c r="M1645" s="26">
        <v>0.96250000000000002</v>
      </c>
      <c r="N1645" s="28">
        <v>0.9</v>
      </c>
      <c r="O1645" s="26">
        <v>0.85673443456162601</v>
      </c>
      <c r="P1645" s="26">
        <v>0.82727975270479104</v>
      </c>
      <c r="Q1645" s="26">
        <v>0.72073427625639497</v>
      </c>
      <c r="R1645" s="26">
        <v>0.81412733930024395</v>
      </c>
      <c r="S1645" s="28">
        <v>0.9</v>
      </c>
      <c r="T1645" s="26">
        <v>0.78684879288437104</v>
      </c>
      <c r="U1645" s="26">
        <v>0.81143740340030901</v>
      </c>
      <c r="V1645" s="26">
        <v>0.74480890761360197</v>
      </c>
      <c r="W1645" s="26">
        <v>0.77140968266883603</v>
      </c>
      <c r="X1645" s="28">
        <v>0.92</v>
      </c>
      <c r="Y1645" s="28">
        <v>1</v>
      </c>
      <c r="Z1645" s="28">
        <v>0.33333333333333298</v>
      </c>
      <c r="AA1645" s="28">
        <v>0.66666666666666696</v>
      </c>
      <c r="AB1645" s="28">
        <v>0.29729729729729698</v>
      </c>
      <c r="AC1645" s="28">
        <v>0.92</v>
      </c>
      <c r="AD1645" s="26">
        <v>1</v>
      </c>
      <c r="AE1645" s="26">
        <v>1</v>
      </c>
      <c r="AF1645" s="26">
        <v>1</v>
      </c>
      <c r="AG1645" s="26">
        <v>0.98422712933753898</v>
      </c>
      <c r="AH1645" s="28">
        <v>0.92</v>
      </c>
      <c r="AI1645" s="26">
        <v>0.961928934010152</v>
      </c>
      <c r="AJ1645" s="26">
        <v>0.95522964106522601</v>
      </c>
      <c r="AK1645" s="26">
        <v>0.95581605049594198</v>
      </c>
      <c r="AL1645" s="26">
        <v>0.95869068764273002</v>
      </c>
      <c r="AM1645" s="25">
        <v>0.99</v>
      </c>
      <c r="AN1645" s="30">
        <v>1</v>
      </c>
      <c r="AO1645" s="30">
        <v>1</v>
      </c>
      <c r="AP1645" s="30">
        <v>1</v>
      </c>
      <c r="AQ1645" s="30">
        <v>1</v>
      </c>
      <c r="AR1645" s="50">
        <v>0.110069253262963</v>
      </c>
      <c r="AS1645" s="34">
        <v>0</v>
      </c>
      <c r="AT1645" s="34">
        <v>6.4516129032258104E-2</v>
      </c>
      <c r="AU1645" s="34">
        <v>0</v>
      </c>
      <c r="AV1645" s="34">
        <v>3.5294117647058802E-2</v>
      </c>
      <c r="AW1645" s="10"/>
      <c r="AX1645" s="8"/>
    </row>
    <row r="1646" spans="1:50">
      <c r="A1646" s="7"/>
      <c r="B1646" s="10"/>
      <c r="C1646" s="45" t="s">
        <v>1468</v>
      </c>
      <c r="D1646" s="23" t="s">
        <v>27</v>
      </c>
      <c r="E1646" s="61" t="s">
        <v>1690</v>
      </c>
      <c r="F1646" s="61" t="s">
        <v>1690</v>
      </c>
      <c r="G1646" s="61" t="s">
        <v>1690</v>
      </c>
      <c r="H1646" s="61" t="s">
        <v>1690</v>
      </c>
      <c r="I1646" s="25">
        <v>0.9</v>
      </c>
      <c r="J1646" s="26">
        <v>0.96153846153846201</v>
      </c>
      <c r="K1646" s="26">
        <v>0.92307692307692302</v>
      </c>
      <c r="L1646" s="27">
        <v>0.95833333333333304</v>
      </c>
      <c r="M1646" s="26">
        <v>0.94039735099337796</v>
      </c>
      <c r="N1646" s="28">
        <v>0.9</v>
      </c>
      <c r="O1646" s="26">
        <v>0.91518624641833801</v>
      </c>
      <c r="P1646" s="26">
        <v>0.93963463065925301</v>
      </c>
      <c r="Q1646" s="26">
        <v>0.90158520475561399</v>
      </c>
      <c r="R1646" s="26">
        <v>0.93795826283135897</v>
      </c>
      <c r="S1646" s="28">
        <v>0.9</v>
      </c>
      <c r="T1646" s="26">
        <v>0.85845272206303702</v>
      </c>
      <c r="U1646" s="26">
        <v>0.56632247815726799</v>
      </c>
      <c r="V1646" s="26">
        <v>0.547556142668428</v>
      </c>
      <c r="W1646" s="26">
        <v>0.61725888324873102</v>
      </c>
      <c r="X1646" s="28">
        <v>0.92</v>
      </c>
      <c r="Y1646" s="28">
        <v>0.85818422796553995</v>
      </c>
      <c r="Z1646" s="28">
        <v>0.89236790606653604</v>
      </c>
      <c r="AA1646" s="28">
        <v>0.90275761973875202</v>
      </c>
      <c r="AB1646" s="28">
        <v>0.86170806586659199</v>
      </c>
      <c r="AC1646" s="28">
        <v>0.92</v>
      </c>
      <c r="AD1646" s="26">
        <v>0.9</v>
      </c>
      <c r="AE1646" s="26">
        <v>0.33333333333333298</v>
      </c>
      <c r="AF1646" s="26">
        <v>1</v>
      </c>
      <c r="AG1646" s="26">
        <v>0.87179487179487203</v>
      </c>
      <c r="AH1646" s="28">
        <v>0.92</v>
      </c>
      <c r="AI1646" s="26">
        <v>0.91551459293394799</v>
      </c>
      <c r="AJ1646" s="26">
        <v>0.91239597021463004</v>
      </c>
      <c r="AK1646" s="26">
        <v>0.92475067996373495</v>
      </c>
      <c r="AL1646" s="26">
        <v>0.90700573423086495</v>
      </c>
      <c r="AM1646" s="25">
        <v>0.99</v>
      </c>
      <c r="AN1646" s="30">
        <v>1</v>
      </c>
      <c r="AO1646" s="30">
        <v>0</v>
      </c>
      <c r="AP1646" s="30">
        <v>0</v>
      </c>
      <c r="AQ1646" s="30">
        <v>1</v>
      </c>
      <c r="AR1646" s="50">
        <v>0.110069253262963</v>
      </c>
      <c r="AS1646" s="34">
        <v>0</v>
      </c>
      <c r="AT1646" s="34">
        <v>0.05</v>
      </c>
      <c r="AU1646" s="34">
        <v>3.8461538461538498E-2</v>
      </c>
      <c r="AV1646" s="34">
        <v>5.34351145038168E-2</v>
      </c>
      <c r="AW1646" s="10"/>
      <c r="AX1646" s="8"/>
    </row>
    <row r="1647" spans="1:50">
      <c r="A1647" s="7"/>
      <c r="B1647" s="10"/>
      <c r="C1647" s="45" t="s">
        <v>1468</v>
      </c>
      <c r="D1647" s="23" t="s">
        <v>27</v>
      </c>
      <c r="E1647" s="61" t="s">
        <v>1691</v>
      </c>
      <c r="F1647" s="61" t="s">
        <v>1691</v>
      </c>
      <c r="G1647" s="61" t="s">
        <v>1691</v>
      </c>
      <c r="H1647" s="61" t="s">
        <v>1691</v>
      </c>
      <c r="I1647" s="25">
        <v>0.9</v>
      </c>
      <c r="J1647" s="26">
        <v>1</v>
      </c>
      <c r="K1647" s="26">
        <v>0.96428571428571397</v>
      </c>
      <c r="L1647" s="27">
        <v>0.92592592592592604</v>
      </c>
      <c r="M1647" s="26">
        <v>0.95857988165680497</v>
      </c>
      <c r="N1647" s="28">
        <v>0.9</v>
      </c>
      <c r="O1647" s="26">
        <v>0.96622264509990496</v>
      </c>
      <c r="P1647" s="26">
        <v>0.970822281167109</v>
      </c>
      <c r="Q1647" s="26">
        <v>0.97126760563380299</v>
      </c>
      <c r="R1647" s="26">
        <v>0.96670707824302904</v>
      </c>
      <c r="S1647" s="28">
        <v>0.9</v>
      </c>
      <c r="T1647" s="26">
        <v>0.64605137963843995</v>
      </c>
      <c r="U1647" s="26">
        <v>0.58753315649867399</v>
      </c>
      <c r="V1647" s="26">
        <v>0.49915492957746499</v>
      </c>
      <c r="W1647" s="26">
        <v>0.58146041219807898</v>
      </c>
      <c r="X1647" s="28">
        <v>0.92</v>
      </c>
      <c r="Y1647" s="28">
        <v>0.74595267745952698</v>
      </c>
      <c r="Z1647" s="28">
        <v>0.67819148936170204</v>
      </c>
      <c r="AA1647" s="28">
        <v>0.65270935960591103</v>
      </c>
      <c r="AB1647" s="28">
        <v>0.72495213784301205</v>
      </c>
      <c r="AC1647" s="28">
        <v>0.92</v>
      </c>
      <c r="AD1647" s="26">
        <v>0.57142857142857095</v>
      </c>
      <c r="AE1647" s="26">
        <v>1</v>
      </c>
      <c r="AF1647" s="26">
        <v>0.5</v>
      </c>
      <c r="AG1647" s="26">
        <v>0.71698113207547198</v>
      </c>
      <c r="AH1647" s="28">
        <v>0.92</v>
      </c>
      <c r="AI1647" s="26">
        <v>0.82038834951456296</v>
      </c>
      <c r="AJ1647" s="26">
        <v>0.78224582701062195</v>
      </c>
      <c r="AK1647" s="26">
        <v>0.78408651989184996</v>
      </c>
      <c r="AL1647" s="26">
        <v>0.80381280629005303</v>
      </c>
      <c r="AM1647" s="25">
        <v>0.99</v>
      </c>
      <c r="AN1647" s="30">
        <v>1</v>
      </c>
      <c r="AO1647" s="30">
        <v>1</v>
      </c>
      <c r="AP1647" s="30">
        <v>1</v>
      </c>
      <c r="AQ1647" s="30">
        <v>1</v>
      </c>
      <c r="AR1647" s="50">
        <v>0.110069253262963</v>
      </c>
      <c r="AS1647" s="34">
        <v>4.3478260869565202E-2</v>
      </c>
      <c r="AT1647" s="34">
        <v>0</v>
      </c>
      <c r="AU1647" s="34">
        <v>3.5714285714285698E-2</v>
      </c>
      <c r="AV1647" s="34">
        <v>3.8167938931297697E-2</v>
      </c>
      <c r="AW1647" s="10"/>
      <c r="AX1647" s="8"/>
    </row>
    <row r="1648" spans="1:50">
      <c r="A1648" s="7"/>
      <c r="B1648" s="10"/>
      <c r="C1648" s="45" t="s">
        <v>1468</v>
      </c>
      <c r="D1648" s="23" t="s">
        <v>27</v>
      </c>
      <c r="E1648" s="61" t="s">
        <v>1692</v>
      </c>
      <c r="F1648" s="61" t="s">
        <v>1692</v>
      </c>
      <c r="G1648" s="61" t="s">
        <v>1692</v>
      </c>
      <c r="H1648" s="61" t="s">
        <v>1692</v>
      </c>
      <c r="I1648" s="25">
        <v>0.9</v>
      </c>
      <c r="J1648" s="26">
        <v>0.96551724137931005</v>
      </c>
      <c r="K1648" s="26">
        <v>1</v>
      </c>
      <c r="L1648" s="27">
        <v>1</v>
      </c>
      <c r="M1648" s="26">
        <v>0.95833333333333304</v>
      </c>
      <c r="N1648" s="28">
        <v>0.9</v>
      </c>
      <c r="O1648" s="26">
        <v>0.86358754027926998</v>
      </c>
      <c r="P1648" s="26">
        <v>0.82246610716591395</v>
      </c>
      <c r="Q1648" s="26">
        <v>0.78429915799900896</v>
      </c>
      <c r="R1648" s="26">
        <v>0.80291939739552298</v>
      </c>
      <c r="S1648" s="28">
        <v>0.9</v>
      </c>
      <c r="T1648" s="26">
        <v>0.63480128893662702</v>
      </c>
      <c r="U1648" s="26">
        <v>0.60038734667527405</v>
      </c>
      <c r="V1648" s="26">
        <v>0.60475482912332801</v>
      </c>
      <c r="W1648" s="26">
        <v>0.60817941952506605</v>
      </c>
      <c r="X1648" s="28">
        <v>0.92</v>
      </c>
      <c r="Y1648" s="28">
        <v>0.5</v>
      </c>
      <c r="Z1648" s="28">
        <v>0</v>
      </c>
      <c r="AA1648" s="28">
        <v>0</v>
      </c>
      <c r="AB1648" s="28">
        <v>3.2258064516128997E-2</v>
      </c>
      <c r="AC1648" s="28">
        <v>0.92</v>
      </c>
      <c r="AD1648" s="26">
        <v>1</v>
      </c>
      <c r="AE1648" s="26">
        <v>0.97872340425531901</v>
      </c>
      <c r="AF1648" s="26">
        <v>0.93877551020408201</v>
      </c>
      <c r="AG1648" s="26">
        <v>0.97925311203319498</v>
      </c>
      <c r="AH1648" s="28">
        <v>0.92</v>
      </c>
      <c r="AI1648" s="26">
        <v>0.88217928073000496</v>
      </c>
      <c r="AJ1648" s="26">
        <v>0.88623912342893996</v>
      </c>
      <c r="AK1648" s="26">
        <v>0.84088097005691698</v>
      </c>
      <c r="AL1648" s="26">
        <v>0.87546207775653295</v>
      </c>
      <c r="AM1648" s="25">
        <v>0.99</v>
      </c>
      <c r="AN1648" s="30">
        <v>0</v>
      </c>
      <c r="AO1648" s="30">
        <v>0</v>
      </c>
      <c r="AP1648" s="30">
        <v>1</v>
      </c>
      <c r="AQ1648" s="30">
        <v>1</v>
      </c>
      <c r="AR1648" s="50">
        <v>0.110069253262963</v>
      </c>
      <c r="AS1648" s="34">
        <v>0</v>
      </c>
      <c r="AT1648" s="34">
        <v>0</v>
      </c>
      <c r="AU1648" s="34">
        <v>0.26315789473684198</v>
      </c>
      <c r="AV1648" s="34">
        <v>8.54700854700855E-2</v>
      </c>
      <c r="AW1648" s="10"/>
      <c r="AX1648" s="8"/>
    </row>
    <row r="1649" spans="1:50">
      <c r="A1649" s="7"/>
      <c r="B1649" s="10"/>
      <c r="C1649" s="45" t="s">
        <v>1468</v>
      </c>
      <c r="D1649" s="23" t="s">
        <v>27</v>
      </c>
      <c r="E1649" s="61" t="s">
        <v>1693</v>
      </c>
      <c r="F1649" s="61" t="s">
        <v>1693</v>
      </c>
      <c r="G1649" s="61" t="s">
        <v>1693</v>
      </c>
      <c r="H1649" s="61" t="s">
        <v>1693</v>
      </c>
      <c r="I1649" s="25">
        <v>0.9</v>
      </c>
      <c r="J1649" s="26">
        <v>0.94117647058823495</v>
      </c>
      <c r="K1649" s="26">
        <v>0.97142857142857097</v>
      </c>
      <c r="L1649" s="27">
        <v>0.94285714285714295</v>
      </c>
      <c r="M1649" s="26">
        <v>0.94835680751173701</v>
      </c>
      <c r="N1649" s="28">
        <v>0.9</v>
      </c>
      <c r="O1649" s="26">
        <v>0.85146804835923995</v>
      </c>
      <c r="P1649" s="26">
        <v>0.96957236842105299</v>
      </c>
      <c r="Q1649" s="26">
        <v>0.964836033188463</v>
      </c>
      <c r="R1649" s="26">
        <v>0.93705634776053803</v>
      </c>
      <c r="S1649" s="28">
        <v>0.9</v>
      </c>
      <c r="T1649" s="26">
        <v>0.49671848013816899</v>
      </c>
      <c r="U1649" s="26">
        <v>0.4296875</v>
      </c>
      <c r="V1649" s="26">
        <v>0.37376531015408898</v>
      </c>
      <c r="W1649" s="26">
        <v>0.408065833280985</v>
      </c>
      <c r="X1649" s="28">
        <v>0.92</v>
      </c>
      <c r="Y1649" s="28">
        <v>0.61545756282598396</v>
      </c>
      <c r="Z1649" s="28">
        <v>0.65938206480783701</v>
      </c>
      <c r="AA1649" s="28">
        <v>0.65200391006842595</v>
      </c>
      <c r="AB1649" s="28">
        <v>0.629666700030027</v>
      </c>
      <c r="AC1649" s="28">
        <v>0.92</v>
      </c>
      <c r="AD1649" s="26">
        <v>0.931034482758621</v>
      </c>
      <c r="AE1649" s="26">
        <v>0.84210526315789502</v>
      </c>
      <c r="AF1649" s="26">
        <v>0.73684210526315796</v>
      </c>
      <c r="AG1649" s="26">
        <v>0.88549618320610701</v>
      </c>
      <c r="AH1649" s="28">
        <v>0.92</v>
      </c>
      <c r="AI1649" s="26">
        <v>0.71788211788211798</v>
      </c>
      <c r="AJ1649" s="26">
        <v>0.75630475179187695</v>
      </c>
      <c r="AK1649" s="26">
        <v>0.780089988751406</v>
      </c>
      <c r="AL1649" s="26">
        <v>0.74726291441788695</v>
      </c>
      <c r="AM1649" s="25">
        <v>0.99</v>
      </c>
      <c r="AN1649" s="30">
        <v>0</v>
      </c>
      <c r="AO1649" s="30">
        <v>0</v>
      </c>
      <c r="AP1649" s="30">
        <v>0</v>
      </c>
      <c r="AQ1649" s="30">
        <v>1</v>
      </c>
      <c r="AR1649" s="50">
        <v>0.110069253262963</v>
      </c>
      <c r="AS1649" s="34">
        <v>0</v>
      </c>
      <c r="AT1649" s="34">
        <v>4.5454545454545497E-2</v>
      </c>
      <c r="AU1649" s="34">
        <v>5.2631578947368397E-2</v>
      </c>
      <c r="AV1649" s="34">
        <v>9.1549295774647904E-2</v>
      </c>
      <c r="AW1649" s="10"/>
      <c r="AX1649" s="8"/>
    </row>
    <row r="1650" spans="1:50">
      <c r="A1650" s="7"/>
      <c r="B1650" s="10"/>
      <c r="C1650" s="45" t="s">
        <v>1468</v>
      </c>
      <c r="D1650" s="23" t="s">
        <v>27</v>
      </c>
      <c r="E1650" s="61" t="s">
        <v>1694</v>
      </c>
      <c r="F1650" s="61" t="s">
        <v>1694</v>
      </c>
      <c r="G1650" s="61" t="s">
        <v>1694</v>
      </c>
      <c r="H1650" s="61" t="s">
        <v>1694</v>
      </c>
      <c r="I1650" s="25">
        <v>0.9</v>
      </c>
      <c r="J1650" s="26">
        <v>0.89473684210526305</v>
      </c>
      <c r="K1650" s="26">
        <v>0.92105263157894701</v>
      </c>
      <c r="L1650" s="27">
        <v>0.94444444444444398</v>
      </c>
      <c r="M1650" s="26">
        <v>0.85714285714285698</v>
      </c>
      <c r="N1650" s="28">
        <v>0.9</v>
      </c>
      <c r="O1650" s="26">
        <v>0.903696682464455</v>
      </c>
      <c r="P1650" s="26">
        <v>0.79651675485008799</v>
      </c>
      <c r="Q1650" s="26">
        <v>0.93060468249957895</v>
      </c>
      <c r="R1650" s="26">
        <v>0.89802537167786001</v>
      </c>
      <c r="S1650" s="28">
        <v>0.9</v>
      </c>
      <c r="T1650" s="26">
        <v>0.691374407582938</v>
      </c>
      <c r="U1650" s="26">
        <v>0.77821869488536199</v>
      </c>
      <c r="V1650" s="26">
        <v>0.65066531918477299</v>
      </c>
      <c r="W1650" s="26">
        <v>0.709718156248206</v>
      </c>
      <c r="X1650" s="28">
        <v>0.92</v>
      </c>
      <c r="Y1650" s="28">
        <v>0</v>
      </c>
      <c r="Z1650" s="28">
        <v>0</v>
      </c>
      <c r="AA1650" s="28">
        <v>0</v>
      </c>
      <c r="AB1650" s="28">
        <v>0</v>
      </c>
      <c r="AC1650" s="28">
        <v>0.92</v>
      </c>
      <c r="AD1650" s="26">
        <v>1</v>
      </c>
      <c r="AE1650" s="26">
        <v>1</v>
      </c>
      <c r="AF1650" s="26">
        <v>0.78378378378378399</v>
      </c>
      <c r="AG1650" s="26">
        <v>0.92400000000000004</v>
      </c>
      <c r="AH1650" s="28">
        <v>0.92</v>
      </c>
      <c r="AI1650" s="26">
        <v>0.93919302898276202</v>
      </c>
      <c r="AJ1650" s="26">
        <v>0.95085940943146796</v>
      </c>
      <c r="AK1650" s="26">
        <v>0.93902644433215399</v>
      </c>
      <c r="AL1650" s="26">
        <v>0.94688665710186504</v>
      </c>
      <c r="AM1650" s="25">
        <v>0.99</v>
      </c>
      <c r="AN1650" s="30">
        <v>1</v>
      </c>
      <c r="AO1650" s="30">
        <v>1</v>
      </c>
      <c r="AP1650" s="30">
        <v>1</v>
      </c>
      <c r="AQ1650" s="30">
        <v>1</v>
      </c>
      <c r="AR1650" s="50">
        <v>0.110069253262963</v>
      </c>
      <c r="AS1650" s="34">
        <v>0.14285714285714299</v>
      </c>
      <c r="AT1650" s="34">
        <v>0.125</v>
      </c>
      <c r="AU1650" s="34">
        <v>0.125</v>
      </c>
      <c r="AV1650" s="34">
        <v>0.10344827586206901</v>
      </c>
      <c r="AW1650" s="10"/>
      <c r="AX1650" s="8"/>
    </row>
    <row r="1651" spans="1:50">
      <c r="A1651" s="7"/>
      <c r="B1651" s="10"/>
      <c r="C1651" s="45" t="s">
        <v>1468</v>
      </c>
      <c r="D1651" s="23" t="s">
        <v>27</v>
      </c>
      <c r="E1651" s="61" t="s">
        <v>1695</v>
      </c>
      <c r="F1651" s="61" t="s">
        <v>1695</v>
      </c>
      <c r="G1651" s="61" t="s">
        <v>1695</v>
      </c>
      <c r="H1651" s="61" t="s">
        <v>1695</v>
      </c>
      <c r="I1651" s="25">
        <v>0.9</v>
      </c>
      <c r="J1651" s="26">
        <v>0.82051282051282004</v>
      </c>
      <c r="K1651" s="26">
        <v>0.78048780487804903</v>
      </c>
      <c r="L1651" s="27">
        <v>0.82222222222222197</v>
      </c>
      <c r="M1651" s="26">
        <v>0.83606557377049195</v>
      </c>
      <c r="N1651" s="28">
        <v>0.9</v>
      </c>
      <c r="O1651" s="26">
        <v>0.98174071819841802</v>
      </c>
      <c r="P1651" s="26">
        <v>0.98832812756863397</v>
      </c>
      <c r="Q1651" s="26">
        <v>0.98792048929663601</v>
      </c>
      <c r="R1651" s="26">
        <v>0.98567660247955702</v>
      </c>
      <c r="S1651" s="28">
        <v>0.9</v>
      </c>
      <c r="T1651" s="26">
        <v>0.89490768918644803</v>
      </c>
      <c r="U1651" s="26">
        <v>0.911392405063291</v>
      </c>
      <c r="V1651" s="26">
        <v>0.85917431192660598</v>
      </c>
      <c r="W1651" s="26">
        <v>0.89464521234502803</v>
      </c>
      <c r="X1651" s="28">
        <v>0.92</v>
      </c>
      <c r="Y1651" s="28">
        <v>0</v>
      </c>
      <c r="Z1651" s="28">
        <v>0</v>
      </c>
      <c r="AA1651" s="28">
        <v>0</v>
      </c>
      <c r="AB1651" s="28">
        <v>0</v>
      </c>
      <c r="AC1651" s="28">
        <v>0.92</v>
      </c>
      <c r="AD1651" s="26">
        <v>1</v>
      </c>
      <c r="AE1651" s="26">
        <v>1</v>
      </c>
      <c r="AF1651" s="26">
        <v>1</v>
      </c>
      <c r="AG1651" s="26">
        <v>1</v>
      </c>
      <c r="AH1651" s="28">
        <v>0.92</v>
      </c>
      <c r="AI1651" s="26">
        <v>0.94704808277541097</v>
      </c>
      <c r="AJ1651" s="26">
        <v>0.96498438270590203</v>
      </c>
      <c r="AK1651" s="26">
        <v>0.95169672882910405</v>
      </c>
      <c r="AL1651" s="26">
        <v>0.95819375939651297</v>
      </c>
      <c r="AM1651" s="25">
        <v>0.99</v>
      </c>
      <c r="AN1651" s="30">
        <v>0</v>
      </c>
      <c r="AO1651" s="30">
        <v>0</v>
      </c>
      <c r="AP1651" s="30">
        <v>0</v>
      </c>
      <c r="AQ1651" s="30">
        <v>0</v>
      </c>
      <c r="AR1651" s="50">
        <v>0.110069253262963</v>
      </c>
      <c r="AS1651" s="34">
        <v>0.125</v>
      </c>
      <c r="AT1651" s="34">
        <v>7.69230769230769E-2</v>
      </c>
      <c r="AU1651" s="34">
        <v>2.9411764705882401E-2</v>
      </c>
      <c r="AV1651" s="34">
        <v>6.3829787234042507E-2</v>
      </c>
      <c r="AW1651" s="10"/>
      <c r="AX1651" s="8"/>
    </row>
    <row r="1652" spans="1:50">
      <c r="A1652" s="7"/>
      <c r="B1652" s="10"/>
      <c r="C1652" s="45" t="s">
        <v>1468</v>
      </c>
      <c r="D1652" s="23" t="s">
        <v>27</v>
      </c>
      <c r="E1652" s="61" t="s">
        <v>1696</v>
      </c>
      <c r="F1652" s="61" t="s">
        <v>1696</v>
      </c>
      <c r="G1652" s="61" t="s">
        <v>1696</v>
      </c>
      <c r="H1652" s="61" t="s">
        <v>1696</v>
      </c>
      <c r="I1652" s="25">
        <v>0.9</v>
      </c>
      <c r="J1652" s="26">
        <v>1</v>
      </c>
      <c r="K1652" s="26">
        <v>0.85714285714285698</v>
      </c>
      <c r="L1652" s="27">
        <v>0.88571428571428601</v>
      </c>
      <c r="M1652" s="26">
        <v>0.93212669683257898</v>
      </c>
      <c r="N1652" s="28">
        <v>0.9</v>
      </c>
      <c r="O1652" s="26">
        <v>0.98279087167976098</v>
      </c>
      <c r="P1652" s="26">
        <v>0.97471492315319797</v>
      </c>
      <c r="Q1652" s="26">
        <v>0.93911205073995796</v>
      </c>
      <c r="R1652" s="26">
        <v>0.96966752273200496</v>
      </c>
      <c r="S1652" s="28">
        <v>0.9</v>
      </c>
      <c r="T1652" s="26">
        <v>0.80845491956603099</v>
      </c>
      <c r="U1652" s="26">
        <v>0.73425880019831402</v>
      </c>
      <c r="V1652" s="26">
        <v>0.68921775898520099</v>
      </c>
      <c r="W1652" s="26">
        <v>0.71034913583674597</v>
      </c>
      <c r="X1652" s="28">
        <v>0.92</v>
      </c>
      <c r="Y1652" s="28">
        <v>0.93908872901678697</v>
      </c>
      <c r="Z1652" s="28">
        <v>0.91851851851851896</v>
      </c>
      <c r="AA1652" s="28">
        <v>0.90874882408278501</v>
      </c>
      <c r="AB1652" s="28">
        <v>0.91414193283352196</v>
      </c>
      <c r="AC1652" s="28">
        <v>0.92</v>
      </c>
      <c r="AD1652" s="26">
        <v>1</v>
      </c>
      <c r="AE1652" s="26">
        <v>1</v>
      </c>
      <c r="AF1652" s="26">
        <v>1</v>
      </c>
      <c r="AG1652" s="26">
        <v>1</v>
      </c>
      <c r="AH1652" s="28">
        <v>0.92</v>
      </c>
      <c r="AI1652" s="26">
        <v>0.95229087852038696</v>
      </c>
      <c r="AJ1652" s="26">
        <v>0.94337871287128705</v>
      </c>
      <c r="AK1652" s="26">
        <v>0.92386231038506395</v>
      </c>
      <c r="AL1652" s="26">
        <v>0.93278668157535105</v>
      </c>
      <c r="AM1652" s="25">
        <v>0.99</v>
      </c>
      <c r="AN1652" s="30">
        <v>1</v>
      </c>
      <c r="AO1652" s="30">
        <v>0</v>
      </c>
      <c r="AP1652" s="30">
        <v>1</v>
      </c>
      <c r="AQ1652" s="30">
        <v>1</v>
      </c>
      <c r="AR1652" s="50">
        <v>0.110069253262963</v>
      </c>
      <c r="AS1652" s="34">
        <v>9.6774193548387094E-2</v>
      </c>
      <c r="AT1652" s="34">
        <v>0.16666666666666699</v>
      </c>
      <c r="AU1652" s="34">
        <v>3.8461538461538498E-2</v>
      </c>
      <c r="AV1652" s="34">
        <v>0.115853658536585</v>
      </c>
      <c r="AW1652" s="10"/>
      <c r="AX1652" s="8"/>
    </row>
    <row r="1653" spans="1:50">
      <c r="A1653" s="7"/>
      <c r="B1653" s="10"/>
      <c r="C1653" s="45" t="s">
        <v>1468</v>
      </c>
      <c r="D1653" s="23" t="s">
        <v>27</v>
      </c>
      <c r="E1653" s="61" t="s">
        <v>1697</v>
      </c>
      <c r="F1653" s="61" t="s">
        <v>1697</v>
      </c>
      <c r="G1653" s="61" t="s">
        <v>1697</v>
      </c>
      <c r="H1653" s="61" t="s">
        <v>1697</v>
      </c>
      <c r="I1653" s="25">
        <v>0.9</v>
      </c>
      <c r="J1653" s="26">
        <v>1</v>
      </c>
      <c r="K1653" s="26">
        <v>0.97499999999999998</v>
      </c>
      <c r="L1653" s="27">
        <v>0.97368421052631604</v>
      </c>
      <c r="M1653" s="26">
        <v>0.98275862068965503</v>
      </c>
      <c r="N1653" s="28">
        <v>0.9</v>
      </c>
      <c r="O1653" s="26">
        <v>0.99354283254412401</v>
      </c>
      <c r="P1653" s="26">
        <v>0.99611398963730602</v>
      </c>
      <c r="Q1653" s="26">
        <v>0.99254774103400101</v>
      </c>
      <c r="R1653" s="26">
        <v>0.992764857881137</v>
      </c>
      <c r="S1653" s="28">
        <v>0.9</v>
      </c>
      <c r="T1653" s="26">
        <v>0.93370641411967303</v>
      </c>
      <c r="U1653" s="26">
        <v>0.94084628670120896</v>
      </c>
      <c r="V1653" s="26">
        <v>0.95342338146250605</v>
      </c>
      <c r="W1653" s="26">
        <v>0.94323858742463396</v>
      </c>
      <c r="X1653" s="28">
        <v>0.92</v>
      </c>
      <c r="Y1653" s="28">
        <v>0.94492753623188397</v>
      </c>
      <c r="Z1653" s="28">
        <v>0.949433962264151</v>
      </c>
      <c r="AA1653" s="28">
        <v>0.98073394495412802</v>
      </c>
      <c r="AB1653" s="28">
        <v>0.94655674102812803</v>
      </c>
      <c r="AC1653" s="28">
        <v>0.92</v>
      </c>
      <c r="AD1653" s="26">
        <v>1</v>
      </c>
      <c r="AE1653" s="26">
        <v>1</v>
      </c>
      <c r="AF1653" s="26">
        <v>1</v>
      </c>
      <c r="AG1653" s="26">
        <v>1</v>
      </c>
      <c r="AH1653" s="28">
        <v>0.92</v>
      </c>
      <c r="AI1653" s="26">
        <v>0.96166306695464399</v>
      </c>
      <c r="AJ1653" s="26">
        <v>0.96237297445756698</v>
      </c>
      <c r="AK1653" s="26">
        <v>0.98332303891290895</v>
      </c>
      <c r="AL1653" s="26">
        <v>0.96232095611714297</v>
      </c>
      <c r="AM1653" s="25">
        <v>0.99</v>
      </c>
      <c r="AN1653" s="30">
        <v>1</v>
      </c>
      <c r="AO1653" s="30">
        <v>1</v>
      </c>
      <c r="AP1653" s="30">
        <v>1</v>
      </c>
      <c r="AQ1653" s="30">
        <v>1</v>
      </c>
      <c r="AR1653" s="50">
        <v>0.110069253262963</v>
      </c>
      <c r="AS1653" s="34">
        <v>3.2258064516128997E-2</v>
      </c>
      <c r="AT1653" s="34">
        <v>4.1666666666666699E-2</v>
      </c>
      <c r="AU1653" s="34">
        <v>9.0909090909090898E-2</v>
      </c>
      <c r="AV1653" s="34">
        <v>8.8757396449704096E-2</v>
      </c>
      <c r="AW1653" s="10"/>
      <c r="AX1653" s="8"/>
    </row>
    <row r="1654" spans="1:50">
      <c r="A1654" s="7"/>
      <c r="B1654" s="10"/>
      <c r="C1654" s="45" t="s">
        <v>1468</v>
      </c>
      <c r="D1654" s="23" t="s">
        <v>27</v>
      </c>
      <c r="E1654" s="61" t="s">
        <v>1698</v>
      </c>
      <c r="F1654" s="61" t="s">
        <v>1698</v>
      </c>
      <c r="G1654" s="61" t="s">
        <v>1698</v>
      </c>
      <c r="H1654" s="61" t="s">
        <v>1698</v>
      </c>
      <c r="I1654" s="25">
        <v>0.9</v>
      </c>
      <c r="J1654" s="26">
        <v>0</v>
      </c>
      <c r="K1654" s="26">
        <v>0</v>
      </c>
      <c r="L1654" s="27">
        <v>0</v>
      </c>
      <c r="M1654" s="26">
        <v>0</v>
      </c>
      <c r="N1654" s="28">
        <v>0.9</v>
      </c>
      <c r="O1654" s="26">
        <v>0</v>
      </c>
      <c r="P1654" s="26">
        <v>0</v>
      </c>
      <c r="Q1654" s="26">
        <v>0</v>
      </c>
      <c r="R1654" s="26">
        <v>0</v>
      </c>
      <c r="S1654" s="28">
        <v>0.9</v>
      </c>
      <c r="T1654" s="26">
        <v>0</v>
      </c>
      <c r="U1654" s="26">
        <v>0</v>
      </c>
      <c r="V1654" s="26">
        <v>0</v>
      </c>
      <c r="W1654" s="26">
        <v>0</v>
      </c>
      <c r="X1654" s="28">
        <v>0.92</v>
      </c>
      <c r="Y1654" s="28">
        <v>0</v>
      </c>
      <c r="Z1654" s="28">
        <v>0</v>
      </c>
      <c r="AA1654" s="28">
        <v>0</v>
      </c>
      <c r="AB1654" s="28">
        <v>0</v>
      </c>
      <c r="AC1654" s="28">
        <v>0.92</v>
      </c>
      <c r="AD1654" s="26">
        <v>0</v>
      </c>
      <c r="AE1654" s="26">
        <v>0</v>
      </c>
      <c r="AF1654" s="26">
        <v>0</v>
      </c>
      <c r="AG1654" s="26">
        <v>0</v>
      </c>
      <c r="AH1654" s="28">
        <v>0.92</v>
      </c>
      <c r="AI1654" s="26">
        <v>0</v>
      </c>
      <c r="AJ1654" s="26">
        <v>0</v>
      </c>
      <c r="AK1654" s="26">
        <v>0</v>
      </c>
      <c r="AL1654" s="26">
        <v>0</v>
      </c>
      <c r="AM1654" s="25">
        <v>0.99</v>
      </c>
      <c r="AN1654" s="30">
        <v>0</v>
      </c>
      <c r="AO1654" s="30">
        <v>0</v>
      </c>
      <c r="AP1654" s="30">
        <v>0</v>
      </c>
      <c r="AQ1654" s="30">
        <v>0</v>
      </c>
      <c r="AR1654" s="50">
        <v>0.110069253262963</v>
      </c>
      <c r="AS1654" s="34">
        <v>0</v>
      </c>
      <c r="AT1654" s="34">
        <v>0</v>
      </c>
      <c r="AU1654" s="34">
        <v>0</v>
      </c>
      <c r="AV1654" s="34">
        <v>0</v>
      </c>
      <c r="AW1654" s="10"/>
      <c r="AX1654" s="8"/>
    </row>
    <row r="1655" spans="1:50">
      <c r="A1655" s="7"/>
      <c r="B1655" s="10"/>
      <c r="C1655" s="45" t="s">
        <v>1468</v>
      </c>
      <c r="D1655" s="23" t="s">
        <v>27</v>
      </c>
      <c r="E1655" s="61" t="s">
        <v>1699</v>
      </c>
      <c r="F1655" s="61" t="s">
        <v>1699</v>
      </c>
      <c r="G1655" s="61" t="s">
        <v>1699</v>
      </c>
      <c r="H1655" s="61" t="s">
        <v>1699</v>
      </c>
      <c r="I1655" s="25">
        <v>0.9</v>
      </c>
      <c r="J1655" s="26">
        <v>0</v>
      </c>
      <c r="K1655" s="26">
        <v>0</v>
      </c>
      <c r="L1655" s="27">
        <v>0</v>
      </c>
      <c r="M1655" s="26">
        <v>0</v>
      </c>
      <c r="N1655" s="28">
        <v>0.9</v>
      </c>
      <c r="O1655" s="26">
        <v>0</v>
      </c>
      <c r="P1655" s="26">
        <v>0</v>
      </c>
      <c r="Q1655" s="26">
        <v>0</v>
      </c>
      <c r="R1655" s="26">
        <v>0</v>
      </c>
      <c r="S1655" s="28">
        <v>0.9</v>
      </c>
      <c r="T1655" s="26">
        <v>0</v>
      </c>
      <c r="U1655" s="26">
        <v>0</v>
      </c>
      <c r="V1655" s="26">
        <v>0</v>
      </c>
      <c r="W1655" s="26">
        <v>0</v>
      </c>
      <c r="X1655" s="28">
        <v>0.92</v>
      </c>
      <c r="Y1655" s="28">
        <v>0</v>
      </c>
      <c r="Z1655" s="28">
        <v>0</v>
      </c>
      <c r="AA1655" s="28">
        <v>0</v>
      </c>
      <c r="AB1655" s="28">
        <v>0</v>
      </c>
      <c r="AC1655" s="28">
        <v>0.92</v>
      </c>
      <c r="AD1655" s="26">
        <v>0</v>
      </c>
      <c r="AE1655" s="26">
        <v>0</v>
      </c>
      <c r="AF1655" s="26">
        <v>0</v>
      </c>
      <c r="AG1655" s="26">
        <v>0</v>
      </c>
      <c r="AH1655" s="28">
        <v>0.92</v>
      </c>
      <c r="AI1655" s="26">
        <v>0</v>
      </c>
      <c r="AJ1655" s="26">
        <v>0</v>
      </c>
      <c r="AK1655" s="26">
        <v>0</v>
      </c>
      <c r="AL1655" s="26">
        <v>0</v>
      </c>
      <c r="AM1655" s="25">
        <v>0.99</v>
      </c>
      <c r="AN1655" s="30">
        <v>0</v>
      </c>
      <c r="AO1655" s="30">
        <v>0</v>
      </c>
      <c r="AP1655" s="30">
        <v>0</v>
      </c>
      <c r="AQ1655" s="30">
        <v>0</v>
      </c>
      <c r="AR1655" s="50">
        <v>0.110069253262963</v>
      </c>
      <c r="AS1655" s="34">
        <v>0</v>
      </c>
      <c r="AT1655" s="34">
        <v>0</v>
      </c>
      <c r="AU1655" s="34">
        <v>0</v>
      </c>
      <c r="AV1655" s="34">
        <v>0</v>
      </c>
      <c r="AW1655" s="10"/>
      <c r="AX1655" s="8"/>
    </row>
    <row r="1656" spans="1:50">
      <c r="A1656" s="7"/>
      <c r="B1656" s="10"/>
      <c r="C1656" s="45" t="s">
        <v>1468</v>
      </c>
      <c r="D1656" s="23" t="s">
        <v>27</v>
      </c>
      <c r="E1656" s="61" t="s">
        <v>1700</v>
      </c>
      <c r="F1656" s="61" t="s">
        <v>1700</v>
      </c>
      <c r="G1656" s="61" t="s">
        <v>1700</v>
      </c>
      <c r="H1656" s="61" t="s">
        <v>1700</v>
      </c>
      <c r="I1656" s="25">
        <v>0.9</v>
      </c>
      <c r="J1656" s="26">
        <v>0</v>
      </c>
      <c r="K1656" s="26">
        <v>0</v>
      </c>
      <c r="L1656" s="27">
        <v>0</v>
      </c>
      <c r="M1656" s="26">
        <v>0</v>
      </c>
      <c r="N1656" s="28">
        <v>0.9</v>
      </c>
      <c r="O1656" s="26">
        <v>0</v>
      </c>
      <c r="P1656" s="26">
        <v>0</v>
      </c>
      <c r="Q1656" s="26">
        <v>0</v>
      </c>
      <c r="R1656" s="26">
        <v>0</v>
      </c>
      <c r="S1656" s="28">
        <v>0.9</v>
      </c>
      <c r="T1656" s="26">
        <v>0</v>
      </c>
      <c r="U1656" s="26">
        <v>0</v>
      </c>
      <c r="V1656" s="26">
        <v>0</v>
      </c>
      <c r="W1656" s="26">
        <v>0</v>
      </c>
      <c r="X1656" s="28">
        <v>0.92</v>
      </c>
      <c r="Y1656" s="28">
        <v>0</v>
      </c>
      <c r="Z1656" s="28">
        <v>0</v>
      </c>
      <c r="AA1656" s="28">
        <v>0</v>
      </c>
      <c r="AB1656" s="28">
        <v>0</v>
      </c>
      <c r="AC1656" s="28">
        <v>0.92</v>
      </c>
      <c r="AD1656" s="26">
        <v>0</v>
      </c>
      <c r="AE1656" s="26">
        <v>0</v>
      </c>
      <c r="AF1656" s="26">
        <v>0</v>
      </c>
      <c r="AG1656" s="26">
        <v>0</v>
      </c>
      <c r="AH1656" s="28">
        <v>0.92</v>
      </c>
      <c r="AI1656" s="26">
        <v>0</v>
      </c>
      <c r="AJ1656" s="26">
        <v>0</v>
      </c>
      <c r="AK1656" s="26">
        <v>0</v>
      </c>
      <c r="AL1656" s="26">
        <v>0</v>
      </c>
      <c r="AM1656" s="25">
        <v>0.99</v>
      </c>
      <c r="AN1656" s="30">
        <v>0</v>
      </c>
      <c r="AO1656" s="30">
        <v>0</v>
      </c>
      <c r="AP1656" s="30">
        <v>0</v>
      </c>
      <c r="AQ1656" s="30">
        <v>0</v>
      </c>
      <c r="AR1656" s="50">
        <v>0.110069253262963</v>
      </c>
      <c r="AS1656" s="34">
        <v>0</v>
      </c>
      <c r="AT1656" s="34">
        <v>0</v>
      </c>
      <c r="AU1656" s="34">
        <v>0</v>
      </c>
      <c r="AV1656" s="34">
        <v>0</v>
      </c>
      <c r="AW1656" s="10"/>
      <c r="AX1656" s="8"/>
    </row>
    <row r="1657" spans="1:50">
      <c r="A1657" s="7"/>
      <c r="B1657" s="10"/>
      <c r="C1657" s="45" t="s">
        <v>1468</v>
      </c>
      <c r="D1657" s="23" t="s">
        <v>27</v>
      </c>
      <c r="E1657" s="61" t="s">
        <v>1701</v>
      </c>
      <c r="F1657" s="61" t="s">
        <v>1701</v>
      </c>
      <c r="G1657" s="61" t="s">
        <v>1701</v>
      </c>
      <c r="H1657" s="61" t="s">
        <v>1701</v>
      </c>
      <c r="I1657" s="25">
        <v>0.9</v>
      </c>
      <c r="J1657" s="26">
        <v>1</v>
      </c>
      <c r="K1657" s="26">
        <v>0.952380952380952</v>
      </c>
      <c r="L1657" s="27">
        <v>0.95833333333333304</v>
      </c>
      <c r="M1657" s="26">
        <v>0.89583333333333304</v>
      </c>
      <c r="N1657" s="28">
        <v>0.9</v>
      </c>
      <c r="O1657" s="26">
        <v>0.95787037037037004</v>
      </c>
      <c r="P1657" s="26">
        <v>0.99235181644359505</v>
      </c>
      <c r="Q1657" s="26">
        <v>0.968734491315136</v>
      </c>
      <c r="R1657" s="26">
        <v>0.96948417858690905</v>
      </c>
      <c r="S1657" s="28">
        <v>0.9</v>
      </c>
      <c r="T1657" s="26">
        <v>0.66944444444444395</v>
      </c>
      <c r="U1657" s="26">
        <v>0.67750159337157401</v>
      </c>
      <c r="V1657" s="26">
        <v>0.53598014888337497</v>
      </c>
      <c r="W1657" s="26">
        <v>0.643172951885566</v>
      </c>
      <c r="X1657" s="28">
        <v>0.92</v>
      </c>
      <c r="Y1657" s="28">
        <v>0.90373725934314797</v>
      </c>
      <c r="Z1657" s="28">
        <v>0.88314005352364</v>
      </c>
      <c r="AA1657" s="28">
        <v>0.90282485875706198</v>
      </c>
      <c r="AB1657" s="28">
        <v>0.90218446601941704</v>
      </c>
      <c r="AC1657" s="28">
        <v>0.92</v>
      </c>
      <c r="AD1657" s="26">
        <v>0.90243902439024404</v>
      </c>
      <c r="AE1657" s="26">
        <v>0.93617021276595702</v>
      </c>
      <c r="AF1657" s="26">
        <v>1</v>
      </c>
      <c r="AG1657" s="26">
        <v>0.94017094017094005</v>
      </c>
      <c r="AH1657" s="28">
        <v>0.92</v>
      </c>
      <c r="AI1657" s="26">
        <v>0.93046357615894004</v>
      </c>
      <c r="AJ1657" s="26">
        <v>0.90260223048327104</v>
      </c>
      <c r="AK1657" s="26">
        <v>0.92832529290144705</v>
      </c>
      <c r="AL1657" s="26">
        <v>0.92659622870431202</v>
      </c>
      <c r="AM1657" s="25">
        <v>0.99</v>
      </c>
      <c r="AN1657" s="30">
        <v>1</v>
      </c>
      <c r="AO1657" s="30">
        <v>1</v>
      </c>
      <c r="AP1657" s="30">
        <v>0</v>
      </c>
      <c r="AQ1657" s="30">
        <v>1</v>
      </c>
      <c r="AR1657" s="50">
        <v>0.110069253262963</v>
      </c>
      <c r="AS1657" s="34">
        <v>4.7619047619047603E-2</v>
      </c>
      <c r="AT1657" s="34">
        <v>6.6666666666666693E-2</v>
      </c>
      <c r="AU1657" s="34">
        <v>3.8461538461538498E-2</v>
      </c>
      <c r="AV1657" s="34">
        <v>0.13953488372093001</v>
      </c>
      <c r="AW1657" s="10"/>
      <c r="AX1657" s="8"/>
    </row>
    <row r="1658" spans="1:50">
      <c r="A1658" s="7"/>
      <c r="B1658" s="10"/>
      <c r="C1658" s="45" t="s">
        <v>1468</v>
      </c>
      <c r="D1658" s="23" t="s">
        <v>27</v>
      </c>
      <c r="E1658" s="61" t="s">
        <v>1702</v>
      </c>
      <c r="F1658" s="61" t="s">
        <v>1702</v>
      </c>
      <c r="G1658" s="61" t="s">
        <v>1702</v>
      </c>
      <c r="H1658" s="61" t="s">
        <v>1702</v>
      </c>
      <c r="I1658" s="25">
        <v>0.9</v>
      </c>
      <c r="J1658" s="26">
        <v>0</v>
      </c>
      <c r="K1658" s="26">
        <v>0</v>
      </c>
      <c r="L1658" s="27">
        <v>0</v>
      </c>
      <c r="M1658" s="26">
        <v>0</v>
      </c>
      <c r="N1658" s="28">
        <v>0.9</v>
      </c>
      <c r="O1658" s="26">
        <v>0</v>
      </c>
      <c r="P1658" s="26">
        <v>0</v>
      </c>
      <c r="Q1658" s="26">
        <v>0</v>
      </c>
      <c r="R1658" s="26">
        <v>0</v>
      </c>
      <c r="S1658" s="28">
        <v>0.9</v>
      </c>
      <c r="T1658" s="26">
        <v>0</v>
      </c>
      <c r="U1658" s="26">
        <v>0</v>
      </c>
      <c r="V1658" s="26">
        <v>0</v>
      </c>
      <c r="W1658" s="26">
        <v>0</v>
      </c>
      <c r="X1658" s="28">
        <v>0.92</v>
      </c>
      <c r="Y1658" s="28">
        <v>0</v>
      </c>
      <c r="Z1658" s="28">
        <v>0</v>
      </c>
      <c r="AA1658" s="28">
        <v>0</v>
      </c>
      <c r="AB1658" s="28">
        <v>0</v>
      </c>
      <c r="AC1658" s="28">
        <v>0.92</v>
      </c>
      <c r="AD1658" s="26">
        <v>0.99120234604105595</v>
      </c>
      <c r="AE1658" s="26">
        <v>0.99717514124293805</v>
      </c>
      <c r="AF1658" s="26">
        <v>0.99750623441396502</v>
      </c>
      <c r="AG1658" s="26">
        <v>0.99672667757774103</v>
      </c>
      <c r="AH1658" s="28">
        <v>0.92</v>
      </c>
      <c r="AI1658" s="26">
        <v>0</v>
      </c>
      <c r="AJ1658" s="26">
        <v>0</v>
      </c>
      <c r="AK1658" s="26">
        <v>0</v>
      </c>
      <c r="AL1658" s="26">
        <v>0</v>
      </c>
      <c r="AM1658" s="25">
        <v>0.99</v>
      </c>
      <c r="AN1658" s="30">
        <v>1</v>
      </c>
      <c r="AO1658" s="30">
        <v>1</v>
      </c>
      <c r="AP1658" s="30">
        <v>1</v>
      </c>
      <c r="AQ1658" s="30">
        <v>1</v>
      </c>
      <c r="AR1658" s="50">
        <v>0.110069253262963</v>
      </c>
      <c r="AS1658" s="34">
        <v>0</v>
      </c>
      <c r="AT1658" s="34">
        <v>0</v>
      </c>
      <c r="AU1658" s="34">
        <v>0</v>
      </c>
      <c r="AV1658" s="34">
        <v>0</v>
      </c>
      <c r="AW1658" s="10"/>
      <c r="AX1658" s="8"/>
    </row>
    <row r="1659" spans="1:50">
      <c r="A1659" s="7"/>
      <c r="B1659" s="10"/>
      <c r="C1659" s="45" t="s">
        <v>1468</v>
      </c>
      <c r="D1659" s="23" t="s">
        <v>27</v>
      </c>
      <c r="E1659" s="61" t="s">
        <v>1703</v>
      </c>
      <c r="F1659" s="61" t="s">
        <v>1703</v>
      </c>
      <c r="G1659" s="61" t="s">
        <v>1703</v>
      </c>
      <c r="H1659" s="61" t="s">
        <v>1703</v>
      </c>
      <c r="I1659" s="25">
        <v>0.9</v>
      </c>
      <c r="J1659" s="26">
        <v>0.85294117647058798</v>
      </c>
      <c r="K1659" s="26">
        <v>0.85294117647058798</v>
      </c>
      <c r="L1659" s="27">
        <v>0.80645161290322598</v>
      </c>
      <c r="M1659" s="26">
        <v>0.77272727272727304</v>
      </c>
      <c r="N1659" s="28">
        <v>0.9</v>
      </c>
      <c r="O1659" s="26">
        <v>0.979937467430954</v>
      </c>
      <c r="P1659" s="26">
        <v>0.98055494865632498</v>
      </c>
      <c r="Q1659" s="26">
        <v>0.98284802552852002</v>
      </c>
      <c r="R1659" s="26">
        <v>0.98741132285436095</v>
      </c>
      <c r="S1659" s="28">
        <v>0.9</v>
      </c>
      <c r="T1659" s="26">
        <v>0.76498176133402795</v>
      </c>
      <c r="U1659" s="26">
        <v>0.73170198820187904</v>
      </c>
      <c r="V1659" s="26">
        <v>0.69405664140406897</v>
      </c>
      <c r="W1659" s="26">
        <v>0.76606621226874405</v>
      </c>
      <c r="X1659" s="28">
        <v>0.92</v>
      </c>
      <c r="Y1659" s="28">
        <v>0.25</v>
      </c>
      <c r="Z1659" s="28">
        <v>0.11111111111111099</v>
      </c>
      <c r="AA1659" s="28">
        <v>0</v>
      </c>
      <c r="AB1659" s="28">
        <v>0.11111111111111099</v>
      </c>
      <c r="AC1659" s="28">
        <v>0.92</v>
      </c>
      <c r="AD1659" s="26">
        <v>0.61224489795918402</v>
      </c>
      <c r="AE1659" s="26">
        <v>0.81578947368421095</v>
      </c>
      <c r="AF1659" s="26">
        <v>0.86666666666666703</v>
      </c>
      <c r="AG1659" s="26">
        <v>0.73595505617977497</v>
      </c>
      <c r="AH1659" s="28">
        <v>0.92</v>
      </c>
      <c r="AI1659" s="26">
        <v>0.86803748047891705</v>
      </c>
      <c r="AJ1659" s="26">
        <v>0.86306149149585698</v>
      </c>
      <c r="AK1659" s="26">
        <v>0.83429710867397799</v>
      </c>
      <c r="AL1659" s="26">
        <v>0.86334885660665905</v>
      </c>
      <c r="AM1659" s="25">
        <v>0.99</v>
      </c>
      <c r="AN1659" s="30">
        <v>1</v>
      </c>
      <c r="AO1659" s="30">
        <v>1</v>
      </c>
      <c r="AP1659" s="30">
        <v>1</v>
      </c>
      <c r="AQ1659" s="30">
        <v>1</v>
      </c>
      <c r="AR1659" s="50">
        <v>0.110069253262963</v>
      </c>
      <c r="AS1659" s="34">
        <v>0</v>
      </c>
      <c r="AT1659" s="34">
        <v>4.3478260869565202E-2</v>
      </c>
      <c r="AU1659" s="34">
        <v>4.1666666666666699E-2</v>
      </c>
      <c r="AV1659" s="34">
        <v>7.25806451612903E-2</v>
      </c>
      <c r="AW1659" s="10"/>
      <c r="AX1659" s="8"/>
    </row>
    <row r="1660" spans="1:50">
      <c r="A1660" s="7"/>
      <c r="B1660" s="10"/>
      <c r="C1660" s="45" t="s">
        <v>1468</v>
      </c>
      <c r="D1660" s="23" t="s">
        <v>27</v>
      </c>
      <c r="E1660" s="61" t="s">
        <v>1704</v>
      </c>
      <c r="F1660" s="61" t="s">
        <v>1704</v>
      </c>
      <c r="G1660" s="61" t="s">
        <v>1704</v>
      </c>
      <c r="H1660" s="61" t="s">
        <v>1704</v>
      </c>
      <c r="I1660" s="25">
        <v>0.9</v>
      </c>
      <c r="J1660" s="26">
        <v>1</v>
      </c>
      <c r="K1660" s="26">
        <v>1</v>
      </c>
      <c r="L1660" s="27">
        <v>1</v>
      </c>
      <c r="M1660" s="26">
        <v>0.99190283400809698</v>
      </c>
      <c r="N1660" s="28">
        <v>0.9</v>
      </c>
      <c r="O1660" s="26">
        <v>0.93593029215786805</v>
      </c>
      <c r="P1660" s="26">
        <v>0.97734627831715204</v>
      </c>
      <c r="Q1660" s="26">
        <v>0.97578040904198104</v>
      </c>
      <c r="R1660" s="26">
        <v>0.96357346357346396</v>
      </c>
      <c r="S1660" s="28">
        <v>0.9</v>
      </c>
      <c r="T1660" s="26">
        <v>0.91799077396207096</v>
      </c>
      <c r="U1660" s="26">
        <v>0.93635382955771296</v>
      </c>
      <c r="V1660" s="26">
        <v>0.94402583423035502</v>
      </c>
      <c r="W1660" s="26">
        <v>0.92999592999592995</v>
      </c>
      <c r="X1660" s="28">
        <v>0.92</v>
      </c>
      <c r="Y1660" s="28">
        <v>0.93948126801152698</v>
      </c>
      <c r="Z1660" s="28">
        <v>0.96475770925110105</v>
      </c>
      <c r="AA1660" s="28">
        <v>0.979293544457978</v>
      </c>
      <c r="AB1660" s="28">
        <v>0.95269526952695305</v>
      </c>
      <c r="AC1660" s="28">
        <v>0.92</v>
      </c>
      <c r="AD1660" s="26">
        <v>1</v>
      </c>
      <c r="AE1660" s="26">
        <v>1</v>
      </c>
      <c r="AF1660" s="26">
        <v>0.96428571428571397</v>
      </c>
      <c r="AG1660" s="26">
        <v>0.99206349206349198</v>
      </c>
      <c r="AH1660" s="28">
        <v>0.92</v>
      </c>
      <c r="AI1660" s="26">
        <v>0.96557486631015998</v>
      </c>
      <c r="AJ1660" s="26">
        <v>0.97525083612040098</v>
      </c>
      <c r="AK1660" s="26">
        <v>0.97910447761193997</v>
      </c>
      <c r="AL1660" s="26">
        <v>0.96691829484902303</v>
      </c>
      <c r="AM1660" s="25">
        <v>0.99</v>
      </c>
      <c r="AN1660" s="30">
        <v>0</v>
      </c>
      <c r="AO1660" s="30">
        <v>0</v>
      </c>
      <c r="AP1660" s="30">
        <v>0</v>
      </c>
      <c r="AQ1660" s="30">
        <v>0</v>
      </c>
      <c r="AR1660" s="50">
        <v>0.110069253262963</v>
      </c>
      <c r="AS1660" s="34">
        <v>7.1428571428571397E-2</v>
      </c>
      <c r="AT1660" s="34">
        <v>0.08</v>
      </c>
      <c r="AU1660" s="34">
        <v>0</v>
      </c>
      <c r="AV1660" s="34">
        <v>6.4748201438848907E-2</v>
      </c>
      <c r="AW1660" s="10"/>
      <c r="AX1660" s="8"/>
    </row>
    <row r="1661" spans="1:50">
      <c r="A1661" s="7"/>
      <c r="B1661" s="10"/>
      <c r="C1661" s="45" t="s">
        <v>1468</v>
      </c>
      <c r="D1661" s="23" t="s">
        <v>27</v>
      </c>
      <c r="E1661" s="61" t="s">
        <v>1705</v>
      </c>
      <c r="F1661" s="61" t="s">
        <v>1705</v>
      </c>
      <c r="G1661" s="61" t="s">
        <v>1705</v>
      </c>
      <c r="H1661" s="61" t="s">
        <v>1705</v>
      </c>
      <c r="I1661" s="25">
        <v>0.9</v>
      </c>
      <c r="J1661" s="26">
        <v>0</v>
      </c>
      <c r="K1661" s="26">
        <v>0</v>
      </c>
      <c r="L1661" s="27">
        <v>0</v>
      </c>
      <c r="M1661" s="26">
        <v>0</v>
      </c>
      <c r="N1661" s="28">
        <v>0.9</v>
      </c>
      <c r="O1661" s="26">
        <v>0</v>
      </c>
      <c r="P1661" s="26">
        <v>0</v>
      </c>
      <c r="Q1661" s="26">
        <v>0</v>
      </c>
      <c r="R1661" s="26">
        <v>0</v>
      </c>
      <c r="S1661" s="28">
        <v>0.9</v>
      </c>
      <c r="T1661" s="26">
        <v>0</v>
      </c>
      <c r="U1661" s="26">
        <v>0</v>
      </c>
      <c r="V1661" s="26">
        <v>0</v>
      </c>
      <c r="W1661" s="26">
        <v>0</v>
      </c>
      <c r="X1661" s="28">
        <v>0.92</v>
      </c>
      <c r="Y1661" s="28">
        <v>0</v>
      </c>
      <c r="Z1661" s="28">
        <v>0</v>
      </c>
      <c r="AA1661" s="28">
        <v>0</v>
      </c>
      <c r="AB1661" s="28">
        <v>0</v>
      </c>
      <c r="AC1661" s="28">
        <v>0.92</v>
      </c>
      <c r="AD1661" s="26">
        <v>1</v>
      </c>
      <c r="AE1661" s="26">
        <v>1</v>
      </c>
      <c r="AF1661" s="26">
        <v>1</v>
      </c>
      <c r="AG1661" s="26">
        <v>0.92757565453927204</v>
      </c>
      <c r="AH1661" s="28">
        <v>0.92</v>
      </c>
      <c r="AI1661" s="26">
        <v>0</v>
      </c>
      <c r="AJ1661" s="26">
        <v>0</v>
      </c>
      <c r="AK1661" s="26">
        <v>0</v>
      </c>
      <c r="AL1661" s="26">
        <v>0</v>
      </c>
      <c r="AM1661" s="25">
        <v>0.99</v>
      </c>
      <c r="AN1661" s="30">
        <v>0</v>
      </c>
      <c r="AO1661" s="30">
        <v>1</v>
      </c>
      <c r="AP1661" s="30">
        <v>0</v>
      </c>
      <c r="AQ1661" s="30">
        <v>1</v>
      </c>
      <c r="AR1661" s="50">
        <v>0.110069253262963</v>
      </c>
      <c r="AS1661" s="34">
        <v>0</v>
      </c>
      <c r="AT1661" s="34">
        <v>0</v>
      </c>
      <c r="AU1661" s="34">
        <v>0</v>
      </c>
      <c r="AV1661" s="34">
        <v>0</v>
      </c>
      <c r="AW1661" s="10"/>
      <c r="AX1661" s="8"/>
    </row>
    <row r="1662" spans="1:50">
      <c r="A1662" s="7"/>
      <c r="B1662" s="10"/>
      <c r="C1662" s="45" t="s">
        <v>1468</v>
      </c>
      <c r="D1662" s="23" t="s">
        <v>27</v>
      </c>
      <c r="E1662" s="61" t="s">
        <v>1706</v>
      </c>
      <c r="F1662" s="61" t="s">
        <v>1706</v>
      </c>
      <c r="G1662" s="61" t="s">
        <v>1706</v>
      </c>
      <c r="H1662" s="61" t="s">
        <v>1706</v>
      </c>
      <c r="I1662" s="25">
        <v>0.9</v>
      </c>
      <c r="J1662" s="26">
        <v>0</v>
      </c>
      <c r="K1662" s="26">
        <v>0</v>
      </c>
      <c r="L1662" s="27">
        <v>0</v>
      </c>
      <c r="M1662" s="26">
        <v>0</v>
      </c>
      <c r="N1662" s="28">
        <v>0.9</v>
      </c>
      <c r="O1662" s="26">
        <v>0</v>
      </c>
      <c r="P1662" s="26">
        <v>0</v>
      </c>
      <c r="Q1662" s="26">
        <v>0</v>
      </c>
      <c r="R1662" s="26">
        <v>0</v>
      </c>
      <c r="S1662" s="28">
        <v>0.9</v>
      </c>
      <c r="T1662" s="26">
        <v>0</v>
      </c>
      <c r="U1662" s="26">
        <v>0</v>
      </c>
      <c r="V1662" s="26">
        <v>0</v>
      </c>
      <c r="W1662" s="26">
        <v>0</v>
      </c>
      <c r="X1662" s="28">
        <v>0.92</v>
      </c>
      <c r="Y1662" s="28">
        <v>0</v>
      </c>
      <c r="Z1662" s="28">
        <v>0</v>
      </c>
      <c r="AA1662" s="28">
        <v>0</v>
      </c>
      <c r="AB1662" s="28">
        <v>0</v>
      </c>
      <c r="AC1662" s="28">
        <v>0.92</v>
      </c>
      <c r="AD1662" s="26">
        <v>0.998037933289732</v>
      </c>
      <c r="AE1662" s="26">
        <v>0.99761762954139399</v>
      </c>
      <c r="AF1662" s="26">
        <v>0.99906410856340699</v>
      </c>
      <c r="AG1662" s="26">
        <v>0.99647106271425701</v>
      </c>
      <c r="AH1662" s="28">
        <v>0.92</v>
      </c>
      <c r="AI1662" s="26">
        <v>0</v>
      </c>
      <c r="AJ1662" s="26">
        <v>0</v>
      </c>
      <c r="AK1662" s="26">
        <v>0</v>
      </c>
      <c r="AL1662" s="26">
        <v>0</v>
      </c>
      <c r="AM1662" s="25">
        <v>0.99</v>
      </c>
      <c r="AN1662" s="30">
        <v>0</v>
      </c>
      <c r="AO1662" s="30">
        <v>1</v>
      </c>
      <c r="AP1662" s="30">
        <v>1</v>
      </c>
      <c r="AQ1662" s="30">
        <v>1</v>
      </c>
      <c r="AR1662" s="50">
        <v>0.110069253262963</v>
      </c>
      <c r="AS1662" s="34">
        <v>0</v>
      </c>
      <c r="AT1662" s="34">
        <v>0</v>
      </c>
      <c r="AU1662" s="34">
        <v>0</v>
      </c>
      <c r="AV1662" s="34">
        <v>0</v>
      </c>
      <c r="AW1662" s="10"/>
      <c r="AX1662" s="8"/>
    </row>
    <row r="1663" spans="1:50">
      <c r="A1663" s="7"/>
      <c r="B1663" s="10"/>
      <c r="C1663" s="45" t="s">
        <v>1468</v>
      </c>
      <c r="D1663" s="23" t="s">
        <v>27</v>
      </c>
      <c r="E1663" s="61" t="s">
        <v>1707</v>
      </c>
      <c r="F1663" s="61" t="s">
        <v>1707</v>
      </c>
      <c r="G1663" s="61" t="s">
        <v>1707</v>
      </c>
      <c r="H1663" s="61" t="s">
        <v>1707</v>
      </c>
      <c r="I1663" s="25">
        <v>0.9</v>
      </c>
      <c r="J1663" s="26">
        <v>0.66666666666666696</v>
      </c>
      <c r="K1663" s="26">
        <v>0.51219512195121997</v>
      </c>
      <c r="L1663" s="27">
        <v>0.707317073170732</v>
      </c>
      <c r="M1663" s="26">
        <v>0.60833333333333295</v>
      </c>
      <c r="N1663" s="28">
        <v>0.9</v>
      </c>
      <c r="O1663" s="26">
        <v>0.91016906384052498</v>
      </c>
      <c r="P1663" s="26">
        <v>0.88741860953581198</v>
      </c>
      <c r="Q1663" s="26">
        <v>0.87602808425275802</v>
      </c>
      <c r="R1663" s="26">
        <v>0.87188779276558603</v>
      </c>
      <c r="S1663" s="28">
        <v>0.9</v>
      </c>
      <c r="T1663" s="26">
        <v>0.73656320968962896</v>
      </c>
      <c r="U1663" s="26">
        <v>0.700273051879857</v>
      </c>
      <c r="V1663" s="26">
        <v>0.75426278836509497</v>
      </c>
      <c r="W1663" s="26">
        <v>0.73528622240118102</v>
      </c>
      <c r="X1663" s="28">
        <v>0.92</v>
      </c>
      <c r="Y1663" s="28">
        <v>0.5</v>
      </c>
      <c r="Z1663" s="28">
        <v>0</v>
      </c>
      <c r="AA1663" s="28">
        <v>0</v>
      </c>
      <c r="AB1663" s="28">
        <v>6.6666666666666693E-2</v>
      </c>
      <c r="AC1663" s="28">
        <v>0.92</v>
      </c>
      <c r="AD1663" s="26">
        <v>0.62162162162162204</v>
      </c>
      <c r="AE1663" s="26">
        <v>1</v>
      </c>
      <c r="AF1663" s="26">
        <v>0.92307692307692302</v>
      </c>
      <c r="AG1663" s="26">
        <v>0.82608695652173902</v>
      </c>
      <c r="AH1663" s="28">
        <v>0.92</v>
      </c>
      <c r="AI1663" s="26">
        <v>0.83009831106629695</v>
      </c>
      <c r="AJ1663" s="26">
        <v>0.85102811582039495</v>
      </c>
      <c r="AK1663" s="26">
        <v>0.89695268644747395</v>
      </c>
      <c r="AL1663" s="26">
        <v>0.86997453765746402</v>
      </c>
      <c r="AM1663" s="25">
        <v>0.99</v>
      </c>
      <c r="AN1663" s="30">
        <v>1</v>
      </c>
      <c r="AO1663" s="30">
        <v>1</v>
      </c>
      <c r="AP1663" s="30">
        <v>1</v>
      </c>
      <c r="AQ1663" s="30">
        <v>1</v>
      </c>
      <c r="AR1663" s="50">
        <v>0.110069253262963</v>
      </c>
      <c r="AS1663" s="34">
        <v>0.12903225806451599</v>
      </c>
      <c r="AT1663" s="34">
        <v>2.32558139534884E-2</v>
      </c>
      <c r="AU1663" s="34">
        <v>2.04081632653061E-2</v>
      </c>
      <c r="AV1663" s="34">
        <v>3.8793103448275898E-2</v>
      </c>
      <c r="AW1663" s="10"/>
      <c r="AX1663" s="8"/>
    </row>
    <row r="1664" spans="1:50">
      <c r="A1664" s="7"/>
      <c r="B1664" s="10"/>
      <c r="C1664" s="45" t="s">
        <v>1468</v>
      </c>
      <c r="D1664" s="23" t="s">
        <v>27</v>
      </c>
      <c r="E1664" s="61" t="s">
        <v>1708</v>
      </c>
      <c r="F1664" s="61" t="s">
        <v>1708</v>
      </c>
      <c r="G1664" s="61" t="s">
        <v>1708</v>
      </c>
      <c r="H1664" s="61" t="s">
        <v>1708</v>
      </c>
      <c r="I1664" s="25">
        <v>0.9</v>
      </c>
      <c r="J1664" s="26">
        <v>0</v>
      </c>
      <c r="K1664" s="26">
        <v>0</v>
      </c>
      <c r="L1664" s="27">
        <v>0</v>
      </c>
      <c r="M1664" s="26">
        <v>0</v>
      </c>
      <c r="N1664" s="28">
        <v>0.9</v>
      </c>
      <c r="O1664" s="26">
        <v>0</v>
      </c>
      <c r="P1664" s="26">
        <v>0</v>
      </c>
      <c r="Q1664" s="26">
        <v>0</v>
      </c>
      <c r="R1664" s="26">
        <v>0</v>
      </c>
      <c r="S1664" s="28">
        <v>0.9</v>
      </c>
      <c r="T1664" s="26">
        <v>0</v>
      </c>
      <c r="U1664" s="26">
        <v>0</v>
      </c>
      <c r="V1664" s="26">
        <v>0</v>
      </c>
      <c r="W1664" s="26">
        <v>0</v>
      </c>
      <c r="X1664" s="28">
        <v>0.92</v>
      </c>
      <c r="Y1664" s="28">
        <v>0</v>
      </c>
      <c r="Z1664" s="28">
        <v>0</v>
      </c>
      <c r="AA1664" s="28">
        <v>0</v>
      </c>
      <c r="AB1664" s="28">
        <v>0</v>
      </c>
      <c r="AC1664" s="28">
        <v>0.92</v>
      </c>
      <c r="AD1664" s="26">
        <v>0.91561181434599204</v>
      </c>
      <c r="AE1664" s="26">
        <v>0.903669724770642</v>
      </c>
      <c r="AF1664" s="26">
        <v>0.99145299145299104</v>
      </c>
      <c r="AG1664" s="26">
        <v>0.960816326530612</v>
      </c>
      <c r="AH1664" s="28">
        <v>0.92</v>
      </c>
      <c r="AI1664" s="26">
        <v>0</v>
      </c>
      <c r="AJ1664" s="26">
        <v>0</v>
      </c>
      <c r="AK1664" s="26">
        <v>0</v>
      </c>
      <c r="AL1664" s="26">
        <v>0</v>
      </c>
      <c r="AM1664" s="25">
        <v>0.99</v>
      </c>
      <c r="AN1664" s="30">
        <v>1</v>
      </c>
      <c r="AO1664" s="30">
        <v>1</v>
      </c>
      <c r="AP1664" s="30">
        <v>1</v>
      </c>
      <c r="AQ1664" s="30">
        <v>1</v>
      </c>
      <c r="AR1664" s="50">
        <v>0.110069253262963</v>
      </c>
      <c r="AS1664" s="34">
        <v>0</v>
      </c>
      <c r="AT1664" s="34">
        <v>0</v>
      </c>
      <c r="AU1664" s="34">
        <v>0</v>
      </c>
      <c r="AV1664" s="34">
        <v>0</v>
      </c>
      <c r="AW1664" s="10"/>
      <c r="AX1664" s="8"/>
    </row>
    <row r="1665" spans="1:50">
      <c r="A1665" s="7"/>
      <c r="B1665" s="10"/>
      <c r="C1665" s="45" t="s">
        <v>1468</v>
      </c>
      <c r="D1665" s="23" t="s">
        <v>27</v>
      </c>
      <c r="E1665" s="61" t="s">
        <v>1709</v>
      </c>
      <c r="F1665" s="61" t="s">
        <v>1709</v>
      </c>
      <c r="G1665" s="61" t="s">
        <v>1709</v>
      </c>
      <c r="H1665" s="61" t="s">
        <v>1709</v>
      </c>
      <c r="I1665" s="25">
        <v>0.9</v>
      </c>
      <c r="J1665" s="26">
        <v>0</v>
      </c>
      <c r="K1665" s="26">
        <v>0</v>
      </c>
      <c r="L1665" s="27">
        <v>0</v>
      </c>
      <c r="M1665" s="26">
        <v>0</v>
      </c>
      <c r="N1665" s="28">
        <v>0.9</v>
      </c>
      <c r="O1665" s="26">
        <v>0</v>
      </c>
      <c r="P1665" s="26">
        <v>0</v>
      </c>
      <c r="Q1665" s="26">
        <v>0</v>
      </c>
      <c r="R1665" s="26">
        <v>0</v>
      </c>
      <c r="S1665" s="28">
        <v>0.9</v>
      </c>
      <c r="T1665" s="26">
        <v>0</v>
      </c>
      <c r="U1665" s="26">
        <v>0</v>
      </c>
      <c r="V1665" s="26">
        <v>0</v>
      </c>
      <c r="W1665" s="26">
        <v>1</v>
      </c>
      <c r="X1665" s="28">
        <v>0.92</v>
      </c>
      <c r="Y1665" s="28">
        <v>0</v>
      </c>
      <c r="Z1665" s="28">
        <v>0</v>
      </c>
      <c r="AA1665" s="28">
        <v>0</v>
      </c>
      <c r="AB1665" s="28">
        <v>0</v>
      </c>
      <c r="AC1665" s="28">
        <v>0.92</v>
      </c>
      <c r="AD1665" s="26">
        <v>1</v>
      </c>
      <c r="AE1665" s="26">
        <v>1</v>
      </c>
      <c r="AF1665" s="26">
        <v>1</v>
      </c>
      <c r="AG1665" s="26">
        <v>1</v>
      </c>
      <c r="AH1665" s="28">
        <v>0.92</v>
      </c>
      <c r="AI1665" s="26">
        <v>0</v>
      </c>
      <c r="AJ1665" s="26">
        <v>0</v>
      </c>
      <c r="AK1665" s="26">
        <v>0</v>
      </c>
      <c r="AL1665" s="26">
        <v>1</v>
      </c>
      <c r="AM1665" s="25">
        <v>0.99</v>
      </c>
      <c r="AN1665" s="30">
        <v>1</v>
      </c>
      <c r="AO1665" s="30">
        <v>1</v>
      </c>
      <c r="AP1665" s="30">
        <v>1</v>
      </c>
      <c r="AQ1665" s="30">
        <v>1</v>
      </c>
      <c r="AR1665" s="50">
        <v>0.110069253262963</v>
      </c>
      <c r="AS1665" s="34">
        <v>0</v>
      </c>
      <c r="AT1665" s="34">
        <v>0</v>
      </c>
      <c r="AU1665" s="34">
        <v>0</v>
      </c>
      <c r="AV1665" s="34">
        <v>0</v>
      </c>
      <c r="AW1665" s="10"/>
      <c r="AX1665" s="8"/>
    </row>
    <row r="1666" spans="1:50">
      <c r="A1666" s="7"/>
      <c r="B1666" s="10"/>
      <c r="C1666" s="45" t="s">
        <v>1468</v>
      </c>
      <c r="D1666" s="23" t="s">
        <v>27</v>
      </c>
      <c r="E1666" s="61" t="s">
        <v>1710</v>
      </c>
      <c r="F1666" s="61" t="s">
        <v>1710</v>
      </c>
      <c r="G1666" s="61" t="s">
        <v>1710</v>
      </c>
      <c r="H1666" s="61" t="s">
        <v>1710</v>
      </c>
      <c r="I1666" s="25">
        <v>0.9</v>
      </c>
      <c r="J1666" s="26">
        <v>0</v>
      </c>
      <c r="K1666" s="26">
        <v>0</v>
      </c>
      <c r="L1666" s="27">
        <v>0</v>
      </c>
      <c r="M1666" s="26">
        <v>0</v>
      </c>
      <c r="N1666" s="28">
        <v>0.9</v>
      </c>
      <c r="O1666" s="26">
        <v>0</v>
      </c>
      <c r="P1666" s="26">
        <v>0</v>
      </c>
      <c r="Q1666" s="26">
        <v>0</v>
      </c>
      <c r="R1666" s="26">
        <v>0</v>
      </c>
      <c r="S1666" s="28">
        <v>0.9</v>
      </c>
      <c r="T1666" s="26">
        <v>0</v>
      </c>
      <c r="U1666" s="26">
        <v>0</v>
      </c>
      <c r="V1666" s="26">
        <v>0</v>
      </c>
      <c r="W1666" s="26">
        <v>1</v>
      </c>
      <c r="X1666" s="28">
        <v>0.92</v>
      </c>
      <c r="Y1666" s="28">
        <v>0</v>
      </c>
      <c r="Z1666" s="28">
        <v>0</v>
      </c>
      <c r="AA1666" s="28">
        <v>0</v>
      </c>
      <c r="AB1666" s="28">
        <v>0</v>
      </c>
      <c r="AC1666" s="28">
        <v>0.92</v>
      </c>
      <c r="AD1666" s="26">
        <v>1</v>
      </c>
      <c r="AE1666" s="26">
        <v>0.451851851851852</v>
      </c>
      <c r="AF1666" s="26">
        <v>1</v>
      </c>
      <c r="AG1666" s="26">
        <v>0.82412060301507495</v>
      </c>
      <c r="AH1666" s="28">
        <v>0.92</v>
      </c>
      <c r="AI1666" s="26">
        <v>0</v>
      </c>
      <c r="AJ1666" s="26">
        <v>0</v>
      </c>
      <c r="AK1666" s="26">
        <v>0</v>
      </c>
      <c r="AL1666" s="26">
        <v>1</v>
      </c>
      <c r="AM1666" s="25">
        <v>0.99</v>
      </c>
      <c r="AN1666" s="30">
        <v>1</v>
      </c>
      <c r="AO1666" s="30">
        <v>1</v>
      </c>
      <c r="AP1666" s="30">
        <v>1</v>
      </c>
      <c r="AQ1666" s="30">
        <v>1</v>
      </c>
      <c r="AR1666" s="50">
        <v>0.110069253262963</v>
      </c>
      <c r="AS1666" s="34">
        <v>0</v>
      </c>
      <c r="AT1666" s="34">
        <v>0</v>
      </c>
      <c r="AU1666" s="34">
        <v>0</v>
      </c>
      <c r="AV1666" s="34">
        <v>0</v>
      </c>
      <c r="AW1666" s="10"/>
      <c r="AX1666" s="8"/>
    </row>
    <row r="1667" spans="1:50">
      <c r="A1667" s="7"/>
      <c r="B1667" s="10"/>
      <c r="C1667" s="45" t="s">
        <v>1468</v>
      </c>
      <c r="D1667" s="23" t="s">
        <v>27</v>
      </c>
      <c r="E1667" s="61" t="s">
        <v>1711</v>
      </c>
      <c r="F1667" s="61" t="s">
        <v>1711</v>
      </c>
      <c r="G1667" s="61" t="s">
        <v>1711</v>
      </c>
      <c r="H1667" s="61" t="s">
        <v>1711</v>
      </c>
      <c r="I1667" s="25">
        <v>0.9</v>
      </c>
      <c r="J1667" s="26">
        <v>1</v>
      </c>
      <c r="K1667" s="26">
        <v>1</v>
      </c>
      <c r="L1667" s="27">
        <v>0.875</v>
      </c>
      <c r="M1667" s="26">
        <v>0.94117647058823495</v>
      </c>
      <c r="N1667" s="28">
        <v>0.9</v>
      </c>
      <c r="O1667" s="26">
        <v>0.48468468468468501</v>
      </c>
      <c r="P1667" s="26">
        <v>0.18076923076923099</v>
      </c>
      <c r="Q1667" s="26">
        <v>0.211188811188811</v>
      </c>
      <c r="R1667" s="26">
        <v>0.268606747360288</v>
      </c>
      <c r="S1667" s="28">
        <v>0.9</v>
      </c>
      <c r="T1667" s="26">
        <v>0.34774774774774803</v>
      </c>
      <c r="U1667" s="26">
        <v>0.116346153846154</v>
      </c>
      <c r="V1667" s="26">
        <v>0.10629370629370601</v>
      </c>
      <c r="W1667" s="26">
        <v>0.14138552665464801</v>
      </c>
      <c r="X1667" s="28">
        <v>0.92</v>
      </c>
      <c r="Y1667" s="28">
        <v>0</v>
      </c>
      <c r="Z1667" s="28">
        <v>0</v>
      </c>
      <c r="AA1667" s="28">
        <v>0</v>
      </c>
      <c r="AB1667" s="28">
        <v>0</v>
      </c>
      <c r="AC1667" s="28">
        <v>0.92</v>
      </c>
      <c r="AD1667" s="26">
        <v>0</v>
      </c>
      <c r="AE1667" s="26">
        <v>0</v>
      </c>
      <c r="AF1667" s="26">
        <v>1</v>
      </c>
      <c r="AG1667" s="26">
        <v>0.5</v>
      </c>
      <c r="AH1667" s="28">
        <v>0.92</v>
      </c>
      <c r="AI1667" s="26">
        <v>0.44190140845070403</v>
      </c>
      <c r="AJ1667" s="26">
        <v>0.24352828379673999</v>
      </c>
      <c r="AK1667" s="26">
        <v>0.22361111111111101</v>
      </c>
      <c r="AL1667" s="26">
        <v>0.30552712384851599</v>
      </c>
      <c r="AM1667" s="25">
        <v>0.99</v>
      </c>
      <c r="AN1667" s="30">
        <v>0</v>
      </c>
      <c r="AO1667" s="30">
        <v>0</v>
      </c>
      <c r="AP1667" s="30">
        <v>0</v>
      </c>
      <c r="AQ1667" s="30">
        <v>0</v>
      </c>
      <c r="AR1667" s="50">
        <v>0.110069253262963</v>
      </c>
      <c r="AS1667" s="34">
        <v>7.69230769230769E-2</v>
      </c>
      <c r="AT1667" s="34">
        <v>0</v>
      </c>
      <c r="AU1667" s="34">
        <v>0.05</v>
      </c>
      <c r="AV1667" s="34">
        <v>6.1224489795918401E-2</v>
      </c>
      <c r="AW1667" s="10"/>
      <c r="AX1667" s="8"/>
    </row>
    <row r="1668" spans="1:50">
      <c r="A1668" s="7"/>
      <c r="B1668" s="10"/>
      <c r="C1668" s="45" t="s">
        <v>1468</v>
      </c>
      <c r="D1668" s="23" t="s">
        <v>27</v>
      </c>
      <c r="E1668" s="61" t="s">
        <v>1712</v>
      </c>
      <c r="F1668" s="61" t="s">
        <v>1712</v>
      </c>
      <c r="G1668" s="61" t="s">
        <v>1712</v>
      </c>
      <c r="H1668" s="61" t="s">
        <v>1712</v>
      </c>
      <c r="I1668" s="25">
        <v>0.9</v>
      </c>
      <c r="J1668" s="26">
        <v>1</v>
      </c>
      <c r="K1668" s="26">
        <v>0.96428571428571397</v>
      </c>
      <c r="L1668" s="27">
        <v>0.93333333333333302</v>
      </c>
      <c r="M1668" s="26">
        <v>0.966480446927374</v>
      </c>
      <c r="N1668" s="28">
        <v>0.9</v>
      </c>
      <c r="O1668" s="26">
        <v>0.99176107106076195</v>
      </c>
      <c r="P1668" s="26">
        <v>0.99201520912547503</v>
      </c>
      <c r="Q1668" s="26">
        <v>0.936360729133355</v>
      </c>
      <c r="R1668" s="26">
        <v>0.96097071327350003</v>
      </c>
      <c r="S1668" s="28">
        <v>0.9</v>
      </c>
      <c r="T1668" s="26">
        <v>0.68022657054582902</v>
      </c>
      <c r="U1668" s="26">
        <v>0.546007604562738</v>
      </c>
      <c r="V1668" s="26">
        <v>0.51135273425007999</v>
      </c>
      <c r="W1668" s="26">
        <v>0.53099905526688695</v>
      </c>
      <c r="X1668" s="28">
        <v>0.92</v>
      </c>
      <c r="Y1668" s="28">
        <v>0</v>
      </c>
      <c r="Z1668" s="28">
        <v>0</v>
      </c>
      <c r="AA1668" s="28">
        <v>0</v>
      </c>
      <c r="AB1668" s="28">
        <v>0</v>
      </c>
      <c r="AC1668" s="28">
        <v>0.92</v>
      </c>
      <c r="AD1668" s="26">
        <v>1</v>
      </c>
      <c r="AE1668" s="26">
        <v>1</v>
      </c>
      <c r="AF1668" s="26">
        <v>1</v>
      </c>
      <c r="AG1668" s="26">
        <v>1</v>
      </c>
      <c r="AH1668" s="28">
        <v>0.92</v>
      </c>
      <c r="AI1668" s="26">
        <v>0.89495365602471699</v>
      </c>
      <c r="AJ1668" s="26">
        <v>0.89429657794676798</v>
      </c>
      <c r="AK1668" s="26">
        <v>0.91013751199232495</v>
      </c>
      <c r="AL1668" s="26">
        <v>0.90647694396882605</v>
      </c>
      <c r="AM1668" s="25">
        <v>0.99</v>
      </c>
      <c r="AN1668" s="30">
        <v>1</v>
      </c>
      <c r="AO1668" s="30">
        <v>1</v>
      </c>
      <c r="AP1668" s="30">
        <v>1</v>
      </c>
      <c r="AQ1668" s="30">
        <v>1</v>
      </c>
      <c r="AR1668" s="50">
        <v>0.110069253262963</v>
      </c>
      <c r="AS1668" s="34">
        <v>4.7619047619047603E-2</v>
      </c>
      <c r="AT1668" s="34">
        <v>0.15384615384615399</v>
      </c>
      <c r="AU1668" s="34">
        <v>6.6666666666666693E-2</v>
      </c>
      <c r="AV1668" s="34">
        <v>8.6956521739130405E-2</v>
      </c>
      <c r="AW1668" s="10"/>
      <c r="AX1668" s="8"/>
    </row>
    <row r="1669" spans="1:50">
      <c r="A1669" s="7"/>
      <c r="B1669" s="10"/>
      <c r="C1669" s="45" t="s">
        <v>1468</v>
      </c>
      <c r="D1669" s="23" t="s">
        <v>27</v>
      </c>
      <c r="E1669" s="61" t="s">
        <v>1713</v>
      </c>
      <c r="F1669" s="61" t="s">
        <v>1713</v>
      </c>
      <c r="G1669" s="61" t="s">
        <v>1713</v>
      </c>
      <c r="H1669" s="61" t="s">
        <v>1713</v>
      </c>
      <c r="I1669" s="25">
        <v>0.9</v>
      </c>
      <c r="J1669" s="26">
        <v>0</v>
      </c>
      <c r="K1669" s="26">
        <v>0</v>
      </c>
      <c r="L1669" s="27">
        <v>0</v>
      </c>
      <c r="M1669" s="26">
        <v>0</v>
      </c>
      <c r="N1669" s="28">
        <v>0.9</v>
      </c>
      <c r="O1669" s="26">
        <v>0</v>
      </c>
      <c r="P1669" s="26">
        <v>0</v>
      </c>
      <c r="Q1669" s="26">
        <v>0</v>
      </c>
      <c r="R1669" s="26">
        <v>0</v>
      </c>
      <c r="S1669" s="28">
        <v>0.9</v>
      </c>
      <c r="T1669" s="26">
        <v>0</v>
      </c>
      <c r="U1669" s="26">
        <v>0</v>
      </c>
      <c r="V1669" s="26">
        <v>0</v>
      </c>
      <c r="W1669" s="26">
        <v>0</v>
      </c>
      <c r="X1669" s="28">
        <v>0.92</v>
      </c>
      <c r="Y1669" s="28">
        <v>0</v>
      </c>
      <c r="Z1669" s="28">
        <v>0</v>
      </c>
      <c r="AA1669" s="28">
        <v>0</v>
      </c>
      <c r="AB1669" s="28">
        <v>0</v>
      </c>
      <c r="AC1669" s="28">
        <v>0.92</v>
      </c>
      <c r="AD1669" s="26">
        <v>0</v>
      </c>
      <c r="AE1669" s="26">
        <v>0</v>
      </c>
      <c r="AF1669" s="26">
        <v>0</v>
      </c>
      <c r="AG1669" s="26">
        <v>0</v>
      </c>
      <c r="AH1669" s="28">
        <v>0.92</v>
      </c>
      <c r="AI1669" s="26">
        <v>0</v>
      </c>
      <c r="AJ1669" s="26">
        <v>0</v>
      </c>
      <c r="AK1669" s="26">
        <v>0</v>
      </c>
      <c r="AL1669" s="26">
        <v>0</v>
      </c>
      <c r="AM1669" s="25">
        <v>0.99</v>
      </c>
      <c r="AN1669" s="30">
        <v>0</v>
      </c>
      <c r="AO1669" s="30">
        <v>0</v>
      </c>
      <c r="AP1669" s="30">
        <v>0</v>
      </c>
      <c r="AQ1669" s="30">
        <v>0</v>
      </c>
      <c r="AR1669" s="50">
        <v>0.110069253262963</v>
      </c>
      <c r="AS1669" s="34">
        <v>0</v>
      </c>
      <c r="AT1669" s="34">
        <v>0</v>
      </c>
      <c r="AU1669" s="34">
        <v>0</v>
      </c>
      <c r="AV1669" s="34">
        <v>0</v>
      </c>
      <c r="AW1669" s="10"/>
      <c r="AX1669" s="8"/>
    </row>
    <row r="1670" spans="1:50">
      <c r="A1670" s="7"/>
      <c r="B1670" s="10"/>
      <c r="C1670" s="45" t="s">
        <v>1468</v>
      </c>
      <c r="D1670" s="23" t="s">
        <v>27</v>
      </c>
      <c r="E1670" s="61" t="s">
        <v>1714</v>
      </c>
      <c r="F1670" s="61" t="s">
        <v>1714</v>
      </c>
      <c r="G1670" s="61" t="s">
        <v>1714</v>
      </c>
      <c r="H1670" s="61" t="s">
        <v>1714</v>
      </c>
      <c r="I1670" s="25">
        <v>0.9</v>
      </c>
      <c r="J1670" s="26">
        <v>0</v>
      </c>
      <c r="K1670" s="26">
        <v>0</v>
      </c>
      <c r="L1670" s="27">
        <v>0</v>
      </c>
      <c r="M1670" s="26">
        <v>0</v>
      </c>
      <c r="N1670" s="28">
        <v>0.9</v>
      </c>
      <c r="O1670" s="26">
        <v>0</v>
      </c>
      <c r="P1670" s="26">
        <v>0</v>
      </c>
      <c r="Q1670" s="26">
        <v>0</v>
      </c>
      <c r="R1670" s="26">
        <v>0</v>
      </c>
      <c r="S1670" s="28">
        <v>0.9</v>
      </c>
      <c r="T1670" s="26">
        <v>0</v>
      </c>
      <c r="U1670" s="26">
        <v>0</v>
      </c>
      <c r="V1670" s="26">
        <v>0</v>
      </c>
      <c r="W1670" s="26">
        <v>0</v>
      </c>
      <c r="X1670" s="28">
        <v>0.92</v>
      </c>
      <c r="Y1670" s="28">
        <v>0</v>
      </c>
      <c r="Z1670" s="28">
        <v>0</v>
      </c>
      <c r="AA1670" s="28">
        <v>0</v>
      </c>
      <c r="AB1670" s="28">
        <v>0</v>
      </c>
      <c r="AC1670" s="28">
        <v>0.92</v>
      </c>
      <c r="AD1670" s="26">
        <v>0</v>
      </c>
      <c r="AE1670" s="26">
        <v>0</v>
      </c>
      <c r="AF1670" s="26">
        <v>0</v>
      </c>
      <c r="AG1670" s="26">
        <v>0</v>
      </c>
      <c r="AH1670" s="28">
        <v>0.92</v>
      </c>
      <c r="AI1670" s="26">
        <v>0</v>
      </c>
      <c r="AJ1670" s="26">
        <v>0</v>
      </c>
      <c r="AK1670" s="26">
        <v>0</v>
      </c>
      <c r="AL1670" s="26">
        <v>0</v>
      </c>
      <c r="AM1670" s="25">
        <v>0.99</v>
      </c>
      <c r="AN1670" s="30">
        <v>0</v>
      </c>
      <c r="AO1670" s="30">
        <v>0</v>
      </c>
      <c r="AP1670" s="30">
        <v>0</v>
      </c>
      <c r="AQ1670" s="30">
        <v>0</v>
      </c>
      <c r="AR1670" s="50">
        <v>0.110069253262963</v>
      </c>
      <c r="AS1670" s="34">
        <v>0</v>
      </c>
      <c r="AT1670" s="34">
        <v>0</v>
      </c>
      <c r="AU1670" s="34">
        <v>0</v>
      </c>
      <c r="AV1670" s="34">
        <v>0</v>
      </c>
      <c r="AW1670" s="10"/>
      <c r="AX1670" s="8"/>
    </row>
    <row r="1671" spans="1:50">
      <c r="A1671" s="7"/>
      <c r="B1671" s="10"/>
      <c r="C1671" s="45" t="s">
        <v>1468</v>
      </c>
      <c r="D1671" s="23" t="s">
        <v>27</v>
      </c>
      <c r="E1671" s="61" t="s">
        <v>1715</v>
      </c>
      <c r="F1671" s="61" t="s">
        <v>1715</v>
      </c>
      <c r="G1671" s="61" t="s">
        <v>1715</v>
      </c>
      <c r="H1671" s="61" t="s">
        <v>1715</v>
      </c>
      <c r="I1671" s="25">
        <v>0.9</v>
      </c>
      <c r="J1671" s="26">
        <v>0</v>
      </c>
      <c r="K1671" s="26">
        <v>0</v>
      </c>
      <c r="L1671" s="27">
        <v>0</v>
      </c>
      <c r="M1671" s="26">
        <v>0</v>
      </c>
      <c r="N1671" s="28">
        <v>0.9</v>
      </c>
      <c r="O1671" s="26">
        <v>0</v>
      </c>
      <c r="P1671" s="26">
        <v>0</v>
      </c>
      <c r="Q1671" s="26">
        <v>0</v>
      </c>
      <c r="R1671" s="26">
        <v>0</v>
      </c>
      <c r="S1671" s="28">
        <v>0.9</v>
      </c>
      <c r="T1671" s="26">
        <v>0</v>
      </c>
      <c r="U1671" s="26">
        <v>0</v>
      </c>
      <c r="V1671" s="26">
        <v>0</v>
      </c>
      <c r="W1671" s="26">
        <v>0</v>
      </c>
      <c r="X1671" s="28">
        <v>0.92</v>
      </c>
      <c r="Y1671" s="28">
        <v>0</v>
      </c>
      <c r="Z1671" s="28">
        <v>0</v>
      </c>
      <c r="AA1671" s="28">
        <v>0</v>
      </c>
      <c r="AB1671" s="28">
        <v>0</v>
      </c>
      <c r="AC1671" s="28">
        <v>0.92</v>
      </c>
      <c r="AD1671" s="26">
        <v>0.99108734402852094</v>
      </c>
      <c r="AE1671" s="26">
        <v>0.98379629629629595</v>
      </c>
      <c r="AF1671" s="26">
        <v>0.99320882852292003</v>
      </c>
      <c r="AG1671" s="26">
        <v>0.97954939341421099</v>
      </c>
      <c r="AH1671" s="28">
        <v>0.92</v>
      </c>
      <c r="AI1671" s="26">
        <v>0</v>
      </c>
      <c r="AJ1671" s="26">
        <v>0</v>
      </c>
      <c r="AK1671" s="26">
        <v>0</v>
      </c>
      <c r="AL1671" s="26">
        <v>0</v>
      </c>
      <c r="AM1671" s="25">
        <v>0.99</v>
      </c>
      <c r="AN1671" s="30">
        <v>1</v>
      </c>
      <c r="AO1671" s="30">
        <v>1</v>
      </c>
      <c r="AP1671" s="30">
        <v>1</v>
      </c>
      <c r="AQ1671" s="30">
        <v>1</v>
      </c>
      <c r="AR1671" s="50">
        <v>0.110069253262963</v>
      </c>
      <c r="AS1671" s="34">
        <v>0</v>
      </c>
      <c r="AT1671" s="34">
        <v>0</v>
      </c>
      <c r="AU1671" s="34">
        <v>0</v>
      </c>
      <c r="AV1671" s="34">
        <v>0</v>
      </c>
      <c r="AW1671" s="10"/>
      <c r="AX1671" s="8"/>
    </row>
    <row r="1672" spans="1:50">
      <c r="A1672" s="7"/>
      <c r="B1672" s="10"/>
      <c r="C1672" s="45" t="s">
        <v>1468</v>
      </c>
      <c r="D1672" s="23" t="s">
        <v>27</v>
      </c>
      <c r="E1672" s="61" t="s">
        <v>1716</v>
      </c>
      <c r="F1672" s="61" t="s">
        <v>1716</v>
      </c>
      <c r="G1672" s="61" t="s">
        <v>1716</v>
      </c>
      <c r="H1672" s="61" t="s">
        <v>1716</v>
      </c>
      <c r="I1672" s="25">
        <v>0.9</v>
      </c>
      <c r="J1672" s="26">
        <v>0</v>
      </c>
      <c r="K1672" s="26">
        <v>0</v>
      </c>
      <c r="L1672" s="27">
        <v>0</v>
      </c>
      <c r="M1672" s="26">
        <v>0</v>
      </c>
      <c r="N1672" s="28">
        <v>0.9</v>
      </c>
      <c r="O1672" s="26">
        <v>0</v>
      </c>
      <c r="P1672" s="26">
        <v>0</v>
      </c>
      <c r="Q1672" s="26">
        <v>0</v>
      </c>
      <c r="R1672" s="26">
        <v>0</v>
      </c>
      <c r="S1672" s="28">
        <v>0.9</v>
      </c>
      <c r="T1672" s="26">
        <v>0</v>
      </c>
      <c r="U1672" s="26">
        <v>0</v>
      </c>
      <c r="V1672" s="26">
        <v>0</v>
      </c>
      <c r="W1672" s="26">
        <v>0</v>
      </c>
      <c r="X1672" s="28">
        <v>0.92</v>
      </c>
      <c r="Y1672" s="28">
        <v>0</v>
      </c>
      <c r="Z1672" s="28">
        <v>0</v>
      </c>
      <c r="AA1672" s="28">
        <v>0</v>
      </c>
      <c r="AB1672" s="28">
        <v>0</v>
      </c>
      <c r="AC1672" s="28">
        <v>0.92</v>
      </c>
      <c r="AD1672" s="26">
        <v>1</v>
      </c>
      <c r="AE1672" s="26">
        <v>1</v>
      </c>
      <c r="AF1672" s="26">
        <v>0.99803921568627496</v>
      </c>
      <c r="AG1672" s="26">
        <v>0.99155269509251798</v>
      </c>
      <c r="AH1672" s="28">
        <v>0.92</v>
      </c>
      <c r="AI1672" s="26">
        <v>0</v>
      </c>
      <c r="AJ1672" s="26">
        <v>0</v>
      </c>
      <c r="AK1672" s="26">
        <v>0</v>
      </c>
      <c r="AL1672" s="26">
        <v>0</v>
      </c>
      <c r="AM1672" s="25">
        <v>0.99</v>
      </c>
      <c r="AN1672" s="30">
        <v>1</v>
      </c>
      <c r="AO1672" s="30">
        <v>1</v>
      </c>
      <c r="AP1672" s="30">
        <v>1</v>
      </c>
      <c r="AQ1672" s="30">
        <v>1</v>
      </c>
      <c r="AR1672" s="50">
        <v>0.110069253262963</v>
      </c>
      <c r="AS1672" s="34">
        <v>0</v>
      </c>
      <c r="AT1672" s="34">
        <v>0</v>
      </c>
      <c r="AU1672" s="34">
        <v>0</v>
      </c>
      <c r="AV1672" s="34">
        <v>0</v>
      </c>
      <c r="AW1672" s="10"/>
      <c r="AX1672" s="8"/>
    </row>
    <row r="1673" spans="1:50">
      <c r="A1673" s="7"/>
      <c r="B1673" s="10"/>
      <c r="C1673" s="45" t="s">
        <v>1468</v>
      </c>
      <c r="D1673" s="23" t="s">
        <v>27</v>
      </c>
      <c r="E1673" s="61" t="s">
        <v>1717</v>
      </c>
      <c r="F1673" s="61" t="s">
        <v>1717</v>
      </c>
      <c r="G1673" s="61" t="s">
        <v>1717</v>
      </c>
      <c r="H1673" s="61" t="s">
        <v>1717</v>
      </c>
      <c r="I1673" s="25">
        <v>0.9</v>
      </c>
      <c r="J1673" s="26">
        <v>0</v>
      </c>
      <c r="K1673" s="26">
        <v>0</v>
      </c>
      <c r="L1673" s="27">
        <v>0</v>
      </c>
      <c r="M1673" s="26">
        <v>0</v>
      </c>
      <c r="N1673" s="28">
        <v>0.9</v>
      </c>
      <c r="O1673" s="26">
        <v>0</v>
      </c>
      <c r="P1673" s="26">
        <v>0</v>
      </c>
      <c r="Q1673" s="26">
        <v>0</v>
      </c>
      <c r="R1673" s="26">
        <v>0</v>
      </c>
      <c r="S1673" s="28">
        <v>0.9</v>
      </c>
      <c r="T1673" s="26">
        <v>0.6</v>
      </c>
      <c r="U1673" s="26">
        <v>0</v>
      </c>
      <c r="V1673" s="26">
        <v>0.5</v>
      </c>
      <c r="W1673" s="26">
        <v>0.62962962962962998</v>
      </c>
      <c r="X1673" s="28">
        <v>0.92</v>
      </c>
      <c r="Y1673" s="28">
        <v>0</v>
      </c>
      <c r="Z1673" s="28">
        <v>0</v>
      </c>
      <c r="AA1673" s="28">
        <v>0</v>
      </c>
      <c r="AB1673" s="28">
        <v>0</v>
      </c>
      <c r="AC1673" s="28">
        <v>0.92</v>
      </c>
      <c r="AD1673" s="26">
        <v>0.99574920297555802</v>
      </c>
      <c r="AE1673" s="26">
        <v>0.99828178694158098</v>
      </c>
      <c r="AF1673" s="26">
        <v>0.99247761194029804</v>
      </c>
      <c r="AG1673" s="26">
        <v>0.98381396453921799</v>
      </c>
      <c r="AH1673" s="28">
        <v>0.92</v>
      </c>
      <c r="AI1673" s="26">
        <v>0.93333333333333302</v>
      </c>
      <c r="AJ1673" s="26">
        <v>0</v>
      </c>
      <c r="AK1673" s="26">
        <v>0.5</v>
      </c>
      <c r="AL1673" s="26">
        <v>0.82142857142857095</v>
      </c>
      <c r="AM1673" s="25">
        <v>0.99</v>
      </c>
      <c r="AN1673" s="30">
        <v>1</v>
      </c>
      <c r="AO1673" s="30">
        <v>1</v>
      </c>
      <c r="AP1673" s="30">
        <v>1</v>
      </c>
      <c r="AQ1673" s="30">
        <v>1</v>
      </c>
      <c r="AR1673" s="50">
        <v>0.110069253262963</v>
      </c>
      <c r="AS1673" s="34">
        <v>0</v>
      </c>
      <c r="AT1673" s="34">
        <v>0</v>
      </c>
      <c r="AU1673" s="34">
        <v>0</v>
      </c>
      <c r="AV1673" s="34">
        <v>0</v>
      </c>
      <c r="AW1673" s="10"/>
      <c r="AX1673" s="8"/>
    </row>
    <row r="1674" spans="1:50">
      <c r="A1674" s="7"/>
      <c r="B1674" s="10"/>
      <c r="C1674" s="45" t="s">
        <v>1468</v>
      </c>
      <c r="D1674" s="23" t="s">
        <v>27</v>
      </c>
      <c r="E1674" s="61" t="s">
        <v>1718</v>
      </c>
      <c r="F1674" s="61" t="s">
        <v>1718</v>
      </c>
      <c r="G1674" s="61" t="s">
        <v>1718</v>
      </c>
      <c r="H1674" s="61" t="s">
        <v>1718</v>
      </c>
      <c r="I1674" s="25">
        <v>0.9</v>
      </c>
      <c r="J1674" s="26">
        <v>1</v>
      </c>
      <c r="K1674" s="26">
        <v>1</v>
      </c>
      <c r="L1674" s="27">
        <v>1</v>
      </c>
      <c r="M1674" s="26">
        <v>0.99115044247787598</v>
      </c>
      <c r="N1674" s="28">
        <v>0.9</v>
      </c>
      <c r="O1674" s="26">
        <v>0.99883177570093495</v>
      </c>
      <c r="P1674" s="26">
        <v>0.98902027027026995</v>
      </c>
      <c r="Q1674" s="26">
        <v>0.97896318557475603</v>
      </c>
      <c r="R1674" s="26">
        <v>0.96036152356358895</v>
      </c>
      <c r="S1674" s="28">
        <v>0.9</v>
      </c>
      <c r="T1674" s="26">
        <v>0.90420560747663503</v>
      </c>
      <c r="U1674" s="26">
        <v>0.74577702702702697</v>
      </c>
      <c r="V1674" s="26">
        <v>0.64613072877535704</v>
      </c>
      <c r="W1674" s="26">
        <v>0.68741123305358298</v>
      </c>
      <c r="X1674" s="28">
        <v>0.92</v>
      </c>
      <c r="Y1674" s="28">
        <v>0</v>
      </c>
      <c r="Z1674" s="28">
        <v>0</v>
      </c>
      <c r="AA1674" s="28">
        <v>0</v>
      </c>
      <c r="AB1674" s="28">
        <v>0</v>
      </c>
      <c r="AC1674" s="28">
        <v>0.92</v>
      </c>
      <c r="AD1674" s="26">
        <v>1</v>
      </c>
      <c r="AE1674" s="26">
        <v>1</v>
      </c>
      <c r="AF1674" s="26">
        <v>1</v>
      </c>
      <c r="AG1674" s="26">
        <v>0.98484848484848497</v>
      </c>
      <c r="AH1674" s="28">
        <v>0.92</v>
      </c>
      <c r="AI1674" s="26">
        <v>0.93107476635513997</v>
      </c>
      <c r="AJ1674" s="26">
        <v>0.91216216216216195</v>
      </c>
      <c r="AK1674" s="26">
        <v>0.91066066066066098</v>
      </c>
      <c r="AL1674" s="26">
        <v>0.90098115156209702</v>
      </c>
      <c r="AM1674" s="25">
        <v>0.99</v>
      </c>
      <c r="AN1674" s="30">
        <v>1</v>
      </c>
      <c r="AO1674" s="30">
        <v>1</v>
      </c>
      <c r="AP1674" s="30">
        <v>1</v>
      </c>
      <c r="AQ1674" s="30">
        <v>1</v>
      </c>
      <c r="AR1674" s="50">
        <v>0.110069253262963</v>
      </c>
      <c r="AS1674" s="34">
        <v>0</v>
      </c>
      <c r="AT1674" s="34">
        <v>0.125</v>
      </c>
      <c r="AU1674" s="34">
        <v>0.11111111111111099</v>
      </c>
      <c r="AV1674" s="34">
        <v>0.11363636363636399</v>
      </c>
      <c r="AW1674" s="10"/>
      <c r="AX1674" s="8"/>
    </row>
    <row r="1675" spans="1:50">
      <c r="A1675" s="7"/>
      <c r="B1675" s="10"/>
      <c r="C1675" s="45" t="s">
        <v>1468</v>
      </c>
      <c r="D1675" s="23" t="s">
        <v>27</v>
      </c>
      <c r="E1675" s="61" t="s">
        <v>1719</v>
      </c>
      <c r="F1675" s="61" t="s">
        <v>1719</v>
      </c>
      <c r="G1675" s="61" t="s">
        <v>1719</v>
      </c>
      <c r="H1675" s="61" t="s">
        <v>1719</v>
      </c>
      <c r="I1675" s="25">
        <v>0.9</v>
      </c>
      <c r="J1675" s="26">
        <v>0.14285714285714299</v>
      </c>
      <c r="K1675" s="26">
        <v>0.2</v>
      </c>
      <c r="L1675" s="27">
        <v>0.5</v>
      </c>
      <c r="M1675" s="26">
        <v>0.31578947368421101</v>
      </c>
      <c r="N1675" s="28">
        <v>0.9</v>
      </c>
      <c r="O1675" s="26">
        <v>0</v>
      </c>
      <c r="P1675" s="26">
        <v>0</v>
      </c>
      <c r="Q1675" s="26">
        <v>1</v>
      </c>
      <c r="R1675" s="26">
        <v>1</v>
      </c>
      <c r="S1675" s="28">
        <v>0.9</v>
      </c>
      <c r="T1675" s="26">
        <v>0</v>
      </c>
      <c r="U1675" s="26">
        <v>0</v>
      </c>
      <c r="V1675" s="26">
        <v>0.66666666666666696</v>
      </c>
      <c r="W1675" s="26">
        <v>0.66666666666666696</v>
      </c>
      <c r="X1675" s="28">
        <v>0.92</v>
      </c>
      <c r="Y1675" s="28">
        <v>0</v>
      </c>
      <c r="Z1675" s="28">
        <v>0</v>
      </c>
      <c r="AA1675" s="28">
        <v>0</v>
      </c>
      <c r="AB1675" s="28">
        <v>0</v>
      </c>
      <c r="AC1675" s="28">
        <v>0.92</v>
      </c>
      <c r="AD1675" s="26">
        <v>0</v>
      </c>
      <c r="AE1675" s="26">
        <v>0</v>
      </c>
      <c r="AF1675" s="26">
        <v>0</v>
      </c>
      <c r="AG1675" s="26">
        <v>0</v>
      </c>
      <c r="AH1675" s="28">
        <v>0.92</v>
      </c>
      <c r="AI1675" s="26">
        <v>0.646182495344507</v>
      </c>
      <c r="AJ1675" s="26">
        <v>0.71929824561403499</v>
      </c>
      <c r="AK1675" s="26">
        <v>0.63092269326683303</v>
      </c>
      <c r="AL1675" s="26">
        <v>0.67842149454240097</v>
      </c>
      <c r="AM1675" s="25">
        <v>0.99</v>
      </c>
      <c r="AN1675" s="30">
        <v>0</v>
      </c>
      <c r="AO1675" s="30">
        <v>0</v>
      </c>
      <c r="AP1675" s="30">
        <v>0</v>
      </c>
      <c r="AQ1675" s="30">
        <v>1</v>
      </c>
      <c r="AR1675" s="50">
        <v>0.110069253262963</v>
      </c>
      <c r="AS1675" s="34">
        <v>0.15</v>
      </c>
      <c r="AT1675" s="34">
        <v>0</v>
      </c>
      <c r="AU1675" s="34">
        <v>0</v>
      </c>
      <c r="AV1675" s="34">
        <v>8.6419753086419707E-2</v>
      </c>
      <c r="AW1675" s="10"/>
      <c r="AX1675" s="8"/>
    </row>
    <row r="1676" spans="1:50">
      <c r="A1676" s="7"/>
      <c r="B1676" s="10"/>
      <c r="C1676" s="45" t="s">
        <v>1468</v>
      </c>
      <c r="D1676" s="23" t="s">
        <v>27</v>
      </c>
      <c r="E1676" s="61" t="s">
        <v>1720</v>
      </c>
      <c r="F1676" s="61" t="s">
        <v>1720</v>
      </c>
      <c r="G1676" s="61" t="s">
        <v>1720</v>
      </c>
      <c r="H1676" s="61" t="s">
        <v>1720</v>
      </c>
      <c r="I1676" s="25">
        <v>0.9</v>
      </c>
      <c r="J1676" s="26">
        <v>1</v>
      </c>
      <c r="K1676" s="26">
        <v>1</v>
      </c>
      <c r="L1676" s="27">
        <v>1</v>
      </c>
      <c r="M1676" s="26">
        <v>1</v>
      </c>
      <c r="N1676" s="28">
        <v>0.9</v>
      </c>
      <c r="O1676" s="26">
        <v>0.99393939393939401</v>
      </c>
      <c r="P1676" s="26">
        <v>0.96890343698854298</v>
      </c>
      <c r="Q1676" s="26">
        <v>0.98800799467022005</v>
      </c>
      <c r="R1676" s="26">
        <v>0.94403739262253705</v>
      </c>
      <c r="S1676" s="28">
        <v>0.9</v>
      </c>
      <c r="T1676" s="26">
        <v>0.93838383838383799</v>
      </c>
      <c r="U1676" s="26">
        <v>0.95253682487725</v>
      </c>
      <c r="V1676" s="26">
        <v>0.96402398401066003</v>
      </c>
      <c r="W1676" s="26">
        <v>0.92950985346134396</v>
      </c>
      <c r="X1676" s="28">
        <v>0.92</v>
      </c>
      <c r="Y1676" s="28">
        <v>0</v>
      </c>
      <c r="Z1676" s="28">
        <v>0</v>
      </c>
      <c r="AA1676" s="28">
        <v>0</v>
      </c>
      <c r="AB1676" s="28">
        <v>0</v>
      </c>
      <c r="AC1676" s="28">
        <v>0.92</v>
      </c>
      <c r="AD1676" s="26">
        <v>0.376811594202899</v>
      </c>
      <c r="AE1676" s="26">
        <v>0.27906976744186002</v>
      </c>
      <c r="AF1676" s="26">
        <v>0.66666666666666696</v>
      </c>
      <c r="AG1676" s="26">
        <v>0.28838951310861399</v>
      </c>
      <c r="AH1676" s="28">
        <v>0.92</v>
      </c>
      <c r="AI1676" s="26">
        <v>0.96060606060606102</v>
      </c>
      <c r="AJ1676" s="26">
        <v>0.98772504091653002</v>
      </c>
      <c r="AK1676" s="26">
        <v>0.99067288474350401</v>
      </c>
      <c r="AL1676" s="26">
        <v>0.98281960586154604</v>
      </c>
      <c r="AM1676" s="25">
        <v>0.99</v>
      </c>
      <c r="AN1676" s="30">
        <v>1</v>
      </c>
      <c r="AO1676" s="30">
        <v>1</v>
      </c>
      <c r="AP1676" s="30">
        <v>1</v>
      </c>
      <c r="AQ1676" s="30">
        <v>1</v>
      </c>
      <c r="AR1676" s="50">
        <v>0.110069253262963</v>
      </c>
      <c r="AS1676" s="34">
        <v>5.5555555555555601E-2</v>
      </c>
      <c r="AT1676" s="34">
        <v>0.214285714285714</v>
      </c>
      <c r="AU1676" s="34">
        <v>0.133333333333333</v>
      </c>
      <c r="AV1676" s="34">
        <v>0.10989010989011</v>
      </c>
      <c r="AW1676" s="10"/>
      <c r="AX1676" s="8"/>
    </row>
    <row r="1677" spans="1:50">
      <c r="A1677" s="7"/>
      <c r="B1677" s="10"/>
      <c r="C1677" s="45" t="s">
        <v>1468</v>
      </c>
      <c r="D1677" s="23" t="s">
        <v>27</v>
      </c>
      <c r="E1677" s="61" t="s">
        <v>1721</v>
      </c>
      <c r="F1677" s="61" t="s">
        <v>1721</v>
      </c>
      <c r="G1677" s="61" t="s">
        <v>1721</v>
      </c>
      <c r="H1677" s="61" t="s">
        <v>1721</v>
      </c>
      <c r="I1677" s="25">
        <v>0.9</v>
      </c>
      <c r="J1677" s="26">
        <v>1</v>
      </c>
      <c r="K1677" s="26">
        <v>0.952380952380952</v>
      </c>
      <c r="L1677" s="27">
        <v>1</v>
      </c>
      <c r="M1677" s="26">
        <v>0.96062992125984203</v>
      </c>
      <c r="N1677" s="28">
        <v>0.9</v>
      </c>
      <c r="O1677" s="26">
        <v>0.99091394975948699</v>
      </c>
      <c r="P1677" s="26">
        <v>0.98660328435609301</v>
      </c>
      <c r="Q1677" s="26">
        <v>0.91036128152692597</v>
      </c>
      <c r="R1677" s="26">
        <v>0.96602461209202795</v>
      </c>
      <c r="S1677" s="28">
        <v>0.9</v>
      </c>
      <c r="T1677" s="26">
        <v>0.92303580972741806</v>
      </c>
      <c r="U1677" s="26">
        <v>0.90622299049265298</v>
      </c>
      <c r="V1677" s="26">
        <v>0.93183367416496299</v>
      </c>
      <c r="W1677" s="26">
        <v>0.91151685393258397</v>
      </c>
      <c r="X1677" s="28">
        <v>0.92</v>
      </c>
      <c r="Y1677" s="28">
        <v>0</v>
      </c>
      <c r="Z1677" s="28">
        <v>0</v>
      </c>
      <c r="AA1677" s="28">
        <v>0</v>
      </c>
      <c r="AB1677" s="28">
        <v>0</v>
      </c>
      <c r="AC1677" s="28">
        <v>0.92</v>
      </c>
      <c r="AD1677" s="26">
        <v>1</v>
      </c>
      <c r="AE1677" s="26">
        <v>0.96330275229357798</v>
      </c>
      <c r="AF1677" s="26">
        <v>1</v>
      </c>
      <c r="AG1677" s="26">
        <v>0.980106100795756</v>
      </c>
      <c r="AH1677" s="28">
        <v>0.92</v>
      </c>
      <c r="AI1677" s="26">
        <v>0.946018172100481</v>
      </c>
      <c r="AJ1677" s="26">
        <v>0.95419187554019003</v>
      </c>
      <c r="AK1677" s="26">
        <v>0.95466939331970002</v>
      </c>
      <c r="AL1677" s="26">
        <v>0.95050829320492203</v>
      </c>
      <c r="AM1677" s="25">
        <v>0.99</v>
      </c>
      <c r="AN1677" s="30">
        <v>1</v>
      </c>
      <c r="AO1677" s="30">
        <v>1</v>
      </c>
      <c r="AP1677" s="30">
        <v>1</v>
      </c>
      <c r="AQ1677" s="30">
        <v>1</v>
      </c>
      <c r="AR1677" s="50">
        <v>0.110069253262963</v>
      </c>
      <c r="AS1677" s="34">
        <v>4.7619047619047603E-2</v>
      </c>
      <c r="AT1677" s="34">
        <v>4.7619047619047603E-2</v>
      </c>
      <c r="AU1677" s="34">
        <v>0</v>
      </c>
      <c r="AV1677" s="34">
        <v>4.4444444444444398E-2</v>
      </c>
      <c r="AW1677" s="10"/>
      <c r="AX1677" s="8"/>
    </row>
    <row r="1678" spans="1:50">
      <c r="A1678" s="7"/>
      <c r="B1678" s="10"/>
      <c r="C1678" s="45" t="s">
        <v>1468</v>
      </c>
      <c r="D1678" s="23" t="s">
        <v>27</v>
      </c>
      <c r="E1678" s="61" t="s">
        <v>1722</v>
      </c>
      <c r="F1678" s="61" t="s">
        <v>1722</v>
      </c>
      <c r="G1678" s="61" t="s">
        <v>1722</v>
      </c>
      <c r="H1678" s="61" t="s">
        <v>1722</v>
      </c>
      <c r="I1678" s="25">
        <v>0.9</v>
      </c>
      <c r="J1678" s="26">
        <v>0.88888888888888895</v>
      </c>
      <c r="K1678" s="26">
        <v>0.85714285714285698</v>
      </c>
      <c r="L1678" s="27">
        <v>0.94117647058823495</v>
      </c>
      <c r="M1678" s="26">
        <v>0.91891891891891897</v>
      </c>
      <c r="N1678" s="28">
        <v>0.9</v>
      </c>
      <c r="O1678" s="26">
        <v>0.91339429800968297</v>
      </c>
      <c r="P1678" s="26">
        <v>0.71873502635361797</v>
      </c>
      <c r="Q1678" s="26">
        <v>0.80281030444964896</v>
      </c>
      <c r="R1678" s="26">
        <v>0.82724511930585698</v>
      </c>
      <c r="S1678" s="28">
        <v>0.9</v>
      </c>
      <c r="T1678" s="26">
        <v>0.60785368477676205</v>
      </c>
      <c r="U1678" s="26">
        <v>0.49688548155246798</v>
      </c>
      <c r="V1678" s="26">
        <v>0.55550351288056199</v>
      </c>
      <c r="W1678" s="26">
        <v>0.56373101952277704</v>
      </c>
      <c r="X1678" s="28">
        <v>0.92</v>
      </c>
      <c r="Y1678" s="28">
        <v>0</v>
      </c>
      <c r="Z1678" s="28">
        <v>0</v>
      </c>
      <c r="AA1678" s="28">
        <v>0</v>
      </c>
      <c r="AB1678" s="28">
        <v>0</v>
      </c>
      <c r="AC1678" s="28">
        <v>0.92</v>
      </c>
      <c r="AD1678" s="26">
        <v>0.31818181818181801</v>
      </c>
      <c r="AE1678" s="26">
        <v>0</v>
      </c>
      <c r="AF1678" s="26">
        <v>0.22222222222222199</v>
      </c>
      <c r="AG1678" s="26">
        <v>0.32989690721649501</v>
      </c>
      <c r="AH1678" s="28">
        <v>0.92</v>
      </c>
      <c r="AI1678" s="26">
        <v>0.69230769230769196</v>
      </c>
      <c r="AJ1678" s="26">
        <v>0.68519405845711501</v>
      </c>
      <c r="AK1678" s="26">
        <v>0.64777517564402798</v>
      </c>
      <c r="AL1678" s="26">
        <v>0.67271149674620401</v>
      </c>
      <c r="AM1678" s="25">
        <v>0.99</v>
      </c>
      <c r="AN1678" s="30">
        <v>0</v>
      </c>
      <c r="AO1678" s="30">
        <v>1</v>
      </c>
      <c r="AP1678" s="30">
        <v>0</v>
      </c>
      <c r="AQ1678" s="30">
        <v>1</v>
      </c>
      <c r="AR1678" s="50">
        <v>0.110069253262963</v>
      </c>
      <c r="AS1678" s="34">
        <v>6.25E-2</v>
      </c>
      <c r="AT1678" s="34">
        <v>0.114285714285714</v>
      </c>
      <c r="AU1678" s="34">
        <v>8.3333333333333301E-2</v>
      </c>
      <c r="AV1678" s="34">
        <v>8.1395348837209294E-2</v>
      </c>
      <c r="AW1678" s="10"/>
      <c r="AX1678" s="8"/>
    </row>
    <row r="1679" spans="1:50">
      <c r="A1679" s="7"/>
      <c r="B1679" s="10"/>
      <c r="C1679" s="45" t="s">
        <v>1468</v>
      </c>
      <c r="D1679" s="23" t="s">
        <v>27</v>
      </c>
      <c r="E1679" s="61" t="s">
        <v>1723</v>
      </c>
      <c r="F1679" s="61" t="s">
        <v>1723</v>
      </c>
      <c r="G1679" s="61" t="s">
        <v>1723</v>
      </c>
      <c r="H1679" s="61" t="s">
        <v>1723</v>
      </c>
      <c r="I1679" s="25">
        <v>0.9</v>
      </c>
      <c r="J1679" s="26">
        <v>1</v>
      </c>
      <c r="K1679" s="26">
        <v>0.6</v>
      </c>
      <c r="L1679" s="27">
        <v>0.8</v>
      </c>
      <c r="M1679" s="26">
        <v>0.67741935483870996</v>
      </c>
      <c r="N1679" s="28">
        <v>0.9</v>
      </c>
      <c r="O1679" s="26">
        <v>0</v>
      </c>
      <c r="P1679" s="26">
        <v>0</v>
      </c>
      <c r="Q1679" s="26">
        <v>0</v>
      </c>
      <c r="R1679" s="26">
        <v>0</v>
      </c>
      <c r="S1679" s="28">
        <v>0.9</v>
      </c>
      <c r="T1679" s="26">
        <v>0</v>
      </c>
      <c r="U1679" s="26">
        <v>0</v>
      </c>
      <c r="V1679" s="26">
        <v>0</v>
      </c>
      <c r="W1679" s="26">
        <v>0</v>
      </c>
      <c r="X1679" s="28">
        <v>0.92</v>
      </c>
      <c r="Y1679" s="28">
        <v>0</v>
      </c>
      <c r="Z1679" s="28">
        <v>0</v>
      </c>
      <c r="AA1679" s="28">
        <v>0</v>
      </c>
      <c r="AB1679" s="28">
        <v>0</v>
      </c>
      <c r="AC1679" s="28">
        <v>0.92</v>
      </c>
      <c r="AD1679" s="26">
        <v>0</v>
      </c>
      <c r="AE1679" s="26">
        <v>0</v>
      </c>
      <c r="AF1679" s="26">
        <v>1</v>
      </c>
      <c r="AG1679" s="26">
        <v>0.25</v>
      </c>
      <c r="AH1679" s="28">
        <v>0.92</v>
      </c>
      <c r="AI1679" s="26">
        <v>0.94534412955465597</v>
      </c>
      <c r="AJ1679" s="26">
        <v>0.94615384615384601</v>
      </c>
      <c r="AK1679" s="26">
        <v>0.97499999999999998</v>
      </c>
      <c r="AL1679" s="26">
        <v>0.95584144645340796</v>
      </c>
      <c r="AM1679" s="25">
        <v>0.99</v>
      </c>
      <c r="AN1679" s="30">
        <v>0</v>
      </c>
      <c r="AO1679" s="30">
        <v>0</v>
      </c>
      <c r="AP1679" s="30">
        <v>0</v>
      </c>
      <c r="AQ1679" s="30">
        <v>0</v>
      </c>
      <c r="AR1679" s="50">
        <v>0.110069253262963</v>
      </c>
      <c r="AS1679" s="34">
        <v>0</v>
      </c>
      <c r="AT1679" s="34">
        <v>0</v>
      </c>
      <c r="AU1679" s="34">
        <v>0.22222222222222199</v>
      </c>
      <c r="AV1679" s="34">
        <v>8.8888888888888906E-2</v>
      </c>
      <c r="AW1679" s="10"/>
      <c r="AX1679" s="8"/>
    </row>
    <row r="1680" spans="1:50">
      <c r="A1680" s="7"/>
      <c r="B1680" s="10"/>
      <c r="C1680" s="45" t="s">
        <v>1468</v>
      </c>
      <c r="D1680" s="23" t="s">
        <v>27</v>
      </c>
      <c r="E1680" s="61" t="s">
        <v>1724</v>
      </c>
      <c r="F1680" s="61" t="s">
        <v>1724</v>
      </c>
      <c r="G1680" s="61" t="s">
        <v>1724</v>
      </c>
      <c r="H1680" s="61" t="s">
        <v>1724</v>
      </c>
      <c r="I1680" s="25">
        <v>0.9</v>
      </c>
      <c r="J1680" s="26">
        <v>1</v>
      </c>
      <c r="K1680" s="26">
        <v>0.92307692307692302</v>
      </c>
      <c r="L1680" s="27">
        <v>0.85714285714285698</v>
      </c>
      <c r="M1680" s="26">
        <v>0.94871794871794901</v>
      </c>
      <c r="N1680" s="28">
        <v>0.9</v>
      </c>
      <c r="O1680" s="26">
        <v>0</v>
      </c>
      <c r="P1680" s="26">
        <v>0</v>
      </c>
      <c r="Q1680" s="26">
        <v>0</v>
      </c>
      <c r="R1680" s="26">
        <v>0</v>
      </c>
      <c r="S1680" s="28">
        <v>0.9</v>
      </c>
      <c r="T1680" s="26">
        <v>0</v>
      </c>
      <c r="U1680" s="26">
        <v>0</v>
      </c>
      <c r="V1680" s="26">
        <v>0</v>
      </c>
      <c r="W1680" s="26">
        <v>0.6</v>
      </c>
      <c r="X1680" s="28">
        <v>0.92</v>
      </c>
      <c r="Y1680" s="28">
        <v>0</v>
      </c>
      <c r="Z1680" s="28">
        <v>0</v>
      </c>
      <c r="AA1680" s="28">
        <v>0</v>
      </c>
      <c r="AB1680" s="28">
        <v>0</v>
      </c>
      <c r="AC1680" s="28">
        <v>0.92</v>
      </c>
      <c r="AD1680" s="26">
        <v>0</v>
      </c>
      <c r="AE1680" s="26">
        <v>0.1</v>
      </c>
      <c r="AF1680" s="26">
        <v>0</v>
      </c>
      <c r="AG1680" s="26">
        <v>6.9767441860465101E-2</v>
      </c>
      <c r="AH1680" s="28">
        <v>0.92</v>
      </c>
      <c r="AI1680" s="26">
        <v>0.84615384615384603</v>
      </c>
      <c r="AJ1680" s="26">
        <v>0.88472222222222197</v>
      </c>
      <c r="AK1680" s="26">
        <v>0.84134248665141098</v>
      </c>
      <c r="AL1680" s="26">
        <v>0.87136598964556</v>
      </c>
      <c r="AM1680" s="25">
        <v>0.99</v>
      </c>
      <c r="AN1680" s="30">
        <v>1</v>
      </c>
      <c r="AO1680" s="30">
        <v>1</v>
      </c>
      <c r="AP1680" s="30">
        <v>1</v>
      </c>
      <c r="AQ1680" s="30">
        <v>1</v>
      </c>
      <c r="AR1680" s="50">
        <v>0.110069253262963</v>
      </c>
      <c r="AS1680" s="34">
        <v>0.217391304347826</v>
      </c>
      <c r="AT1680" s="34">
        <v>0.148148148148148</v>
      </c>
      <c r="AU1680" s="34">
        <v>3.8461538461538498E-2</v>
      </c>
      <c r="AV1680" s="34">
        <v>0.11111111111111099</v>
      </c>
      <c r="AW1680" s="10"/>
      <c r="AX1680" s="8"/>
    </row>
    <row r="1681" spans="1:72">
      <c r="A1681" s="7"/>
      <c r="B1681" s="10"/>
      <c r="C1681" s="45" t="s">
        <v>1468</v>
      </c>
      <c r="D1681" s="23" t="s">
        <v>27</v>
      </c>
      <c r="E1681" s="61" t="s">
        <v>1725</v>
      </c>
      <c r="F1681" s="61" t="s">
        <v>1725</v>
      </c>
      <c r="G1681" s="61" t="s">
        <v>1725</v>
      </c>
      <c r="H1681" s="61" t="s">
        <v>1725</v>
      </c>
      <c r="I1681" s="25">
        <v>0.9</v>
      </c>
      <c r="J1681" s="26">
        <v>0.94871794871794901</v>
      </c>
      <c r="K1681" s="26">
        <v>0.87878787878787901</v>
      </c>
      <c r="L1681" s="27">
        <v>0.91666666666666696</v>
      </c>
      <c r="M1681" s="26">
        <v>0.93627450980392202</v>
      </c>
      <c r="N1681" s="28">
        <v>0.9</v>
      </c>
      <c r="O1681" s="26">
        <v>0.121443624868282</v>
      </c>
      <c r="P1681" s="26">
        <v>0.103367789263088</v>
      </c>
      <c r="Q1681" s="26">
        <v>0.359764639955169</v>
      </c>
      <c r="R1681" s="26">
        <v>0.27956895041177499</v>
      </c>
      <c r="S1681" s="28">
        <v>0.9</v>
      </c>
      <c r="T1681" s="26">
        <v>0.48419388830347698</v>
      </c>
      <c r="U1681" s="26">
        <v>0.485495165055018</v>
      </c>
      <c r="V1681" s="26">
        <v>0.40039226674138401</v>
      </c>
      <c r="W1681" s="26">
        <v>0.47441738216225698</v>
      </c>
      <c r="X1681" s="28">
        <v>0.92</v>
      </c>
      <c r="Y1681" s="28">
        <v>0</v>
      </c>
      <c r="Z1681" s="28">
        <v>0</v>
      </c>
      <c r="AA1681" s="28">
        <v>0</v>
      </c>
      <c r="AB1681" s="28">
        <v>0</v>
      </c>
      <c r="AC1681" s="28">
        <v>0.92</v>
      </c>
      <c r="AD1681" s="26">
        <v>1</v>
      </c>
      <c r="AE1681" s="26">
        <v>0.94354838709677402</v>
      </c>
      <c r="AF1681" s="26">
        <v>0.91729323308270705</v>
      </c>
      <c r="AG1681" s="26">
        <v>0.96291012838801704</v>
      </c>
      <c r="AH1681" s="28">
        <v>0.92</v>
      </c>
      <c r="AI1681" s="26">
        <v>0.885142255005269</v>
      </c>
      <c r="AJ1681" s="26">
        <v>0.79793264421473797</v>
      </c>
      <c r="AK1681" s="26">
        <v>0.81479405996077303</v>
      </c>
      <c r="AL1681" s="26">
        <v>0.81684773085684204</v>
      </c>
      <c r="AM1681" s="25">
        <v>0.99</v>
      </c>
      <c r="AN1681" s="30">
        <v>0</v>
      </c>
      <c r="AO1681" s="30">
        <v>0</v>
      </c>
      <c r="AP1681" s="30">
        <v>1</v>
      </c>
      <c r="AQ1681" s="30">
        <v>1</v>
      </c>
      <c r="AR1681" s="50">
        <v>0.110069253262963</v>
      </c>
      <c r="AS1681" s="34">
        <v>0.15384615384615399</v>
      </c>
      <c r="AT1681" s="34">
        <v>4.1666666666666699E-2</v>
      </c>
      <c r="AU1681" s="34">
        <v>0.16666666666666699</v>
      </c>
      <c r="AV1681" s="34">
        <v>9.7402597402597393E-2</v>
      </c>
      <c r="AW1681" s="10"/>
      <c r="AX1681" s="8"/>
    </row>
    <row r="1682" spans="1:72">
      <c r="A1682" s="7"/>
      <c r="B1682" s="10"/>
      <c r="C1682" s="45" t="s">
        <v>1468</v>
      </c>
      <c r="D1682" s="23" t="s">
        <v>27</v>
      </c>
      <c r="E1682" s="61" t="s">
        <v>1726</v>
      </c>
      <c r="F1682" s="61" t="s">
        <v>1726</v>
      </c>
      <c r="G1682" s="61" t="s">
        <v>1726</v>
      </c>
      <c r="H1682" s="61" t="s">
        <v>1726</v>
      </c>
      <c r="I1682" s="25">
        <v>0.9</v>
      </c>
      <c r="J1682" s="26">
        <v>0.91666666666666696</v>
      </c>
      <c r="K1682" s="26">
        <v>0.92307692307692302</v>
      </c>
      <c r="L1682" s="27">
        <v>0.92</v>
      </c>
      <c r="M1682" s="26">
        <v>0.92666666666666697</v>
      </c>
      <c r="N1682" s="28">
        <v>0.9</v>
      </c>
      <c r="O1682" s="26">
        <v>0.80347310461668797</v>
      </c>
      <c r="P1682" s="26">
        <v>0.91135204081632604</v>
      </c>
      <c r="Q1682" s="26">
        <v>0.80019831432820998</v>
      </c>
      <c r="R1682" s="26">
        <v>0.80987854251012104</v>
      </c>
      <c r="S1682" s="28">
        <v>0.9</v>
      </c>
      <c r="T1682" s="26">
        <v>0.47734011012282901</v>
      </c>
      <c r="U1682" s="26">
        <v>0.51403061224489799</v>
      </c>
      <c r="V1682" s="26">
        <v>0.450173525037184</v>
      </c>
      <c r="W1682" s="26">
        <v>0.47190283400809702</v>
      </c>
      <c r="X1682" s="28">
        <v>0.92</v>
      </c>
      <c r="Y1682" s="28">
        <v>0</v>
      </c>
      <c r="Z1682" s="28">
        <v>0</v>
      </c>
      <c r="AA1682" s="28">
        <v>0</v>
      </c>
      <c r="AB1682" s="28">
        <v>0</v>
      </c>
      <c r="AC1682" s="28">
        <v>0.92</v>
      </c>
      <c r="AD1682" s="26">
        <v>0</v>
      </c>
      <c r="AE1682" s="26">
        <v>0</v>
      </c>
      <c r="AF1682" s="26">
        <v>0.33333333333333298</v>
      </c>
      <c r="AG1682" s="26">
        <v>0.11111111111111099</v>
      </c>
      <c r="AH1682" s="28">
        <v>0.92</v>
      </c>
      <c r="AI1682" s="26">
        <v>0.825497670478611</v>
      </c>
      <c r="AJ1682" s="26">
        <v>0.83418367346938804</v>
      </c>
      <c r="AK1682" s="26">
        <v>0.77540902330193395</v>
      </c>
      <c r="AL1682" s="26">
        <v>0.838218623481781</v>
      </c>
      <c r="AM1682" s="25">
        <v>0.99</v>
      </c>
      <c r="AN1682" s="30">
        <v>1</v>
      </c>
      <c r="AO1682" s="30">
        <v>0</v>
      </c>
      <c r="AP1682" s="30">
        <v>0</v>
      </c>
      <c r="AQ1682" s="30">
        <v>1</v>
      </c>
      <c r="AR1682" s="50">
        <v>0.110069253262963</v>
      </c>
      <c r="AS1682" s="34">
        <v>5.8823529411764698E-2</v>
      </c>
      <c r="AT1682" s="34">
        <v>0.22222222222222199</v>
      </c>
      <c r="AU1682" s="34">
        <v>0</v>
      </c>
      <c r="AV1682" s="34">
        <v>6.01503759398496E-2</v>
      </c>
      <c r="AW1682" s="10"/>
      <c r="AX1682" s="8"/>
    </row>
    <row r="1683" spans="1:72">
      <c r="A1683" s="7"/>
      <c r="B1683" s="10"/>
      <c r="C1683" s="45" t="s">
        <v>1468</v>
      </c>
      <c r="D1683" s="23" t="s">
        <v>27</v>
      </c>
      <c r="E1683" s="61" t="s">
        <v>1727</v>
      </c>
      <c r="F1683" s="61" t="s">
        <v>1727</v>
      </c>
      <c r="G1683" s="61" t="s">
        <v>1727</v>
      </c>
      <c r="H1683" s="61" t="s">
        <v>1727</v>
      </c>
      <c r="I1683" s="25">
        <v>0.9</v>
      </c>
      <c r="J1683" s="26">
        <v>0</v>
      </c>
      <c r="K1683" s="26">
        <v>0</v>
      </c>
      <c r="L1683" s="27">
        <v>0</v>
      </c>
      <c r="M1683" s="26">
        <v>0</v>
      </c>
      <c r="N1683" s="28">
        <v>0.9</v>
      </c>
      <c r="O1683" s="26">
        <v>0</v>
      </c>
      <c r="P1683" s="26">
        <v>0</v>
      </c>
      <c r="Q1683" s="26">
        <v>0</v>
      </c>
      <c r="R1683" s="26">
        <v>0</v>
      </c>
      <c r="S1683" s="28">
        <v>0.9</v>
      </c>
      <c r="T1683" s="26">
        <v>0</v>
      </c>
      <c r="U1683" s="26">
        <v>0</v>
      </c>
      <c r="V1683" s="26">
        <v>0</v>
      </c>
      <c r="W1683" s="26">
        <v>0</v>
      </c>
      <c r="X1683" s="28">
        <v>0.92</v>
      </c>
      <c r="Y1683" s="28">
        <v>0</v>
      </c>
      <c r="Z1683" s="28">
        <v>0</v>
      </c>
      <c r="AA1683" s="28">
        <v>0</v>
      </c>
      <c r="AB1683" s="28">
        <v>0</v>
      </c>
      <c r="AC1683" s="28">
        <v>0.92</v>
      </c>
      <c r="AD1683" s="26">
        <v>0</v>
      </c>
      <c r="AE1683" s="26">
        <v>0</v>
      </c>
      <c r="AF1683" s="26">
        <v>0</v>
      </c>
      <c r="AG1683" s="26">
        <v>0</v>
      </c>
      <c r="AH1683" s="28">
        <v>0.92</v>
      </c>
      <c r="AI1683" s="26">
        <v>0</v>
      </c>
      <c r="AJ1683" s="26">
        <v>0</v>
      </c>
      <c r="AK1683" s="26">
        <v>0</v>
      </c>
      <c r="AL1683" s="26">
        <v>0</v>
      </c>
      <c r="AM1683" s="25">
        <v>0.99</v>
      </c>
      <c r="AN1683" s="30">
        <v>0</v>
      </c>
      <c r="AO1683" s="30">
        <v>0</v>
      </c>
      <c r="AP1683" s="30">
        <v>0</v>
      </c>
      <c r="AQ1683" s="30">
        <v>0</v>
      </c>
      <c r="AR1683" s="50">
        <v>0.110069253262963</v>
      </c>
      <c r="AS1683" s="34">
        <v>0</v>
      </c>
      <c r="AT1683" s="34">
        <v>0</v>
      </c>
      <c r="AU1683" s="34">
        <v>0</v>
      </c>
      <c r="AV1683" s="34">
        <v>0</v>
      </c>
      <c r="AW1683" s="10"/>
      <c r="AX1683" s="8"/>
    </row>
    <row r="1684" spans="1:72" ht="17.25" customHeight="1">
      <c r="A1684" s="7"/>
      <c r="B1684" s="10"/>
      <c r="C1684" s="146" t="s">
        <v>30</v>
      </c>
      <c r="D1684" s="147"/>
      <c r="E1684" s="147"/>
      <c r="F1684" s="147"/>
      <c r="G1684" s="147"/>
      <c r="H1684" s="147"/>
      <c r="I1684" s="91" t="s">
        <v>31</v>
      </c>
      <c r="J1684" s="92">
        <v>0.93531674497168205</v>
      </c>
      <c r="K1684" s="92">
        <v>0.93492041329237596</v>
      </c>
      <c r="L1684" s="92">
        <v>0.92310488714674099</v>
      </c>
      <c r="M1684" s="92">
        <v>0.92411318949674004</v>
      </c>
      <c r="N1684" s="91" t="s">
        <v>31</v>
      </c>
      <c r="O1684" s="93">
        <v>0.93870109949519998</v>
      </c>
      <c r="P1684" s="93">
        <v>0.92414890999458699</v>
      </c>
      <c r="Q1684" s="93">
        <v>0.94241940794799905</v>
      </c>
      <c r="R1684" s="92">
        <v>0.93481097314534101</v>
      </c>
      <c r="S1684" s="91" t="s">
        <v>31</v>
      </c>
      <c r="T1684" s="93">
        <v>0.87731807187303201</v>
      </c>
      <c r="U1684" s="93">
        <v>0.86391138887521901</v>
      </c>
      <c r="V1684" s="93">
        <v>0.88227738585115101</v>
      </c>
      <c r="W1684" s="94">
        <v>0.87244104347811502</v>
      </c>
      <c r="X1684" s="91" t="s">
        <v>31</v>
      </c>
      <c r="Y1684" s="95">
        <v>0.92701746543211805</v>
      </c>
      <c r="Z1684" s="95">
        <v>0.93788372825387301</v>
      </c>
      <c r="AA1684" s="95">
        <v>0.93550727149186697</v>
      </c>
      <c r="AB1684" s="95">
        <v>0.92907945221576205</v>
      </c>
      <c r="AC1684" s="91" t="s">
        <v>31</v>
      </c>
      <c r="AD1684" s="93">
        <v>0.98611346670211297</v>
      </c>
      <c r="AE1684" s="93">
        <v>0.97431223509392595</v>
      </c>
      <c r="AF1684" s="93">
        <v>0.95998499481272004</v>
      </c>
      <c r="AG1684" s="94">
        <v>0.96889849640482395</v>
      </c>
      <c r="AH1684" s="91" t="s">
        <v>31</v>
      </c>
      <c r="AI1684" s="93">
        <v>0.951587020237179</v>
      </c>
      <c r="AJ1684" s="93">
        <v>0.95903957047588395</v>
      </c>
      <c r="AK1684" s="93">
        <v>0.95072102806506198</v>
      </c>
      <c r="AL1684" s="94">
        <v>0.95307759834337202</v>
      </c>
      <c r="AM1684" s="91" t="s">
        <v>31</v>
      </c>
      <c r="AN1684" s="94">
        <v>0.99423953584749303</v>
      </c>
      <c r="AO1684" s="94">
        <v>0.99312013664832</v>
      </c>
      <c r="AP1684" s="94">
        <v>0.99442443007548598</v>
      </c>
      <c r="AQ1684" s="94">
        <v>0.99260644921371</v>
      </c>
      <c r="AR1684" s="91" t="s">
        <v>31</v>
      </c>
      <c r="AS1684" s="94">
        <v>4.3542022184300297E-2</v>
      </c>
      <c r="AT1684" s="94">
        <v>4.6748443888845498E-2</v>
      </c>
      <c r="AU1684" s="94">
        <v>4.8493202180314499E-2</v>
      </c>
      <c r="AV1684" s="94">
        <v>4.9325522453185798E-2</v>
      </c>
      <c r="AW1684" s="10"/>
      <c r="AX1684" s="8"/>
    </row>
    <row r="1685" spans="1:72" ht="24" customHeight="1">
      <c r="A1685" s="7"/>
      <c r="B1685" s="10"/>
      <c r="C1685" s="96"/>
      <c r="D1685" s="96"/>
      <c r="E1685" s="96"/>
      <c r="F1685" s="96"/>
      <c r="G1685" s="96"/>
      <c r="H1685" s="96"/>
      <c r="I1685" s="97"/>
      <c r="J1685" s="97"/>
      <c r="K1685" s="97"/>
      <c r="L1685" s="97"/>
      <c r="M1685" s="97"/>
      <c r="N1685" s="97"/>
      <c r="O1685" s="97"/>
      <c r="P1685" s="97"/>
      <c r="Q1685" s="97"/>
      <c r="R1685" s="97"/>
      <c r="S1685" s="97"/>
      <c r="T1685" s="98"/>
      <c r="U1685" s="97"/>
      <c r="V1685" s="97"/>
      <c r="W1685" s="97"/>
      <c r="X1685" s="97"/>
      <c r="Y1685" s="97"/>
      <c r="Z1685" s="97"/>
      <c r="AA1685" s="97"/>
      <c r="AB1685" s="97"/>
      <c r="AC1685" s="97"/>
      <c r="AD1685" s="97"/>
      <c r="AE1685" s="97"/>
      <c r="AF1685" s="97"/>
      <c r="AG1685" s="97"/>
      <c r="AH1685" s="97"/>
      <c r="AI1685" s="97"/>
      <c r="AJ1685" s="97"/>
      <c r="AK1685" s="97"/>
      <c r="AL1685" s="97"/>
      <c r="AM1685" s="97"/>
      <c r="AN1685" s="97"/>
      <c r="AO1685" s="97"/>
      <c r="AP1685" s="97"/>
      <c r="AQ1685" s="97"/>
      <c r="AR1685" s="97"/>
      <c r="AS1685" s="97"/>
      <c r="AT1685" s="97"/>
      <c r="AU1685" s="97"/>
      <c r="AV1685" s="97"/>
      <c r="AW1685" s="10"/>
      <c r="AX1685" s="8"/>
    </row>
    <row r="1686" spans="1:72" ht="10.5" customHeight="1">
      <c r="A1686" s="8" t="s">
        <v>1733</v>
      </c>
      <c r="B1686" s="8"/>
      <c r="C1686" s="99"/>
      <c r="D1686" s="99"/>
      <c r="E1686" s="99"/>
      <c r="F1686" s="99"/>
      <c r="G1686" s="99"/>
      <c r="H1686" s="100"/>
      <c r="I1686" s="101"/>
      <c r="J1686" s="101"/>
      <c r="K1686" s="101"/>
      <c r="L1686" s="101"/>
      <c r="M1686" s="101"/>
      <c r="N1686" s="101"/>
      <c r="O1686" s="101"/>
      <c r="P1686" s="101"/>
      <c r="Q1686" s="101"/>
      <c r="R1686" s="101"/>
      <c r="S1686" s="101"/>
      <c r="T1686" s="101"/>
      <c r="U1686" s="101"/>
      <c r="V1686" s="101"/>
      <c r="W1686" s="101"/>
      <c r="X1686" s="101"/>
      <c r="Y1686" s="101"/>
      <c r="Z1686" s="101"/>
      <c r="AA1686" s="101"/>
      <c r="AB1686" s="101"/>
      <c r="AC1686" s="101"/>
      <c r="AD1686" s="101"/>
      <c r="AE1686" s="101"/>
      <c r="AF1686" s="101"/>
      <c r="AG1686" s="101"/>
      <c r="AH1686" s="101"/>
      <c r="AI1686" s="101"/>
      <c r="AJ1686" s="101"/>
      <c r="AK1686" s="101"/>
      <c r="AL1686" s="101"/>
      <c r="AM1686" s="101"/>
      <c r="AN1686" s="101"/>
      <c r="AO1686" s="101"/>
      <c r="AP1686" s="101"/>
      <c r="AQ1686" s="101"/>
      <c r="AR1686" s="102"/>
      <c r="AS1686" s="101"/>
      <c r="AT1686" s="101"/>
      <c r="AU1686" s="101"/>
      <c r="AV1686" s="101"/>
      <c r="AW1686" s="8"/>
      <c r="AX1686" s="8"/>
    </row>
    <row r="1687" spans="1:72" ht="409.5" hidden="1" customHeight="1">
      <c r="C1687" s="134" t="s">
        <v>1734</v>
      </c>
      <c r="D1687" s="135"/>
      <c r="E1687" s="135"/>
      <c r="F1687" s="135"/>
      <c r="G1687" s="135"/>
      <c r="H1687" s="135"/>
      <c r="I1687" s="135"/>
      <c r="J1687" s="135"/>
      <c r="K1687" s="135"/>
      <c r="L1687" s="135"/>
      <c r="M1687" s="135"/>
      <c r="N1687" s="135"/>
      <c r="O1687" s="135"/>
      <c r="P1687" s="135"/>
      <c r="Q1687" s="135"/>
      <c r="R1687" s="135"/>
      <c r="S1687" s="103"/>
      <c r="T1687" s="135" t="s">
        <v>1735</v>
      </c>
      <c r="U1687" s="135"/>
      <c r="V1687" s="135"/>
      <c r="W1687" s="135"/>
      <c r="X1687" s="135"/>
      <c r="Y1687" s="135"/>
      <c r="Z1687" s="135"/>
      <c r="AA1687" s="135"/>
      <c r="AB1687" s="135"/>
      <c r="AC1687" s="135"/>
      <c r="AD1687" s="135"/>
      <c r="AE1687" s="135"/>
      <c r="AF1687" s="135"/>
      <c r="AG1687" s="135"/>
      <c r="AH1687" s="135"/>
      <c r="AI1687" s="135"/>
      <c r="AJ1687" s="135"/>
      <c r="AK1687" s="135"/>
      <c r="AL1687" s="135"/>
      <c r="AM1687" s="135"/>
      <c r="AN1687" s="135"/>
      <c r="AO1687" s="135"/>
      <c r="AP1687" s="135"/>
      <c r="AQ1687" s="135"/>
      <c r="AR1687" s="135"/>
      <c r="AS1687" s="135"/>
      <c r="AT1687" s="135"/>
      <c r="AU1687" s="135"/>
      <c r="AV1687" s="135"/>
      <c r="AW1687" s="135"/>
      <c r="BD1687" s="136" t="s">
        <v>1736</v>
      </c>
      <c r="BE1687" s="137"/>
      <c r="BF1687" s="137"/>
      <c r="BG1687" s="137"/>
      <c r="BH1687" s="137"/>
      <c r="BI1687" s="137"/>
      <c r="BJ1687" s="137"/>
      <c r="BK1687" s="137"/>
      <c r="BL1687" s="137"/>
      <c r="BM1687" s="137"/>
      <c r="BN1687" s="137"/>
      <c r="BO1687" s="137"/>
      <c r="BP1687" s="137"/>
      <c r="BQ1687" s="137"/>
      <c r="BR1687" s="137"/>
      <c r="BS1687" s="137"/>
      <c r="BT1687" s="138"/>
    </row>
    <row r="1688" spans="1:72" ht="327" hidden="1" customHeight="1">
      <c r="C1688" s="134"/>
      <c r="D1688" s="135"/>
      <c r="E1688" s="135"/>
      <c r="F1688" s="135"/>
      <c r="G1688" s="135"/>
      <c r="H1688" s="135"/>
      <c r="I1688" s="135"/>
      <c r="J1688" s="135"/>
      <c r="K1688" s="135"/>
      <c r="L1688" s="135"/>
      <c r="M1688" s="135"/>
      <c r="N1688" s="135"/>
      <c r="O1688" s="135"/>
      <c r="P1688" s="135"/>
      <c r="Q1688" s="135"/>
      <c r="R1688" s="135"/>
      <c r="S1688" s="103"/>
      <c r="T1688" s="135"/>
      <c r="U1688" s="135"/>
      <c r="V1688" s="135"/>
      <c r="W1688" s="135"/>
      <c r="X1688" s="135"/>
      <c r="Y1688" s="135"/>
      <c r="Z1688" s="135"/>
      <c r="AA1688" s="135"/>
      <c r="AB1688" s="135"/>
      <c r="AC1688" s="135"/>
      <c r="AD1688" s="135"/>
      <c r="AE1688" s="135"/>
      <c r="AF1688" s="135"/>
      <c r="AG1688" s="135"/>
      <c r="AH1688" s="135"/>
      <c r="AI1688" s="135"/>
      <c r="AJ1688" s="135"/>
      <c r="AK1688" s="135"/>
      <c r="AL1688" s="135"/>
      <c r="AM1688" s="135"/>
      <c r="AN1688" s="135"/>
      <c r="AO1688" s="135"/>
      <c r="AP1688" s="135"/>
      <c r="AQ1688" s="135"/>
      <c r="AR1688" s="135"/>
      <c r="AS1688" s="135"/>
      <c r="AT1688" s="135"/>
      <c r="AU1688" s="135"/>
      <c r="AV1688" s="135"/>
      <c r="AW1688" s="135"/>
      <c r="BD1688" s="139"/>
      <c r="BE1688" s="140"/>
      <c r="BF1688" s="140"/>
      <c r="BG1688" s="140"/>
      <c r="BH1688" s="140"/>
      <c r="BI1688" s="140"/>
      <c r="BJ1688" s="140"/>
      <c r="BK1688" s="140"/>
      <c r="BL1688" s="140"/>
      <c r="BM1688" s="140"/>
      <c r="BN1688" s="140"/>
      <c r="BO1688" s="140"/>
      <c r="BP1688" s="140"/>
      <c r="BQ1688" s="140"/>
      <c r="BR1688" s="140"/>
      <c r="BS1688" s="140"/>
      <c r="BT1688" s="141"/>
    </row>
  </sheetData>
  <autoFilter ref="C8:AV1684" xr:uid="{00000000-0009-0000-0000-00000D000000}"/>
  <mergeCells count="24">
    <mergeCell ref="X7:AB7"/>
    <mergeCell ref="AC7:AG7"/>
    <mergeCell ref="C4:R4"/>
    <mergeCell ref="T4:AV4"/>
    <mergeCell ref="I6:W6"/>
    <mergeCell ref="X6:AB6"/>
    <mergeCell ref="AC6:AL6"/>
    <mergeCell ref="AM6:AV6"/>
    <mergeCell ref="B1:AW2"/>
    <mergeCell ref="C1687:R1688"/>
    <mergeCell ref="T1687:AW1688"/>
    <mergeCell ref="BD1687:BT1688"/>
    <mergeCell ref="AH7:AL7"/>
    <mergeCell ref="AM7:AQ7"/>
    <mergeCell ref="AR7:AV7"/>
    <mergeCell ref="C1684:H1684"/>
    <mergeCell ref="C6:C8"/>
    <mergeCell ref="D6:D8"/>
    <mergeCell ref="E6:E8"/>
    <mergeCell ref="F6:F8"/>
    <mergeCell ref="H6:H8"/>
    <mergeCell ref="I7:M7"/>
    <mergeCell ref="N7:R7"/>
    <mergeCell ref="S7:W7"/>
  </mergeCells>
  <conditionalFormatting sqref="E368:E372">
    <cfRule type="duplicateValues" dxfId="192" priority="242"/>
  </conditionalFormatting>
  <conditionalFormatting sqref="E370:E372">
    <cfRule type="duplicateValues" dxfId="191" priority="243"/>
  </conditionalFormatting>
  <conditionalFormatting sqref="E372">
    <cfRule type="duplicateValues" dxfId="190" priority="244"/>
  </conditionalFormatting>
  <conditionalFormatting sqref="E380:E384">
    <cfRule type="duplicateValues" dxfId="189" priority="245"/>
  </conditionalFormatting>
  <conditionalFormatting sqref="E402">
    <cfRule type="duplicateValues" dxfId="188" priority="241"/>
  </conditionalFormatting>
  <conditionalFormatting sqref="E461">
    <cfRule type="duplicateValues" dxfId="187" priority="238"/>
  </conditionalFormatting>
  <conditionalFormatting sqref="E470:E472">
    <cfRule type="duplicateValues" dxfId="186" priority="239"/>
  </conditionalFormatting>
  <conditionalFormatting sqref="E473">
    <cfRule type="duplicateValues" dxfId="185" priority="237"/>
  </conditionalFormatting>
  <conditionalFormatting sqref="E480:E481">
    <cfRule type="duplicateValues" dxfId="184" priority="236"/>
  </conditionalFormatting>
  <conditionalFormatting sqref="E482:E483">
    <cfRule type="duplicateValues" dxfId="183" priority="235"/>
  </conditionalFormatting>
  <conditionalFormatting sqref="E484:E485">
    <cfRule type="duplicateValues" dxfId="182" priority="234"/>
  </conditionalFormatting>
  <conditionalFormatting sqref="E486">
    <cfRule type="duplicateValues" dxfId="181" priority="233"/>
  </conditionalFormatting>
  <conditionalFormatting sqref="E506">
    <cfRule type="duplicateValues" dxfId="180" priority="231"/>
  </conditionalFormatting>
  <conditionalFormatting sqref="E515:E519">
    <cfRule type="duplicateValues" dxfId="179" priority="229"/>
  </conditionalFormatting>
  <conditionalFormatting sqref="E518:E519">
    <cfRule type="duplicateValues" dxfId="178" priority="230"/>
  </conditionalFormatting>
  <conditionalFormatting sqref="E537:E538">
    <cfRule type="duplicateValues" dxfId="177" priority="228"/>
  </conditionalFormatting>
  <conditionalFormatting sqref="E549">
    <cfRule type="duplicateValues" dxfId="176" priority="227"/>
  </conditionalFormatting>
  <conditionalFormatting sqref="E550:E551">
    <cfRule type="duplicateValues" dxfId="175" priority="226"/>
  </conditionalFormatting>
  <conditionalFormatting sqref="E552">
    <cfRule type="duplicateValues" dxfId="174" priority="225"/>
  </conditionalFormatting>
  <conditionalFormatting sqref="E585:E587">
    <cfRule type="duplicateValues" dxfId="173" priority="224"/>
  </conditionalFormatting>
  <conditionalFormatting sqref="E596">
    <cfRule type="duplicateValues" dxfId="172" priority="223"/>
  </conditionalFormatting>
  <conditionalFormatting sqref="E598:E601">
    <cfRule type="duplicateValues" dxfId="171" priority="222"/>
  </conditionalFormatting>
  <conditionalFormatting sqref="E602:E605">
    <cfRule type="duplicateValues" dxfId="170" priority="221"/>
  </conditionalFormatting>
  <conditionalFormatting sqref="E602:E609">
    <cfRule type="duplicateValues" dxfId="169" priority="232"/>
  </conditionalFormatting>
  <conditionalFormatting sqref="E622">
    <cfRule type="duplicateValues" dxfId="168" priority="220"/>
  </conditionalFormatting>
  <conditionalFormatting sqref="E623">
    <cfRule type="duplicateValues" dxfId="167" priority="219"/>
  </conditionalFormatting>
  <conditionalFormatting sqref="E624:E625">
    <cfRule type="duplicateValues" dxfId="166" priority="218"/>
  </conditionalFormatting>
  <conditionalFormatting sqref="E637">
    <cfRule type="duplicateValues" dxfId="165" priority="217"/>
  </conditionalFormatting>
  <conditionalFormatting sqref="E639">
    <cfRule type="duplicateValues" dxfId="164" priority="216"/>
  </conditionalFormatting>
  <conditionalFormatting sqref="E641">
    <cfRule type="duplicateValues" dxfId="163" priority="215"/>
  </conditionalFormatting>
  <conditionalFormatting sqref="E643:E898">
    <cfRule type="duplicateValues" dxfId="162" priority="119"/>
  </conditionalFormatting>
  <conditionalFormatting sqref="F368:F372">
    <cfRule type="duplicateValues" dxfId="161" priority="211"/>
  </conditionalFormatting>
  <conditionalFormatting sqref="F370:F372">
    <cfRule type="duplicateValues" dxfId="160" priority="212"/>
  </conditionalFormatting>
  <conditionalFormatting sqref="F372">
    <cfRule type="duplicateValues" dxfId="159" priority="213"/>
  </conditionalFormatting>
  <conditionalFormatting sqref="F380:F384">
    <cfRule type="duplicateValues" dxfId="158" priority="214"/>
  </conditionalFormatting>
  <conditionalFormatting sqref="F402">
    <cfRule type="duplicateValues" dxfId="157" priority="210"/>
  </conditionalFormatting>
  <conditionalFormatting sqref="F461">
    <cfRule type="duplicateValues" dxfId="156" priority="207"/>
  </conditionalFormatting>
  <conditionalFormatting sqref="F470:F472">
    <cfRule type="duplicateValues" dxfId="155" priority="208"/>
  </conditionalFormatting>
  <conditionalFormatting sqref="F473">
    <cfRule type="duplicateValues" dxfId="154" priority="206"/>
  </conditionalFormatting>
  <conditionalFormatting sqref="F480:F481">
    <cfRule type="duplicateValues" dxfId="153" priority="205"/>
  </conditionalFormatting>
  <conditionalFormatting sqref="F482:F483">
    <cfRule type="duplicateValues" dxfId="152" priority="204"/>
  </conditionalFormatting>
  <conditionalFormatting sqref="F484:F485">
    <cfRule type="duplicateValues" dxfId="151" priority="203"/>
  </conditionalFormatting>
  <conditionalFormatting sqref="F486">
    <cfRule type="duplicateValues" dxfId="150" priority="202"/>
  </conditionalFormatting>
  <conditionalFormatting sqref="F506">
    <cfRule type="duplicateValues" dxfId="149" priority="200"/>
  </conditionalFormatting>
  <conditionalFormatting sqref="F515:F519">
    <cfRule type="duplicateValues" dxfId="148" priority="198"/>
  </conditionalFormatting>
  <conditionalFormatting sqref="F518:F519">
    <cfRule type="duplicateValues" dxfId="147" priority="199"/>
  </conditionalFormatting>
  <conditionalFormatting sqref="F537:F538">
    <cfRule type="duplicateValues" dxfId="146" priority="197"/>
  </conditionalFormatting>
  <conditionalFormatting sqref="F549">
    <cfRule type="duplicateValues" dxfId="145" priority="196"/>
  </conditionalFormatting>
  <conditionalFormatting sqref="F550:F551">
    <cfRule type="duplicateValues" dxfId="144" priority="195"/>
  </conditionalFormatting>
  <conditionalFormatting sqref="F552">
    <cfRule type="duplicateValues" dxfId="143" priority="194"/>
  </conditionalFormatting>
  <conditionalFormatting sqref="F585:F587">
    <cfRule type="duplicateValues" dxfId="142" priority="193"/>
  </conditionalFormatting>
  <conditionalFormatting sqref="F596">
    <cfRule type="duplicateValues" dxfId="141" priority="192"/>
  </conditionalFormatting>
  <conditionalFormatting sqref="F598:F601">
    <cfRule type="duplicateValues" dxfId="140" priority="191"/>
  </conditionalFormatting>
  <conditionalFormatting sqref="F602:F605">
    <cfRule type="duplicateValues" dxfId="139" priority="190"/>
  </conditionalFormatting>
  <conditionalFormatting sqref="F602:F609">
    <cfRule type="duplicateValues" dxfId="138" priority="201"/>
  </conditionalFormatting>
  <conditionalFormatting sqref="F622">
    <cfRule type="duplicateValues" dxfId="137" priority="189"/>
  </conditionalFormatting>
  <conditionalFormatting sqref="F623">
    <cfRule type="duplicateValues" dxfId="136" priority="188"/>
  </conditionalFormatting>
  <conditionalFormatting sqref="F624:F625">
    <cfRule type="duplicateValues" dxfId="135" priority="187"/>
  </conditionalFormatting>
  <conditionalFormatting sqref="F637">
    <cfRule type="duplicateValues" dxfId="134" priority="186"/>
  </conditionalFormatting>
  <conditionalFormatting sqref="F639">
    <cfRule type="duplicateValues" dxfId="133" priority="185"/>
  </conditionalFormatting>
  <conditionalFormatting sqref="F641">
    <cfRule type="duplicateValues" dxfId="132" priority="184"/>
  </conditionalFormatting>
  <conditionalFormatting sqref="F643:F898">
    <cfRule type="duplicateValues" dxfId="131" priority="118"/>
  </conditionalFormatting>
  <conditionalFormatting sqref="G368:G372">
    <cfRule type="duplicateValues" dxfId="130" priority="180"/>
  </conditionalFormatting>
  <conditionalFormatting sqref="G370:G372">
    <cfRule type="duplicateValues" dxfId="129" priority="181"/>
  </conditionalFormatting>
  <conditionalFormatting sqref="G372">
    <cfRule type="duplicateValues" dxfId="128" priority="182"/>
  </conditionalFormatting>
  <conditionalFormatting sqref="G380:G384">
    <cfRule type="duplicateValues" dxfId="127" priority="183"/>
  </conditionalFormatting>
  <conditionalFormatting sqref="G402">
    <cfRule type="duplicateValues" dxfId="126" priority="179"/>
  </conditionalFormatting>
  <conditionalFormatting sqref="G461">
    <cfRule type="duplicateValues" dxfId="125" priority="176"/>
  </conditionalFormatting>
  <conditionalFormatting sqref="G470:G472">
    <cfRule type="duplicateValues" dxfId="124" priority="177"/>
  </conditionalFormatting>
  <conditionalFormatting sqref="G473">
    <cfRule type="duplicateValues" dxfId="123" priority="175"/>
  </conditionalFormatting>
  <conditionalFormatting sqref="G480:G481">
    <cfRule type="duplicateValues" dxfId="122" priority="174"/>
  </conditionalFormatting>
  <conditionalFormatting sqref="G482:G483">
    <cfRule type="duplicateValues" dxfId="121" priority="173"/>
  </conditionalFormatting>
  <conditionalFormatting sqref="G484:G485">
    <cfRule type="duplicateValues" dxfId="120" priority="172"/>
  </conditionalFormatting>
  <conditionalFormatting sqref="G486">
    <cfRule type="duplicateValues" dxfId="119" priority="171"/>
  </conditionalFormatting>
  <conditionalFormatting sqref="G506">
    <cfRule type="duplicateValues" dxfId="118" priority="169"/>
  </conditionalFormatting>
  <conditionalFormatting sqref="G515:G519">
    <cfRule type="duplicateValues" dxfId="117" priority="167"/>
  </conditionalFormatting>
  <conditionalFormatting sqref="G518:G519">
    <cfRule type="duplicateValues" dxfId="116" priority="168"/>
  </conditionalFormatting>
  <conditionalFormatting sqref="G537:G538">
    <cfRule type="duplicateValues" dxfId="115" priority="166"/>
  </conditionalFormatting>
  <conditionalFormatting sqref="G549">
    <cfRule type="duplicateValues" dxfId="114" priority="165"/>
  </conditionalFormatting>
  <conditionalFormatting sqref="G550:G551">
    <cfRule type="duplicateValues" dxfId="113" priority="164"/>
  </conditionalFormatting>
  <conditionalFormatting sqref="G552">
    <cfRule type="duplicateValues" dxfId="112" priority="163"/>
  </conditionalFormatting>
  <conditionalFormatting sqref="G585:G587">
    <cfRule type="duplicateValues" dxfId="111" priority="162"/>
  </conditionalFormatting>
  <conditionalFormatting sqref="G596">
    <cfRule type="duplicateValues" dxfId="110" priority="161"/>
  </conditionalFormatting>
  <conditionalFormatting sqref="G598:G601">
    <cfRule type="duplicateValues" dxfId="109" priority="160"/>
  </conditionalFormatting>
  <conditionalFormatting sqref="G602:G605">
    <cfRule type="duplicateValues" dxfId="108" priority="159"/>
  </conditionalFormatting>
  <conditionalFormatting sqref="G602:G609">
    <cfRule type="duplicateValues" dxfId="107" priority="170"/>
  </conditionalFormatting>
  <conditionalFormatting sqref="G622">
    <cfRule type="duplicateValues" dxfId="106" priority="158"/>
  </conditionalFormatting>
  <conditionalFormatting sqref="G623">
    <cfRule type="duplicateValues" dxfId="105" priority="157"/>
  </conditionalFormatting>
  <conditionalFormatting sqref="G624:G625">
    <cfRule type="duplicateValues" dxfId="104" priority="156"/>
  </conditionalFormatting>
  <conditionalFormatting sqref="G637">
    <cfRule type="duplicateValues" dxfId="103" priority="155"/>
  </conditionalFormatting>
  <conditionalFormatting sqref="G639">
    <cfRule type="duplicateValues" dxfId="102" priority="154"/>
  </conditionalFormatting>
  <conditionalFormatting sqref="G641">
    <cfRule type="duplicateValues" dxfId="101" priority="153"/>
  </conditionalFormatting>
  <conditionalFormatting sqref="G643:G898">
    <cfRule type="duplicateValues" dxfId="100" priority="117"/>
  </conditionalFormatting>
  <conditionalFormatting sqref="H368:H372">
    <cfRule type="duplicateValues" dxfId="99" priority="149"/>
  </conditionalFormatting>
  <conditionalFormatting sqref="H370:H372">
    <cfRule type="duplicateValues" dxfId="98" priority="150"/>
  </conditionalFormatting>
  <conditionalFormatting sqref="H372">
    <cfRule type="duplicateValues" dxfId="97" priority="151"/>
  </conditionalFormatting>
  <conditionalFormatting sqref="H380:H384">
    <cfRule type="duplicateValues" dxfId="96" priority="152"/>
  </conditionalFormatting>
  <conditionalFormatting sqref="H402">
    <cfRule type="duplicateValues" dxfId="95" priority="148"/>
  </conditionalFormatting>
  <conditionalFormatting sqref="H461">
    <cfRule type="duplicateValues" dxfId="94" priority="145"/>
  </conditionalFormatting>
  <conditionalFormatting sqref="H470:H472">
    <cfRule type="duplicateValues" dxfId="93" priority="146"/>
  </conditionalFormatting>
  <conditionalFormatting sqref="H473">
    <cfRule type="duplicateValues" dxfId="92" priority="144"/>
  </conditionalFormatting>
  <conditionalFormatting sqref="H480:H481">
    <cfRule type="duplicateValues" dxfId="91" priority="143"/>
  </conditionalFormatting>
  <conditionalFormatting sqref="H482:H483">
    <cfRule type="duplicateValues" dxfId="90" priority="142"/>
  </conditionalFormatting>
  <conditionalFormatting sqref="H484:H485">
    <cfRule type="duplicateValues" dxfId="89" priority="141"/>
  </conditionalFormatting>
  <conditionalFormatting sqref="H486">
    <cfRule type="duplicateValues" dxfId="88" priority="140"/>
  </conditionalFormatting>
  <conditionalFormatting sqref="H506">
    <cfRule type="duplicateValues" dxfId="87" priority="138"/>
  </conditionalFormatting>
  <conditionalFormatting sqref="H515:H519">
    <cfRule type="duplicateValues" dxfId="86" priority="136"/>
  </conditionalFormatting>
  <conditionalFormatting sqref="H518:H519">
    <cfRule type="duplicateValues" dxfId="85" priority="137"/>
  </conditionalFormatting>
  <conditionalFormatting sqref="H537:H538">
    <cfRule type="duplicateValues" dxfId="84" priority="135"/>
  </conditionalFormatting>
  <conditionalFormatting sqref="H549">
    <cfRule type="duplicateValues" dxfId="83" priority="134"/>
  </conditionalFormatting>
  <conditionalFormatting sqref="H550:H551">
    <cfRule type="duplicateValues" dxfId="82" priority="133"/>
  </conditionalFormatting>
  <conditionalFormatting sqref="H552">
    <cfRule type="duplicateValues" dxfId="81" priority="132"/>
  </conditionalFormatting>
  <conditionalFormatting sqref="H585:H587">
    <cfRule type="duplicateValues" dxfId="80" priority="131"/>
  </conditionalFormatting>
  <conditionalFormatting sqref="H596">
    <cfRule type="duplicateValues" dxfId="79" priority="130"/>
  </conditionalFormatting>
  <conditionalFormatting sqref="H598:H601">
    <cfRule type="duplicateValues" dxfId="78" priority="129"/>
  </conditionalFormatting>
  <conditionalFormatting sqref="H602:H605">
    <cfRule type="duplicateValues" dxfId="77" priority="128"/>
  </conditionalFormatting>
  <conditionalFormatting sqref="H602:H609">
    <cfRule type="duplicateValues" dxfId="76" priority="139"/>
  </conditionalFormatting>
  <conditionalFormatting sqref="H622">
    <cfRule type="duplicateValues" dxfId="75" priority="127"/>
  </conditionalFormatting>
  <conditionalFormatting sqref="H623">
    <cfRule type="duplicateValues" dxfId="74" priority="126"/>
  </conditionalFormatting>
  <conditionalFormatting sqref="H624:H625">
    <cfRule type="duplicateValues" dxfId="73" priority="125"/>
  </conditionalFormatting>
  <conditionalFormatting sqref="H637">
    <cfRule type="duplicateValues" dxfId="72" priority="124"/>
  </conditionalFormatting>
  <conditionalFormatting sqref="H639">
    <cfRule type="duplicateValues" dxfId="71" priority="123"/>
  </conditionalFormatting>
  <conditionalFormatting sqref="H641">
    <cfRule type="duplicateValues" dxfId="70" priority="122"/>
  </conditionalFormatting>
  <conditionalFormatting sqref="H643:H898">
    <cfRule type="duplicateValues" dxfId="69" priority="116"/>
  </conditionalFormatting>
  <conditionalFormatting sqref="I80:I187">
    <cfRule type="cellIs" dxfId="68" priority="113" operator="greaterThan">
      <formula>0.97</formula>
    </cfRule>
  </conditionalFormatting>
  <conditionalFormatting sqref="I189:I236">
    <cfRule type="cellIs" dxfId="67" priority="112" operator="greaterThan">
      <formula>0.97</formula>
    </cfRule>
  </conditionalFormatting>
  <conditionalFormatting sqref="I238:I325">
    <cfRule type="cellIs" dxfId="66" priority="111" operator="greaterThan">
      <formula>0.97</formula>
    </cfRule>
  </conditionalFormatting>
  <conditionalFormatting sqref="I327:I349">
    <cfRule type="cellIs" dxfId="65" priority="107" operator="greaterThan">
      <formula>0.96</formula>
    </cfRule>
    <cfRule type="cellIs" dxfId="64" priority="108" operator="greaterThan">
      <formula>0.97</formula>
    </cfRule>
  </conditionalFormatting>
  <conditionalFormatting sqref="I351:I641">
    <cfRule type="cellIs" dxfId="63" priority="121" operator="greaterThan">
      <formula>0.97</formula>
    </cfRule>
  </conditionalFormatting>
  <conditionalFormatting sqref="I643:I898">
    <cfRule type="cellIs" dxfId="62" priority="115" operator="greaterThan">
      <formula>0.97</formula>
    </cfRule>
  </conditionalFormatting>
  <conditionalFormatting sqref="I900:I1055">
    <cfRule type="cellIs" dxfId="61" priority="120" operator="greaterThan">
      <formula>0.97</formula>
    </cfRule>
  </conditionalFormatting>
  <conditionalFormatting sqref="I1057:I1423">
    <cfRule type="cellIs" dxfId="60" priority="110" operator="greaterThan">
      <formula>0.97</formula>
    </cfRule>
  </conditionalFormatting>
  <conditionalFormatting sqref="I1425:I1683">
    <cfRule type="cellIs" dxfId="59" priority="109" operator="greaterThan">
      <formula>0.97</formula>
    </cfRule>
  </conditionalFormatting>
  <conditionalFormatting sqref="I1686:AQ1686">
    <cfRule type="cellIs" dxfId="58" priority="246" operator="greaterThan">
      <formula>0.97</formula>
    </cfRule>
  </conditionalFormatting>
  <conditionalFormatting sqref="J9:M1683">
    <cfRule type="cellIs" dxfId="57" priority="59" operator="lessThan">
      <formula>0.9</formula>
    </cfRule>
    <cfRule type="cellIs" dxfId="56" priority="60" operator="greaterThan">
      <formula>0.9</formula>
    </cfRule>
  </conditionalFormatting>
  <conditionalFormatting sqref="N80:N1683">
    <cfRule type="cellIs" dxfId="55" priority="106" operator="greaterThan">
      <formula>0.97</formula>
    </cfRule>
    <cfRule type="cellIs" dxfId="54" priority="105" operator="greaterThan">
      <formula>0.96</formula>
    </cfRule>
  </conditionalFormatting>
  <conditionalFormatting sqref="O9:R1683">
    <cfRule type="cellIs" dxfId="53" priority="58" operator="greaterThan">
      <formula>0.9</formula>
    </cfRule>
    <cfRule type="cellIs" dxfId="52" priority="57" operator="lessThan">
      <formula>0.9</formula>
    </cfRule>
  </conditionalFormatting>
  <conditionalFormatting sqref="T9:W1683">
    <cfRule type="cellIs" dxfId="51" priority="24" operator="greaterThan">
      <formula>0.9</formula>
    </cfRule>
    <cfRule type="cellIs" dxfId="50" priority="23" operator="lessThan">
      <formula>0.9</formula>
    </cfRule>
  </conditionalFormatting>
  <conditionalFormatting sqref="X9:X1683">
    <cfRule type="cellIs" dxfId="49" priority="28" operator="greaterThan">
      <formula>0.97</formula>
    </cfRule>
    <cfRule type="cellIs" dxfId="48" priority="27" operator="greaterThan">
      <formula>0.96</formula>
    </cfRule>
  </conditionalFormatting>
  <conditionalFormatting sqref="Y9:AB1683">
    <cfRule type="cellIs" dxfId="47" priority="21" operator="lessThan">
      <formula>0.9</formula>
    </cfRule>
    <cfRule type="cellIs" dxfId="46" priority="22" operator="greaterThan">
      <formula>0.9</formula>
    </cfRule>
  </conditionalFormatting>
  <conditionalFormatting sqref="AC9:AC78">
    <cfRule type="cellIs" dxfId="45" priority="104" operator="greaterThan">
      <formula>0.97</formula>
    </cfRule>
    <cfRule type="cellIs" dxfId="44" priority="103" operator="greaterThan">
      <formula>0.96</formula>
    </cfRule>
  </conditionalFormatting>
  <conditionalFormatting sqref="AC80:AC325">
    <cfRule type="cellIs" dxfId="43" priority="102" operator="greaterThan">
      <formula>0.97</formula>
    </cfRule>
    <cfRule type="cellIs" dxfId="42" priority="101" operator="greaterThan">
      <formula>0.96</formula>
    </cfRule>
  </conditionalFormatting>
  <conditionalFormatting sqref="AC327:AC349">
    <cfRule type="cellIs" dxfId="41" priority="62" operator="greaterThan">
      <formula>0.97</formula>
    </cfRule>
    <cfRule type="cellIs" dxfId="40" priority="61" operator="greaterThan">
      <formula>0.96</formula>
    </cfRule>
  </conditionalFormatting>
  <conditionalFormatting sqref="AC351:AC641">
    <cfRule type="cellIs" dxfId="39" priority="100" operator="greaterThan">
      <formula>0.97</formula>
    </cfRule>
    <cfRule type="cellIs" dxfId="38" priority="99" operator="greaterThan">
      <formula>0.96</formula>
    </cfRule>
  </conditionalFormatting>
  <conditionalFormatting sqref="AC643:AC898">
    <cfRule type="cellIs" dxfId="37" priority="98" operator="greaterThan">
      <formula>0.97</formula>
    </cfRule>
    <cfRule type="cellIs" dxfId="36" priority="97" operator="greaterThan">
      <formula>0.96</formula>
    </cfRule>
  </conditionalFormatting>
  <conditionalFormatting sqref="AC900:AC1055">
    <cfRule type="cellIs" dxfId="35" priority="96" operator="greaterThan">
      <formula>0.97</formula>
    </cfRule>
    <cfRule type="cellIs" dxfId="34" priority="95" operator="greaterThan">
      <formula>0.96</formula>
    </cfRule>
  </conditionalFormatting>
  <conditionalFormatting sqref="AC1057:AC1423">
    <cfRule type="cellIs" dxfId="33" priority="94" operator="greaterThan">
      <formula>0.97</formula>
    </cfRule>
    <cfRule type="cellIs" dxfId="32" priority="93" operator="greaterThan">
      <formula>0.96</formula>
    </cfRule>
  </conditionalFormatting>
  <conditionalFormatting sqref="AC1425:AC1683">
    <cfRule type="cellIs" dxfId="31" priority="92" operator="greaterThan">
      <formula>0.97</formula>
    </cfRule>
    <cfRule type="cellIs" dxfId="30" priority="91" operator="greaterThan">
      <formula>0.96</formula>
    </cfRule>
  </conditionalFormatting>
  <conditionalFormatting sqref="AD9:AG1683">
    <cfRule type="cellIs" dxfId="29" priority="54" operator="greaterThan">
      <formula>0.92</formula>
    </cfRule>
    <cfRule type="cellIs" dxfId="28" priority="53" operator="lessThan">
      <formula>0.92</formula>
    </cfRule>
  </conditionalFormatting>
  <conditionalFormatting sqref="AH9:AH325">
    <cfRule type="cellIs" dxfId="27" priority="90" operator="greaterThan">
      <formula>0.97</formula>
    </cfRule>
    <cfRule type="cellIs" dxfId="26" priority="89" operator="greaterThan">
      <formula>0.96</formula>
    </cfRule>
  </conditionalFormatting>
  <conditionalFormatting sqref="AH327:AH349">
    <cfRule type="cellIs" dxfId="25" priority="84" operator="greaterThan">
      <formula>0.97</formula>
    </cfRule>
    <cfRule type="cellIs" dxfId="24" priority="83" operator="greaterThan">
      <formula>0.96</formula>
    </cfRule>
  </conditionalFormatting>
  <conditionalFormatting sqref="AI9:AL1683">
    <cfRule type="cellIs" dxfId="23" priority="52" operator="greaterThan">
      <formula>0.92</formula>
    </cfRule>
    <cfRule type="cellIs" dxfId="22" priority="51" operator="lessThan">
      <formula>0.92</formula>
    </cfRule>
  </conditionalFormatting>
  <conditionalFormatting sqref="AN9:AQ1683">
    <cfRule type="cellIs" dxfId="21" priority="50" operator="greaterThan">
      <formula>0.99</formula>
    </cfRule>
    <cfRule type="cellIs" dxfId="20" priority="49" operator="lessThan">
      <formula>0.99</formula>
    </cfRule>
  </conditionalFormatting>
  <conditionalFormatting sqref="AS9:AV78">
    <cfRule type="cellIs" dxfId="19" priority="20" operator="greaterThan">
      <formula>$AR$9</formula>
    </cfRule>
    <cfRule type="cellIs" dxfId="18" priority="19" operator="lessThan">
      <formula>$AR$9</formula>
    </cfRule>
  </conditionalFormatting>
  <conditionalFormatting sqref="AS80:AV187">
    <cfRule type="cellIs" dxfId="17" priority="18" operator="greaterThan">
      <formula>$AR$80</formula>
    </cfRule>
    <cfRule type="cellIs" dxfId="16" priority="17" operator="lessThan">
      <formula>$AR$80</formula>
    </cfRule>
  </conditionalFormatting>
  <conditionalFormatting sqref="AS189:AV236">
    <cfRule type="cellIs" dxfId="15" priority="16" operator="greaterThan">
      <formula>$AR$189</formula>
    </cfRule>
    <cfRule type="cellIs" dxfId="14" priority="15" operator="lessThan">
      <formula>$AR$189</formula>
    </cfRule>
  </conditionalFormatting>
  <conditionalFormatting sqref="AS238:AV325">
    <cfRule type="cellIs" dxfId="13" priority="14" operator="greaterThan">
      <formula>$AR$238</formula>
    </cfRule>
    <cfRule type="cellIs" dxfId="12" priority="13" operator="lessThan">
      <formula>$AR$238</formula>
    </cfRule>
  </conditionalFormatting>
  <conditionalFormatting sqref="AS327:AV349">
    <cfRule type="cellIs" dxfId="11" priority="12" operator="greaterThan">
      <formula>$AR$327</formula>
    </cfRule>
    <cfRule type="cellIs" dxfId="10" priority="11" operator="lessThan">
      <formula>$AR$327</formula>
    </cfRule>
  </conditionalFormatting>
  <conditionalFormatting sqref="AS351:AV641">
    <cfRule type="cellIs" dxfId="9" priority="10" operator="greaterThan">
      <formula>$AR$351</formula>
    </cfRule>
    <cfRule type="cellIs" dxfId="8" priority="9" operator="lessThan">
      <formula>$AR$351</formula>
    </cfRule>
  </conditionalFormatting>
  <conditionalFormatting sqref="AS643:AV898">
    <cfRule type="cellIs" dxfId="7" priority="7" operator="lessThan">
      <formula>$AR$643</formula>
    </cfRule>
    <cfRule type="cellIs" dxfId="6" priority="8" operator="greaterThan">
      <formula>$AR$643</formula>
    </cfRule>
  </conditionalFormatting>
  <conditionalFormatting sqref="AS900:AV1055">
    <cfRule type="cellIs" dxfId="5" priority="6" operator="greaterThan">
      <formula>$AR$900</formula>
    </cfRule>
    <cfRule type="cellIs" dxfId="4" priority="5" operator="lessThan">
      <formula>$AR$900</formula>
    </cfRule>
  </conditionalFormatting>
  <conditionalFormatting sqref="AS1057:AV1423">
    <cfRule type="cellIs" dxfId="3" priority="4" operator="greaterThan">
      <formula>$AR$1057</formula>
    </cfRule>
    <cfRule type="cellIs" dxfId="2" priority="3" operator="lessThan">
      <formula>$AR$1057</formula>
    </cfRule>
  </conditionalFormatting>
  <conditionalFormatting sqref="AS1425:AV1683">
    <cfRule type="cellIs" dxfId="1" priority="1" operator="lessThan">
      <formula>$AR$1425</formula>
    </cfRule>
    <cfRule type="cellIs" dxfId="0" priority="2" operator="greaterThan">
      <formula>$AR$1425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209A-302E-4D3D-9142-4B65EE14C72D}">
  <dimension ref="B1:E1670"/>
  <sheetViews>
    <sheetView tabSelected="1" workbookViewId="0">
      <selection activeCell="F11" sqref="F11"/>
    </sheetView>
  </sheetViews>
  <sheetFormatPr defaultRowHeight="14.4"/>
  <cols>
    <col min="2" max="2" width="17.21875" customWidth="1"/>
    <col min="3" max="3" width="18.5546875" customWidth="1"/>
    <col min="4" max="4" width="26.44140625" customWidth="1"/>
    <col min="5" max="5" width="19.5546875" customWidth="1"/>
  </cols>
  <sheetData>
    <row r="1" spans="2:5" ht="15" thickBot="1"/>
    <row r="2" spans="2:5">
      <c r="B2" s="199" t="s">
        <v>40</v>
      </c>
      <c r="C2" s="200" t="s">
        <v>41</v>
      </c>
      <c r="D2" s="201" t="s">
        <v>42</v>
      </c>
      <c r="E2" s="202" t="s">
        <v>1737</v>
      </c>
    </row>
    <row r="3" spans="2:5">
      <c r="B3" s="203"/>
      <c r="C3" s="204"/>
      <c r="D3" s="205"/>
      <c r="E3" s="206"/>
    </row>
    <row r="4" spans="2:5" ht="15" thickBot="1">
      <c r="B4" s="203"/>
      <c r="C4" s="207"/>
      <c r="D4" s="205"/>
      <c r="E4" s="206"/>
    </row>
    <row r="5" spans="2:5">
      <c r="B5" s="212" t="s">
        <v>56</v>
      </c>
      <c r="C5" s="213" t="s">
        <v>29</v>
      </c>
      <c r="D5" s="214" t="s">
        <v>57</v>
      </c>
      <c r="E5" s="215" t="s">
        <v>1738</v>
      </c>
    </row>
    <row r="6" spans="2:5">
      <c r="B6" s="216" t="s">
        <v>56</v>
      </c>
      <c r="C6" s="208" t="s">
        <v>29</v>
      </c>
      <c r="D6" s="209" t="s">
        <v>58</v>
      </c>
      <c r="E6" s="217" t="s">
        <v>1738</v>
      </c>
    </row>
    <row r="7" spans="2:5">
      <c r="B7" s="216" t="s">
        <v>56</v>
      </c>
      <c r="C7" s="208" t="s">
        <v>29</v>
      </c>
      <c r="D7" s="209" t="s">
        <v>59</v>
      </c>
      <c r="E7" s="217" t="s">
        <v>1</v>
      </c>
    </row>
    <row r="8" spans="2:5">
      <c r="B8" s="216" t="s">
        <v>56</v>
      </c>
      <c r="C8" s="208" t="s">
        <v>29</v>
      </c>
      <c r="D8" s="209" t="s">
        <v>60</v>
      </c>
      <c r="E8" s="217" t="s">
        <v>1</v>
      </c>
    </row>
    <row r="9" spans="2:5">
      <c r="B9" s="216" t="s">
        <v>56</v>
      </c>
      <c r="C9" s="208" t="s">
        <v>29</v>
      </c>
      <c r="D9" s="209" t="s">
        <v>61</v>
      </c>
      <c r="E9" s="217" t="s">
        <v>1738</v>
      </c>
    </row>
    <row r="10" spans="2:5">
      <c r="B10" s="216" t="s">
        <v>56</v>
      </c>
      <c r="C10" s="208" t="s">
        <v>29</v>
      </c>
      <c r="D10" s="209" t="s">
        <v>62</v>
      </c>
      <c r="E10" s="217" t="s">
        <v>1738</v>
      </c>
    </row>
    <row r="11" spans="2:5">
      <c r="B11" s="216" t="s">
        <v>56</v>
      </c>
      <c r="C11" s="208" t="s">
        <v>29</v>
      </c>
      <c r="D11" s="209" t="s">
        <v>63</v>
      </c>
      <c r="E11" s="217" t="s">
        <v>1738</v>
      </c>
    </row>
    <row r="12" spans="2:5">
      <c r="B12" s="216" t="s">
        <v>56</v>
      </c>
      <c r="C12" s="208" t="s">
        <v>29</v>
      </c>
      <c r="D12" s="209" t="s">
        <v>64</v>
      </c>
      <c r="E12" s="217" t="s">
        <v>1</v>
      </c>
    </row>
    <row r="13" spans="2:5">
      <c r="B13" s="216" t="s">
        <v>56</v>
      </c>
      <c r="C13" s="208" t="s">
        <v>29</v>
      </c>
      <c r="D13" s="209" t="s">
        <v>65</v>
      </c>
      <c r="E13" s="217" t="s">
        <v>1</v>
      </c>
    </row>
    <row r="14" spans="2:5">
      <c r="B14" s="216" t="s">
        <v>56</v>
      </c>
      <c r="C14" s="208" t="s">
        <v>29</v>
      </c>
      <c r="D14" s="209" t="s">
        <v>66</v>
      </c>
      <c r="E14" s="217" t="s">
        <v>1</v>
      </c>
    </row>
    <row r="15" spans="2:5">
      <c r="B15" s="216" t="s">
        <v>56</v>
      </c>
      <c r="C15" s="208" t="s">
        <v>29</v>
      </c>
      <c r="D15" s="209" t="s">
        <v>67</v>
      </c>
      <c r="E15" s="217" t="s">
        <v>1738</v>
      </c>
    </row>
    <row r="16" spans="2:5">
      <c r="B16" s="216" t="s">
        <v>56</v>
      </c>
      <c r="C16" s="208" t="s">
        <v>29</v>
      </c>
      <c r="D16" s="209" t="s">
        <v>68</v>
      </c>
      <c r="E16" s="217" t="s">
        <v>1</v>
      </c>
    </row>
    <row r="17" spans="2:5">
      <c r="B17" s="216" t="s">
        <v>56</v>
      </c>
      <c r="C17" s="208" t="s">
        <v>29</v>
      </c>
      <c r="D17" s="209" t="s">
        <v>69</v>
      </c>
      <c r="E17" s="217" t="s">
        <v>1738</v>
      </c>
    </row>
    <row r="18" spans="2:5">
      <c r="B18" s="216" t="s">
        <v>56</v>
      </c>
      <c r="C18" s="208" t="s">
        <v>29</v>
      </c>
      <c r="D18" s="209" t="s">
        <v>70</v>
      </c>
      <c r="E18" s="217" t="s">
        <v>1738</v>
      </c>
    </row>
    <row r="19" spans="2:5">
      <c r="B19" s="216" t="s">
        <v>56</v>
      </c>
      <c r="C19" s="208" t="s">
        <v>29</v>
      </c>
      <c r="D19" s="209" t="s">
        <v>71</v>
      </c>
      <c r="E19" s="217" t="s">
        <v>1738</v>
      </c>
    </row>
    <row r="20" spans="2:5">
      <c r="B20" s="216" t="s">
        <v>56</v>
      </c>
      <c r="C20" s="208" t="s">
        <v>29</v>
      </c>
      <c r="D20" s="209" t="s">
        <v>72</v>
      </c>
      <c r="E20" s="217" t="s">
        <v>1</v>
      </c>
    </row>
    <row r="21" spans="2:5">
      <c r="B21" s="216" t="s">
        <v>56</v>
      </c>
      <c r="C21" s="208" t="s">
        <v>29</v>
      </c>
      <c r="D21" s="209" t="s">
        <v>73</v>
      </c>
      <c r="E21" s="217" t="s">
        <v>1738</v>
      </c>
    </row>
    <row r="22" spans="2:5">
      <c r="B22" s="216" t="s">
        <v>56</v>
      </c>
      <c r="C22" s="208" t="s">
        <v>29</v>
      </c>
      <c r="D22" s="209" t="s">
        <v>74</v>
      </c>
      <c r="E22" s="217" t="s">
        <v>1</v>
      </c>
    </row>
    <row r="23" spans="2:5">
      <c r="B23" s="216" t="s">
        <v>56</v>
      </c>
      <c r="C23" s="208" t="s">
        <v>29</v>
      </c>
      <c r="D23" s="209" t="s">
        <v>75</v>
      </c>
      <c r="E23" s="217" t="s">
        <v>1</v>
      </c>
    </row>
    <row r="24" spans="2:5">
      <c r="B24" s="216" t="s">
        <v>56</v>
      </c>
      <c r="C24" s="208" t="s">
        <v>29</v>
      </c>
      <c r="D24" s="209" t="s">
        <v>76</v>
      </c>
      <c r="E24" s="217" t="s">
        <v>1738</v>
      </c>
    </row>
    <row r="25" spans="2:5">
      <c r="B25" s="216" t="s">
        <v>56</v>
      </c>
      <c r="C25" s="208" t="s">
        <v>29</v>
      </c>
      <c r="D25" s="209" t="s">
        <v>77</v>
      </c>
      <c r="E25" s="217" t="s">
        <v>1738</v>
      </c>
    </row>
    <row r="26" spans="2:5">
      <c r="B26" s="216" t="s">
        <v>56</v>
      </c>
      <c r="C26" s="208" t="s">
        <v>29</v>
      </c>
      <c r="D26" s="209" t="s">
        <v>78</v>
      </c>
      <c r="E26" s="217" t="s">
        <v>1</v>
      </c>
    </row>
    <row r="27" spans="2:5">
      <c r="B27" s="216" t="s">
        <v>56</v>
      </c>
      <c r="C27" s="208" t="s">
        <v>29</v>
      </c>
      <c r="D27" s="209" t="s">
        <v>79</v>
      </c>
      <c r="E27" s="217" t="s">
        <v>1</v>
      </c>
    </row>
    <row r="28" spans="2:5">
      <c r="B28" s="216" t="s">
        <v>56</v>
      </c>
      <c r="C28" s="208" t="s">
        <v>29</v>
      </c>
      <c r="D28" s="209" t="s">
        <v>80</v>
      </c>
      <c r="E28" s="217" t="s">
        <v>1</v>
      </c>
    </row>
    <row r="29" spans="2:5">
      <c r="B29" s="216" t="s">
        <v>56</v>
      </c>
      <c r="C29" s="208" t="s">
        <v>29</v>
      </c>
      <c r="D29" s="209" t="s">
        <v>81</v>
      </c>
      <c r="E29" s="217" t="s">
        <v>1738</v>
      </c>
    </row>
    <row r="30" spans="2:5">
      <c r="B30" s="216" t="s">
        <v>56</v>
      </c>
      <c r="C30" s="208" t="s">
        <v>29</v>
      </c>
      <c r="D30" s="209" t="s">
        <v>82</v>
      </c>
      <c r="E30" s="217" t="s">
        <v>1</v>
      </c>
    </row>
    <row r="31" spans="2:5">
      <c r="B31" s="216" t="s">
        <v>56</v>
      </c>
      <c r="C31" s="208" t="s">
        <v>29</v>
      </c>
      <c r="D31" s="209" t="s">
        <v>83</v>
      </c>
      <c r="E31" s="217" t="s">
        <v>1738</v>
      </c>
    </row>
    <row r="32" spans="2:5">
      <c r="B32" s="216" t="s">
        <v>56</v>
      </c>
      <c r="C32" s="208" t="s">
        <v>29</v>
      </c>
      <c r="D32" s="209" t="s">
        <v>84</v>
      </c>
      <c r="E32" s="217" t="s">
        <v>1</v>
      </c>
    </row>
    <row r="33" spans="2:5">
      <c r="B33" s="216" t="s">
        <v>56</v>
      </c>
      <c r="C33" s="208" t="s">
        <v>29</v>
      </c>
      <c r="D33" s="209" t="s">
        <v>85</v>
      </c>
      <c r="E33" s="217" t="s">
        <v>1</v>
      </c>
    </row>
    <row r="34" spans="2:5">
      <c r="B34" s="216" t="s">
        <v>56</v>
      </c>
      <c r="C34" s="208" t="s">
        <v>29</v>
      </c>
      <c r="D34" s="209" t="s">
        <v>86</v>
      </c>
      <c r="E34" s="217" t="s">
        <v>1</v>
      </c>
    </row>
    <row r="35" spans="2:5">
      <c r="B35" s="216" t="s">
        <v>56</v>
      </c>
      <c r="C35" s="208" t="s">
        <v>29</v>
      </c>
      <c r="D35" s="209" t="s">
        <v>87</v>
      </c>
      <c r="E35" s="217" t="s">
        <v>1</v>
      </c>
    </row>
    <row r="36" spans="2:5">
      <c r="B36" s="216" t="s">
        <v>56</v>
      </c>
      <c r="C36" s="208" t="s">
        <v>29</v>
      </c>
      <c r="D36" s="209" t="s">
        <v>88</v>
      </c>
      <c r="E36" s="217" t="s">
        <v>1738</v>
      </c>
    </row>
    <row r="37" spans="2:5">
      <c r="B37" s="216" t="s">
        <v>56</v>
      </c>
      <c r="C37" s="208" t="s">
        <v>29</v>
      </c>
      <c r="D37" s="209" t="s">
        <v>89</v>
      </c>
      <c r="E37" s="217" t="s">
        <v>1</v>
      </c>
    </row>
    <row r="38" spans="2:5">
      <c r="B38" s="216" t="s">
        <v>56</v>
      </c>
      <c r="C38" s="208" t="s">
        <v>29</v>
      </c>
      <c r="D38" s="209" t="s">
        <v>90</v>
      </c>
      <c r="E38" s="217" t="s">
        <v>1</v>
      </c>
    </row>
    <row r="39" spans="2:5">
      <c r="B39" s="216" t="s">
        <v>56</v>
      </c>
      <c r="C39" s="208" t="s">
        <v>29</v>
      </c>
      <c r="D39" s="209" t="s">
        <v>91</v>
      </c>
      <c r="E39" s="217" t="s">
        <v>1</v>
      </c>
    </row>
    <row r="40" spans="2:5">
      <c r="B40" s="216" t="s">
        <v>56</v>
      </c>
      <c r="C40" s="208" t="s">
        <v>29</v>
      </c>
      <c r="D40" s="209" t="s">
        <v>92</v>
      </c>
      <c r="E40" s="217" t="s">
        <v>1</v>
      </c>
    </row>
    <row r="41" spans="2:5">
      <c r="B41" s="216" t="s">
        <v>56</v>
      </c>
      <c r="C41" s="208" t="s">
        <v>29</v>
      </c>
      <c r="D41" s="209" t="s">
        <v>93</v>
      </c>
      <c r="E41" s="217" t="s">
        <v>1738</v>
      </c>
    </row>
    <row r="42" spans="2:5">
      <c r="B42" s="216" t="s">
        <v>56</v>
      </c>
      <c r="C42" s="208" t="s">
        <v>29</v>
      </c>
      <c r="D42" s="209" t="s">
        <v>94</v>
      </c>
      <c r="E42" s="217" t="s">
        <v>1738</v>
      </c>
    </row>
    <row r="43" spans="2:5">
      <c r="B43" s="216" t="s">
        <v>56</v>
      </c>
      <c r="C43" s="208" t="s">
        <v>29</v>
      </c>
      <c r="D43" s="209" t="s">
        <v>95</v>
      </c>
      <c r="E43" s="217" t="s">
        <v>1738</v>
      </c>
    </row>
    <row r="44" spans="2:5">
      <c r="B44" s="216" t="s">
        <v>56</v>
      </c>
      <c r="C44" s="208" t="s">
        <v>29</v>
      </c>
      <c r="D44" s="209" t="s">
        <v>96</v>
      </c>
      <c r="E44" s="217" t="s">
        <v>1738</v>
      </c>
    </row>
    <row r="45" spans="2:5">
      <c r="B45" s="216" t="s">
        <v>56</v>
      </c>
      <c r="C45" s="208" t="s">
        <v>29</v>
      </c>
      <c r="D45" s="209" t="s">
        <v>97</v>
      </c>
      <c r="E45" s="217" t="s">
        <v>1738</v>
      </c>
    </row>
    <row r="46" spans="2:5">
      <c r="B46" s="216" t="s">
        <v>56</v>
      </c>
      <c r="C46" s="208" t="s">
        <v>29</v>
      </c>
      <c r="D46" s="209" t="s">
        <v>98</v>
      </c>
      <c r="E46" s="217" t="s">
        <v>1</v>
      </c>
    </row>
    <row r="47" spans="2:5">
      <c r="B47" s="216" t="s">
        <v>56</v>
      </c>
      <c r="C47" s="208" t="s">
        <v>29</v>
      </c>
      <c r="D47" s="209" t="s">
        <v>99</v>
      </c>
      <c r="E47" s="217" t="s">
        <v>1</v>
      </c>
    </row>
    <row r="48" spans="2:5">
      <c r="B48" s="216" t="s">
        <v>56</v>
      </c>
      <c r="C48" s="208" t="s">
        <v>29</v>
      </c>
      <c r="D48" s="209" t="s">
        <v>100</v>
      </c>
      <c r="E48" s="217" t="s">
        <v>1</v>
      </c>
    </row>
    <row r="49" spans="2:5">
      <c r="B49" s="216" t="s">
        <v>56</v>
      </c>
      <c r="C49" s="208" t="s">
        <v>29</v>
      </c>
      <c r="D49" s="209" t="s">
        <v>101</v>
      </c>
      <c r="E49" s="217" t="s">
        <v>1738</v>
      </c>
    </row>
    <row r="50" spans="2:5">
      <c r="B50" s="216" t="s">
        <v>56</v>
      </c>
      <c r="C50" s="208" t="s">
        <v>29</v>
      </c>
      <c r="D50" s="209" t="s">
        <v>102</v>
      </c>
      <c r="E50" s="217" t="s">
        <v>1738</v>
      </c>
    </row>
    <row r="51" spans="2:5">
      <c r="B51" s="216" t="s">
        <v>56</v>
      </c>
      <c r="C51" s="208" t="s">
        <v>29</v>
      </c>
      <c r="D51" s="209" t="s">
        <v>103</v>
      </c>
      <c r="E51" s="217" t="s">
        <v>1738</v>
      </c>
    </row>
    <row r="52" spans="2:5">
      <c r="B52" s="216" t="s">
        <v>56</v>
      </c>
      <c r="C52" s="208" t="s">
        <v>29</v>
      </c>
      <c r="D52" s="209" t="s">
        <v>104</v>
      </c>
      <c r="E52" s="217" t="s">
        <v>1</v>
      </c>
    </row>
    <row r="53" spans="2:5">
      <c r="B53" s="216" t="s">
        <v>56</v>
      </c>
      <c r="C53" s="208" t="s">
        <v>29</v>
      </c>
      <c r="D53" s="209" t="s">
        <v>105</v>
      </c>
      <c r="E53" s="217" t="s">
        <v>1738</v>
      </c>
    </row>
    <row r="54" spans="2:5">
      <c r="B54" s="216" t="s">
        <v>56</v>
      </c>
      <c r="C54" s="208" t="s">
        <v>29</v>
      </c>
      <c r="D54" s="209" t="s">
        <v>106</v>
      </c>
      <c r="E54" s="217" t="s">
        <v>1738</v>
      </c>
    </row>
    <row r="55" spans="2:5">
      <c r="B55" s="216" t="s">
        <v>56</v>
      </c>
      <c r="C55" s="208" t="s">
        <v>29</v>
      </c>
      <c r="D55" s="209" t="s">
        <v>107</v>
      </c>
      <c r="E55" s="217" t="s">
        <v>1</v>
      </c>
    </row>
    <row r="56" spans="2:5">
      <c r="B56" s="216" t="s">
        <v>56</v>
      </c>
      <c r="C56" s="208" t="s">
        <v>29</v>
      </c>
      <c r="D56" s="209" t="s">
        <v>108</v>
      </c>
      <c r="E56" s="217" t="s">
        <v>1738</v>
      </c>
    </row>
    <row r="57" spans="2:5">
      <c r="B57" s="216" t="s">
        <v>56</v>
      </c>
      <c r="C57" s="208" t="s">
        <v>29</v>
      </c>
      <c r="D57" s="209" t="s">
        <v>109</v>
      </c>
      <c r="E57" s="217" t="s">
        <v>1738</v>
      </c>
    </row>
    <row r="58" spans="2:5">
      <c r="B58" s="216" t="s">
        <v>56</v>
      </c>
      <c r="C58" s="208" t="s">
        <v>29</v>
      </c>
      <c r="D58" s="209" t="s">
        <v>110</v>
      </c>
      <c r="E58" s="217" t="s">
        <v>1</v>
      </c>
    </row>
    <row r="59" spans="2:5">
      <c r="B59" s="216" t="s">
        <v>56</v>
      </c>
      <c r="C59" s="208" t="s">
        <v>29</v>
      </c>
      <c r="D59" s="209" t="s">
        <v>111</v>
      </c>
      <c r="E59" s="217" t="s">
        <v>1</v>
      </c>
    </row>
    <row r="60" spans="2:5">
      <c r="B60" s="216" t="s">
        <v>56</v>
      </c>
      <c r="C60" s="208" t="s">
        <v>29</v>
      </c>
      <c r="D60" s="209" t="s">
        <v>112</v>
      </c>
      <c r="E60" s="217" t="s">
        <v>1738</v>
      </c>
    </row>
    <row r="61" spans="2:5">
      <c r="B61" s="216" t="s">
        <v>56</v>
      </c>
      <c r="C61" s="208" t="s">
        <v>29</v>
      </c>
      <c r="D61" s="209" t="s">
        <v>113</v>
      </c>
      <c r="E61" s="217" t="s">
        <v>1</v>
      </c>
    </row>
    <row r="62" spans="2:5">
      <c r="B62" s="216" t="s">
        <v>56</v>
      </c>
      <c r="C62" s="208" t="s">
        <v>29</v>
      </c>
      <c r="D62" s="209" t="s">
        <v>114</v>
      </c>
      <c r="E62" s="217" t="s">
        <v>1738</v>
      </c>
    </row>
    <row r="63" spans="2:5">
      <c r="B63" s="216" t="s">
        <v>56</v>
      </c>
      <c r="C63" s="208" t="s">
        <v>29</v>
      </c>
      <c r="D63" s="209" t="s">
        <v>115</v>
      </c>
      <c r="E63" s="217" t="s">
        <v>1738</v>
      </c>
    </row>
    <row r="64" spans="2:5">
      <c r="B64" s="216" t="s">
        <v>56</v>
      </c>
      <c r="C64" s="208" t="s">
        <v>29</v>
      </c>
      <c r="D64" s="209" t="s">
        <v>116</v>
      </c>
      <c r="E64" s="217" t="s">
        <v>1</v>
      </c>
    </row>
    <row r="65" spans="2:5">
      <c r="B65" s="216" t="s">
        <v>56</v>
      </c>
      <c r="C65" s="208" t="s">
        <v>29</v>
      </c>
      <c r="D65" s="209" t="s">
        <v>117</v>
      </c>
      <c r="E65" s="217" t="s">
        <v>1</v>
      </c>
    </row>
    <row r="66" spans="2:5">
      <c r="B66" s="216" t="s">
        <v>56</v>
      </c>
      <c r="C66" s="208" t="s">
        <v>29</v>
      </c>
      <c r="D66" s="209" t="s">
        <v>118</v>
      </c>
      <c r="E66" s="217" t="s">
        <v>1738</v>
      </c>
    </row>
    <row r="67" spans="2:5">
      <c r="B67" s="216" t="s">
        <v>56</v>
      </c>
      <c r="C67" s="208" t="s">
        <v>29</v>
      </c>
      <c r="D67" s="209" t="s">
        <v>119</v>
      </c>
      <c r="E67" s="217" t="s">
        <v>1738</v>
      </c>
    </row>
    <row r="68" spans="2:5">
      <c r="B68" s="216" t="s">
        <v>56</v>
      </c>
      <c r="C68" s="208" t="s">
        <v>29</v>
      </c>
      <c r="D68" s="209" t="s">
        <v>120</v>
      </c>
      <c r="E68" s="217" t="s">
        <v>1738</v>
      </c>
    </row>
    <row r="69" spans="2:5">
      <c r="B69" s="216" t="s">
        <v>56</v>
      </c>
      <c r="C69" s="208" t="s">
        <v>29</v>
      </c>
      <c r="D69" s="209" t="s">
        <v>121</v>
      </c>
      <c r="E69" s="217" t="s">
        <v>1738</v>
      </c>
    </row>
    <row r="70" spans="2:5">
      <c r="B70" s="216" t="s">
        <v>56</v>
      </c>
      <c r="C70" s="208" t="s">
        <v>29</v>
      </c>
      <c r="D70" s="209" t="s">
        <v>122</v>
      </c>
      <c r="E70" s="217" t="s">
        <v>1738</v>
      </c>
    </row>
    <row r="71" spans="2:5">
      <c r="B71" s="216" t="s">
        <v>56</v>
      </c>
      <c r="C71" s="208" t="s">
        <v>29</v>
      </c>
      <c r="D71" s="209" t="s">
        <v>123</v>
      </c>
      <c r="E71" s="217" t="s">
        <v>1738</v>
      </c>
    </row>
    <row r="72" spans="2:5">
      <c r="B72" s="216" t="s">
        <v>56</v>
      </c>
      <c r="C72" s="208" t="s">
        <v>29</v>
      </c>
      <c r="D72" s="209" t="s">
        <v>124</v>
      </c>
      <c r="E72" s="217" t="s">
        <v>1738</v>
      </c>
    </row>
    <row r="73" spans="2:5">
      <c r="B73" s="216" t="s">
        <v>56</v>
      </c>
      <c r="C73" s="208" t="s">
        <v>29</v>
      </c>
      <c r="D73" s="209" t="s">
        <v>125</v>
      </c>
      <c r="E73" s="217" t="s">
        <v>1</v>
      </c>
    </row>
    <row r="74" spans="2:5">
      <c r="B74" s="216" t="s">
        <v>56</v>
      </c>
      <c r="C74" s="208" t="s">
        <v>29</v>
      </c>
      <c r="D74" s="209" t="s">
        <v>126</v>
      </c>
      <c r="E74" s="217" t="s">
        <v>1</v>
      </c>
    </row>
    <row r="75" spans="2:5">
      <c r="B75" s="216" t="s">
        <v>127</v>
      </c>
      <c r="C75" s="208" t="s">
        <v>11</v>
      </c>
      <c r="D75" s="209" t="s">
        <v>128</v>
      </c>
      <c r="E75" s="217" t="s">
        <v>1738</v>
      </c>
    </row>
    <row r="76" spans="2:5">
      <c r="B76" s="216" t="s">
        <v>127</v>
      </c>
      <c r="C76" s="208" t="s">
        <v>11</v>
      </c>
      <c r="D76" s="209" t="s">
        <v>129</v>
      </c>
      <c r="E76" s="217" t="s">
        <v>1738</v>
      </c>
    </row>
    <row r="77" spans="2:5">
      <c r="B77" s="216" t="s">
        <v>127</v>
      </c>
      <c r="C77" s="208" t="s">
        <v>11</v>
      </c>
      <c r="D77" s="209" t="s">
        <v>130</v>
      </c>
      <c r="E77" s="217" t="s">
        <v>1738</v>
      </c>
    </row>
    <row r="78" spans="2:5">
      <c r="B78" s="216" t="s">
        <v>127</v>
      </c>
      <c r="C78" s="208" t="s">
        <v>11</v>
      </c>
      <c r="D78" s="209" t="s">
        <v>131</v>
      </c>
      <c r="E78" s="217" t="s">
        <v>1738</v>
      </c>
    </row>
    <row r="79" spans="2:5">
      <c r="B79" s="216" t="s">
        <v>127</v>
      </c>
      <c r="C79" s="208" t="s">
        <v>11</v>
      </c>
      <c r="D79" s="209" t="s">
        <v>132</v>
      </c>
      <c r="E79" s="217" t="s">
        <v>1738</v>
      </c>
    </row>
    <row r="80" spans="2:5">
      <c r="B80" s="216" t="s">
        <v>127</v>
      </c>
      <c r="C80" s="208" t="s">
        <v>11</v>
      </c>
      <c r="D80" s="209" t="s">
        <v>133</v>
      </c>
      <c r="E80" s="217" t="s">
        <v>1</v>
      </c>
    </row>
    <row r="81" spans="2:5">
      <c r="B81" s="216" t="s">
        <v>127</v>
      </c>
      <c r="C81" s="208" t="s">
        <v>11</v>
      </c>
      <c r="D81" s="209" t="s">
        <v>134</v>
      </c>
      <c r="E81" s="217" t="s">
        <v>1</v>
      </c>
    </row>
    <row r="82" spans="2:5">
      <c r="B82" s="216" t="s">
        <v>127</v>
      </c>
      <c r="C82" s="208" t="s">
        <v>11</v>
      </c>
      <c r="D82" s="209" t="s">
        <v>135</v>
      </c>
      <c r="E82" s="217" t="s">
        <v>1</v>
      </c>
    </row>
    <row r="83" spans="2:5">
      <c r="B83" s="216" t="s">
        <v>127</v>
      </c>
      <c r="C83" s="208" t="s">
        <v>11</v>
      </c>
      <c r="D83" s="209" t="s">
        <v>136</v>
      </c>
      <c r="E83" s="217" t="s">
        <v>1</v>
      </c>
    </row>
    <row r="84" spans="2:5">
      <c r="B84" s="216" t="s">
        <v>127</v>
      </c>
      <c r="C84" s="208" t="s">
        <v>11</v>
      </c>
      <c r="D84" s="209" t="s">
        <v>137</v>
      </c>
      <c r="E84" s="217" t="s">
        <v>1</v>
      </c>
    </row>
    <row r="85" spans="2:5">
      <c r="B85" s="216" t="s">
        <v>127</v>
      </c>
      <c r="C85" s="208" t="s">
        <v>11</v>
      </c>
      <c r="D85" s="209" t="s">
        <v>138</v>
      </c>
      <c r="E85" s="217" t="s">
        <v>1</v>
      </c>
    </row>
    <row r="86" spans="2:5">
      <c r="B86" s="216" t="s">
        <v>127</v>
      </c>
      <c r="C86" s="208" t="s">
        <v>11</v>
      </c>
      <c r="D86" s="209" t="s">
        <v>139</v>
      </c>
      <c r="E86" s="217" t="s">
        <v>1</v>
      </c>
    </row>
    <row r="87" spans="2:5">
      <c r="B87" s="216" t="s">
        <v>127</v>
      </c>
      <c r="C87" s="208" t="s">
        <v>11</v>
      </c>
      <c r="D87" s="209" t="s">
        <v>140</v>
      </c>
      <c r="E87" s="217" t="s">
        <v>1</v>
      </c>
    </row>
    <row r="88" spans="2:5">
      <c r="B88" s="216" t="s">
        <v>127</v>
      </c>
      <c r="C88" s="208" t="s">
        <v>11</v>
      </c>
      <c r="D88" s="209" t="s">
        <v>141</v>
      </c>
      <c r="E88" s="217" t="s">
        <v>1</v>
      </c>
    </row>
    <row r="89" spans="2:5">
      <c r="B89" s="216" t="s">
        <v>127</v>
      </c>
      <c r="C89" s="208" t="s">
        <v>11</v>
      </c>
      <c r="D89" s="209" t="s">
        <v>142</v>
      </c>
      <c r="E89" s="217" t="s">
        <v>1738</v>
      </c>
    </row>
    <row r="90" spans="2:5">
      <c r="B90" s="216" t="s">
        <v>127</v>
      </c>
      <c r="C90" s="208" t="s">
        <v>11</v>
      </c>
      <c r="D90" s="209" t="s">
        <v>143</v>
      </c>
      <c r="E90" s="217" t="s">
        <v>1738</v>
      </c>
    </row>
    <row r="91" spans="2:5">
      <c r="B91" s="216" t="s">
        <v>127</v>
      </c>
      <c r="C91" s="208" t="s">
        <v>11</v>
      </c>
      <c r="D91" s="209" t="s">
        <v>144</v>
      </c>
      <c r="E91" s="217" t="s">
        <v>1</v>
      </c>
    </row>
    <row r="92" spans="2:5">
      <c r="B92" s="216" t="s">
        <v>127</v>
      </c>
      <c r="C92" s="208" t="s">
        <v>11</v>
      </c>
      <c r="D92" s="209" t="s">
        <v>145</v>
      </c>
      <c r="E92" s="217" t="s">
        <v>1</v>
      </c>
    </row>
    <row r="93" spans="2:5">
      <c r="B93" s="216" t="s">
        <v>127</v>
      </c>
      <c r="C93" s="208" t="s">
        <v>11</v>
      </c>
      <c r="D93" s="209" t="s">
        <v>146</v>
      </c>
      <c r="E93" s="217" t="s">
        <v>1</v>
      </c>
    </row>
    <row r="94" spans="2:5">
      <c r="B94" s="216" t="s">
        <v>127</v>
      </c>
      <c r="C94" s="208" t="s">
        <v>11</v>
      </c>
      <c r="D94" s="209" t="s">
        <v>147</v>
      </c>
      <c r="E94" s="217" t="s">
        <v>1</v>
      </c>
    </row>
    <row r="95" spans="2:5">
      <c r="B95" s="216" t="s">
        <v>127</v>
      </c>
      <c r="C95" s="208" t="s">
        <v>11</v>
      </c>
      <c r="D95" s="209" t="s">
        <v>148</v>
      </c>
      <c r="E95" s="217" t="s">
        <v>1</v>
      </c>
    </row>
    <row r="96" spans="2:5">
      <c r="B96" s="216" t="s">
        <v>127</v>
      </c>
      <c r="C96" s="208" t="s">
        <v>11</v>
      </c>
      <c r="D96" s="209" t="s">
        <v>149</v>
      </c>
      <c r="E96" s="217" t="s">
        <v>1</v>
      </c>
    </row>
    <row r="97" spans="2:5">
      <c r="B97" s="216" t="s">
        <v>127</v>
      </c>
      <c r="C97" s="208" t="s">
        <v>11</v>
      </c>
      <c r="D97" s="209" t="s">
        <v>150</v>
      </c>
      <c r="E97" s="217" t="s">
        <v>1</v>
      </c>
    </row>
    <row r="98" spans="2:5">
      <c r="B98" s="216" t="s">
        <v>127</v>
      </c>
      <c r="C98" s="208" t="s">
        <v>11</v>
      </c>
      <c r="D98" s="209" t="s">
        <v>151</v>
      </c>
      <c r="E98" s="217" t="s">
        <v>1738</v>
      </c>
    </row>
    <row r="99" spans="2:5">
      <c r="B99" s="216" t="s">
        <v>127</v>
      </c>
      <c r="C99" s="208" t="s">
        <v>11</v>
      </c>
      <c r="D99" s="209" t="s">
        <v>152</v>
      </c>
      <c r="E99" s="217" t="s">
        <v>1738</v>
      </c>
    </row>
    <row r="100" spans="2:5">
      <c r="B100" s="216" t="s">
        <v>127</v>
      </c>
      <c r="C100" s="208" t="s">
        <v>11</v>
      </c>
      <c r="D100" s="209" t="s">
        <v>153</v>
      </c>
      <c r="E100" s="217" t="s">
        <v>1738</v>
      </c>
    </row>
    <row r="101" spans="2:5">
      <c r="B101" s="216" t="s">
        <v>127</v>
      </c>
      <c r="C101" s="208" t="s">
        <v>11</v>
      </c>
      <c r="D101" s="209" t="s">
        <v>154</v>
      </c>
      <c r="E101" s="217" t="s">
        <v>1</v>
      </c>
    </row>
    <row r="102" spans="2:5">
      <c r="B102" s="216" t="s">
        <v>127</v>
      </c>
      <c r="C102" s="208" t="s">
        <v>11</v>
      </c>
      <c r="D102" s="209" t="s">
        <v>155</v>
      </c>
      <c r="E102" s="217" t="s">
        <v>1</v>
      </c>
    </row>
    <row r="103" spans="2:5">
      <c r="B103" s="216" t="s">
        <v>127</v>
      </c>
      <c r="C103" s="208" t="s">
        <v>11</v>
      </c>
      <c r="D103" s="209" t="s">
        <v>156</v>
      </c>
      <c r="E103" s="217" t="s">
        <v>1738</v>
      </c>
    </row>
    <row r="104" spans="2:5">
      <c r="B104" s="216" t="s">
        <v>127</v>
      </c>
      <c r="C104" s="208" t="s">
        <v>11</v>
      </c>
      <c r="D104" s="209" t="s">
        <v>157</v>
      </c>
      <c r="E104" s="217" t="s">
        <v>1738</v>
      </c>
    </row>
    <row r="105" spans="2:5">
      <c r="B105" s="216" t="s">
        <v>127</v>
      </c>
      <c r="C105" s="208" t="s">
        <v>11</v>
      </c>
      <c r="D105" s="209" t="s">
        <v>158</v>
      </c>
      <c r="E105" s="217" t="s">
        <v>1</v>
      </c>
    </row>
    <row r="106" spans="2:5">
      <c r="B106" s="216" t="s">
        <v>127</v>
      </c>
      <c r="C106" s="208" t="s">
        <v>11</v>
      </c>
      <c r="D106" s="209" t="s">
        <v>159</v>
      </c>
      <c r="E106" s="217" t="s">
        <v>1738</v>
      </c>
    </row>
    <row r="107" spans="2:5">
      <c r="B107" s="216" t="s">
        <v>127</v>
      </c>
      <c r="C107" s="208" t="s">
        <v>11</v>
      </c>
      <c r="D107" s="209" t="s">
        <v>160</v>
      </c>
      <c r="E107" s="217" t="s">
        <v>1738</v>
      </c>
    </row>
    <row r="108" spans="2:5">
      <c r="B108" s="216" t="s">
        <v>127</v>
      </c>
      <c r="C108" s="208" t="s">
        <v>11</v>
      </c>
      <c r="D108" s="209" t="s">
        <v>161</v>
      </c>
      <c r="E108" s="217" t="s">
        <v>1738</v>
      </c>
    </row>
    <row r="109" spans="2:5">
      <c r="B109" s="216" t="s">
        <v>127</v>
      </c>
      <c r="C109" s="208" t="s">
        <v>11</v>
      </c>
      <c r="D109" s="209" t="s">
        <v>162</v>
      </c>
      <c r="E109" s="217" t="s">
        <v>1738</v>
      </c>
    </row>
    <row r="110" spans="2:5">
      <c r="B110" s="216" t="s">
        <v>127</v>
      </c>
      <c r="C110" s="208" t="s">
        <v>11</v>
      </c>
      <c r="D110" s="209" t="s">
        <v>163</v>
      </c>
      <c r="E110" s="217" t="s">
        <v>1</v>
      </c>
    </row>
    <row r="111" spans="2:5">
      <c r="B111" s="216" t="s">
        <v>127</v>
      </c>
      <c r="C111" s="208" t="s">
        <v>11</v>
      </c>
      <c r="D111" s="209" t="s">
        <v>164</v>
      </c>
      <c r="E111" s="217" t="s">
        <v>1738</v>
      </c>
    </row>
    <row r="112" spans="2:5">
      <c r="B112" s="216" t="s">
        <v>127</v>
      </c>
      <c r="C112" s="208" t="s">
        <v>11</v>
      </c>
      <c r="D112" s="209" t="s">
        <v>165</v>
      </c>
      <c r="E112" s="217" t="s">
        <v>1738</v>
      </c>
    </row>
    <row r="113" spans="2:5">
      <c r="B113" s="216" t="s">
        <v>127</v>
      </c>
      <c r="C113" s="208" t="s">
        <v>11</v>
      </c>
      <c r="D113" s="209" t="s">
        <v>166</v>
      </c>
      <c r="E113" s="217" t="s">
        <v>1738</v>
      </c>
    </row>
    <row r="114" spans="2:5">
      <c r="B114" s="216" t="s">
        <v>127</v>
      </c>
      <c r="C114" s="208" t="s">
        <v>11</v>
      </c>
      <c r="D114" s="209" t="s">
        <v>167</v>
      </c>
      <c r="E114" s="217" t="s">
        <v>1738</v>
      </c>
    </row>
    <row r="115" spans="2:5">
      <c r="B115" s="216" t="s">
        <v>127</v>
      </c>
      <c r="C115" s="208" t="s">
        <v>11</v>
      </c>
      <c r="D115" s="209" t="s">
        <v>168</v>
      </c>
      <c r="E115" s="217" t="s">
        <v>1738</v>
      </c>
    </row>
    <row r="116" spans="2:5">
      <c r="B116" s="216" t="s">
        <v>127</v>
      </c>
      <c r="C116" s="208" t="s">
        <v>11</v>
      </c>
      <c r="D116" s="209" t="s">
        <v>169</v>
      </c>
      <c r="E116" s="217" t="s">
        <v>1738</v>
      </c>
    </row>
    <row r="117" spans="2:5">
      <c r="B117" s="216" t="s">
        <v>127</v>
      </c>
      <c r="C117" s="208" t="s">
        <v>11</v>
      </c>
      <c r="D117" s="209" t="s">
        <v>170</v>
      </c>
      <c r="E117" s="217" t="s">
        <v>1738</v>
      </c>
    </row>
    <row r="118" spans="2:5">
      <c r="B118" s="216" t="s">
        <v>127</v>
      </c>
      <c r="C118" s="208" t="s">
        <v>11</v>
      </c>
      <c r="D118" s="209" t="s">
        <v>171</v>
      </c>
      <c r="E118" s="217" t="s">
        <v>1738</v>
      </c>
    </row>
    <row r="119" spans="2:5">
      <c r="B119" s="216" t="s">
        <v>127</v>
      </c>
      <c r="C119" s="208" t="s">
        <v>11</v>
      </c>
      <c r="D119" s="209" t="s">
        <v>172</v>
      </c>
      <c r="E119" s="217" t="s">
        <v>1738</v>
      </c>
    </row>
    <row r="120" spans="2:5">
      <c r="B120" s="216" t="s">
        <v>127</v>
      </c>
      <c r="C120" s="208" t="s">
        <v>11</v>
      </c>
      <c r="D120" s="209" t="s">
        <v>173</v>
      </c>
      <c r="E120" s="217" t="s">
        <v>1738</v>
      </c>
    </row>
    <row r="121" spans="2:5">
      <c r="B121" s="216" t="s">
        <v>127</v>
      </c>
      <c r="C121" s="208" t="s">
        <v>11</v>
      </c>
      <c r="D121" s="209" t="s">
        <v>174</v>
      </c>
      <c r="E121" s="217" t="s">
        <v>1738</v>
      </c>
    </row>
    <row r="122" spans="2:5">
      <c r="B122" s="216" t="s">
        <v>127</v>
      </c>
      <c r="C122" s="208" t="s">
        <v>11</v>
      </c>
      <c r="D122" s="209" t="s">
        <v>175</v>
      </c>
      <c r="E122" s="217" t="s">
        <v>1738</v>
      </c>
    </row>
    <row r="123" spans="2:5">
      <c r="B123" s="216" t="s">
        <v>127</v>
      </c>
      <c r="C123" s="208" t="s">
        <v>11</v>
      </c>
      <c r="D123" s="209" t="s">
        <v>176</v>
      </c>
      <c r="E123" s="217" t="s">
        <v>1738</v>
      </c>
    </row>
    <row r="124" spans="2:5">
      <c r="B124" s="216" t="s">
        <v>127</v>
      </c>
      <c r="C124" s="208" t="s">
        <v>11</v>
      </c>
      <c r="D124" s="209" t="s">
        <v>177</v>
      </c>
      <c r="E124" s="217" t="s">
        <v>1738</v>
      </c>
    </row>
    <row r="125" spans="2:5">
      <c r="B125" s="216" t="s">
        <v>127</v>
      </c>
      <c r="C125" s="208" t="s">
        <v>11</v>
      </c>
      <c r="D125" s="209" t="s">
        <v>178</v>
      </c>
      <c r="E125" s="217" t="s">
        <v>1738</v>
      </c>
    </row>
    <row r="126" spans="2:5">
      <c r="B126" s="216" t="s">
        <v>127</v>
      </c>
      <c r="C126" s="208" t="s">
        <v>11</v>
      </c>
      <c r="D126" s="209" t="s">
        <v>179</v>
      </c>
      <c r="E126" s="217" t="s">
        <v>1738</v>
      </c>
    </row>
    <row r="127" spans="2:5">
      <c r="B127" s="216" t="s">
        <v>127</v>
      </c>
      <c r="C127" s="208" t="s">
        <v>11</v>
      </c>
      <c r="D127" s="209" t="s">
        <v>180</v>
      </c>
      <c r="E127" s="217" t="s">
        <v>1738</v>
      </c>
    </row>
    <row r="128" spans="2:5">
      <c r="B128" s="216" t="s">
        <v>127</v>
      </c>
      <c r="C128" s="208" t="s">
        <v>11</v>
      </c>
      <c r="D128" s="209" t="s">
        <v>181</v>
      </c>
      <c r="E128" s="217" t="s">
        <v>1738</v>
      </c>
    </row>
    <row r="129" spans="2:5">
      <c r="B129" s="216" t="s">
        <v>127</v>
      </c>
      <c r="C129" s="208" t="s">
        <v>11</v>
      </c>
      <c r="D129" s="209" t="s">
        <v>182</v>
      </c>
      <c r="E129" s="217" t="s">
        <v>1738</v>
      </c>
    </row>
    <row r="130" spans="2:5">
      <c r="B130" s="216" t="s">
        <v>127</v>
      </c>
      <c r="C130" s="208" t="s">
        <v>11</v>
      </c>
      <c r="D130" s="209" t="s">
        <v>183</v>
      </c>
      <c r="E130" s="217" t="s">
        <v>1738</v>
      </c>
    </row>
    <row r="131" spans="2:5">
      <c r="B131" s="216" t="s">
        <v>127</v>
      </c>
      <c r="C131" s="208" t="s">
        <v>11</v>
      </c>
      <c r="D131" s="209" t="s">
        <v>184</v>
      </c>
      <c r="E131" s="217" t="s">
        <v>1738</v>
      </c>
    </row>
    <row r="132" spans="2:5">
      <c r="B132" s="216" t="s">
        <v>127</v>
      </c>
      <c r="C132" s="208" t="s">
        <v>11</v>
      </c>
      <c r="D132" s="209" t="s">
        <v>185</v>
      </c>
      <c r="E132" s="217" t="s">
        <v>1738</v>
      </c>
    </row>
    <row r="133" spans="2:5">
      <c r="B133" s="216" t="s">
        <v>127</v>
      </c>
      <c r="C133" s="208" t="s">
        <v>11</v>
      </c>
      <c r="D133" s="209" t="s">
        <v>186</v>
      </c>
      <c r="E133" s="217" t="s">
        <v>1738</v>
      </c>
    </row>
    <row r="134" spans="2:5">
      <c r="B134" s="216" t="s">
        <v>127</v>
      </c>
      <c r="C134" s="208" t="s">
        <v>11</v>
      </c>
      <c r="D134" s="209" t="s">
        <v>187</v>
      </c>
      <c r="E134" s="217" t="s">
        <v>1738</v>
      </c>
    </row>
    <row r="135" spans="2:5">
      <c r="B135" s="216" t="s">
        <v>127</v>
      </c>
      <c r="C135" s="208" t="s">
        <v>11</v>
      </c>
      <c r="D135" s="209" t="s">
        <v>188</v>
      </c>
      <c r="E135" s="217" t="s">
        <v>1738</v>
      </c>
    </row>
    <row r="136" spans="2:5">
      <c r="B136" s="216" t="s">
        <v>127</v>
      </c>
      <c r="C136" s="208" t="s">
        <v>11</v>
      </c>
      <c r="D136" s="209" t="s">
        <v>189</v>
      </c>
      <c r="E136" s="217" t="s">
        <v>1738</v>
      </c>
    </row>
    <row r="137" spans="2:5">
      <c r="B137" s="216" t="s">
        <v>127</v>
      </c>
      <c r="C137" s="208" t="s">
        <v>11</v>
      </c>
      <c r="D137" s="209" t="s">
        <v>190</v>
      </c>
      <c r="E137" s="217" t="s">
        <v>1738</v>
      </c>
    </row>
    <row r="138" spans="2:5">
      <c r="B138" s="216" t="s">
        <v>127</v>
      </c>
      <c r="C138" s="208" t="s">
        <v>11</v>
      </c>
      <c r="D138" s="209" t="s">
        <v>191</v>
      </c>
      <c r="E138" s="217" t="s">
        <v>1738</v>
      </c>
    </row>
    <row r="139" spans="2:5">
      <c r="B139" s="216" t="s">
        <v>127</v>
      </c>
      <c r="C139" s="208" t="s">
        <v>11</v>
      </c>
      <c r="D139" s="209" t="s">
        <v>192</v>
      </c>
      <c r="E139" s="217" t="s">
        <v>1738</v>
      </c>
    </row>
    <row r="140" spans="2:5">
      <c r="B140" s="216" t="s">
        <v>127</v>
      </c>
      <c r="C140" s="208" t="s">
        <v>11</v>
      </c>
      <c r="D140" s="209" t="s">
        <v>193</v>
      </c>
      <c r="E140" s="217" t="s">
        <v>1738</v>
      </c>
    </row>
    <row r="141" spans="2:5">
      <c r="B141" s="216" t="s">
        <v>127</v>
      </c>
      <c r="C141" s="208" t="s">
        <v>11</v>
      </c>
      <c r="D141" s="209" t="s">
        <v>194</v>
      </c>
      <c r="E141" s="217" t="s">
        <v>1738</v>
      </c>
    </row>
    <row r="142" spans="2:5">
      <c r="B142" s="216" t="s">
        <v>127</v>
      </c>
      <c r="C142" s="208" t="s">
        <v>11</v>
      </c>
      <c r="D142" s="209" t="s">
        <v>195</v>
      </c>
      <c r="E142" s="217" t="s">
        <v>1738</v>
      </c>
    </row>
    <row r="143" spans="2:5">
      <c r="B143" s="216" t="s">
        <v>127</v>
      </c>
      <c r="C143" s="208" t="s">
        <v>11</v>
      </c>
      <c r="D143" s="209" t="s">
        <v>196</v>
      </c>
      <c r="E143" s="217" t="s">
        <v>1738</v>
      </c>
    </row>
    <row r="144" spans="2:5">
      <c r="B144" s="216" t="s">
        <v>127</v>
      </c>
      <c r="C144" s="208" t="s">
        <v>11</v>
      </c>
      <c r="D144" s="209" t="s">
        <v>197</v>
      </c>
      <c r="E144" s="217" t="s">
        <v>1738</v>
      </c>
    </row>
    <row r="145" spans="2:5">
      <c r="B145" s="216" t="s">
        <v>127</v>
      </c>
      <c r="C145" s="208" t="s">
        <v>11</v>
      </c>
      <c r="D145" s="209" t="s">
        <v>198</v>
      </c>
      <c r="E145" s="217" t="s">
        <v>1738</v>
      </c>
    </row>
    <row r="146" spans="2:5">
      <c r="B146" s="216" t="s">
        <v>127</v>
      </c>
      <c r="C146" s="208" t="s">
        <v>11</v>
      </c>
      <c r="D146" s="209" t="s">
        <v>199</v>
      </c>
      <c r="E146" s="217" t="s">
        <v>1738</v>
      </c>
    </row>
    <row r="147" spans="2:5">
      <c r="B147" s="216" t="s">
        <v>127</v>
      </c>
      <c r="C147" s="208" t="s">
        <v>11</v>
      </c>
      <c r="D147" s="209" t="s">
        <v>200</v>
      </c>
      <c r="E147" s="217" t="s">
        <v>1</v>
      </c>
    </row>
    <row r="148" spans="2:5">
      <c r="B148" s="216" t="s">
        <v>127</v>
      </c>
      <c r="C148" s="208" t="s">
        <v>11</v>
      </c>
      <c r="D148" s="209" t="s">
        <v>201</v>
      </c>
      <c r="E148" s="217" t="s">
        <v>1738</v>
      </c>
    </row>
    <row r="149" spans="2:5">
      <c r="B149" s="216" t="s">
        <v>127</v>
      </c>
      <c r="C149" s="208" t="s">
        <v>11</v>
      </c>
      <c r="D149" s="209" t="s">
        <v>202</v>
      </c>
      <c r="E149" s="217" t="s">
        <v>1738</v>
      </c>
    </row>
    <row r="150" spans="2:5">
      <c r="B150" s="216" t="s">
        <v>127</v>
      </c>
      <c r="C150" s="208" t="s">
        <v>11</v>
      </c>
      <c r="D150" s="209" t="s">
        <v>203</v>
      </c>
      <c r="E150" s="217" t="s">
        <v>1</v>
      </c>
    </row>
    <row r="151" spans="2:5">
      <c r="B151" s="216" t="s">
        <v>127</v>
      </c>
      <c r="C151" s="208" t="s">
        <v>11</v>
      </c>
      <c r="D151" s="209" t="s">
        <v>204</v>
      </c>
      <c r="E151" s="217" t="s">
        <v>1738</v>
      </c>
    </row>
    <row r="152" spans="2:5">
      <c r="B152" s="216" t="s">
        <v>127</v>
      </c>
      <c r="C152" s="208" t="s">
        <v>11</v>
      </c>
      <c r="D152" s="209" t="s">
        <v>205</v>
      </c>
      <c r="E152" s="217" t="s">
        <v>1</v>
      </c>
    </row>
    <row r="153" spans="2:5">
      <c r="B153" s="216" t="s">
        <v>127</v>
      </c>
      <c r="C153" s="208" t="s">
        <v>11</v>
      </c>
      <c r="D153" s="209" t="s">
        <v>206</v>
      </c>
      <c r="E153" s="217" t="s">
        <v>1</v>
      </c>
    </row>
    <row r="154" spans="2:5">
      <c r="B154" s="216" t="s">
        <v>127</v>
      </c>
      <c r="C154" s="208" t="s">
        <v>11</v>
      </c>
      <c r="D154" s="209" t="s">
        <v>207</v>
      </c>
      <c r="E154" s="217" t="s">
        <v>1</v>
      </c>
    </row>
    <row r="155" spans="2:5">
      <c r="B155" s="216" t="s">
        <v>127</v>
      </c>
      <c r="C155" s="208" t="s">
        <v>11</v>
      </c>
      <c r="D155" s="209" t="s">
        <v>208</v>
      </c>
      <c r="E155" s="217" t="s">
        <v>1</v>
      </c>
    </row>
    <row r="156" spans="2:5">
      <c r="B156" s="216" t="s">
        <v>127</v>
      </c>
      <c r="C156" s="208" t="s">
        <v>11</v>
      </c>
      <c r="D156" s="209" t="s">
        <v>209</v>
      </c>
      <c r="E156" s="217" t="s">
        <v>1</v>
      </c>
    </row>
    <row r="157" spans="2:5">
      <c r="B157" s="216" t="s">
        <v>127</v>
      </c>
      <c r="C157" s="208" t="s">
        <v>11</v>
      </c>
      <c r="D157" s="209" t="s">
        <v>210</v>
      </c>
      <c r="E157" s="217" t="s">
        <v>1</v>
      </c>
    </row>
    <row r="158" spans="2:5">
      <c r="B158" s="216" t="s">
        <v>127</v>
      </c>
      <c r="C158" s="208" t="s">
        <v>11</v>
      </c>
      <c r="D158" s="209" t="s">
        <v>211</v>
      </c>
      <c r="E158" s="217" t="s">
        <v>1738</v>
      </c>
    </row>
    <row r="159" spans="2:5">
      <c r="B159" s="216" t="s">
        <v>127</v>
      </c>
      <c r="C159" s="208" t="s">
        <v>11</v>
      </c>
      <c r="D159" s="209" t="s">
        <v>212</v>
      </c>
      <c r="E159" s="217" t="s">
        <v>1</v>
      </c>
    </row>
    <row r="160" spans="2:5">
      <c r="B160" s="216" t="s">
        <v>127</v>
      </c>
      <c r="C160" s="208" t="s">
        <v>11</v>
      </c>
      <c r="D160" s="209" t="s">
        <v>213</v>
      </c>
      <c r="E160" s="217" t="s">
        <v>1738</v>
      </c>
    </row>
    <row r="161" spans="2:5">
      <c r="B161" s="216" t="s">
        <v>127</v>
      </c>
      <c r="C161" s="208" t="s">
        <v>11</v>
      </c>
      <c r="D161" s="209" t="s">
        <v>214</v>
      </c>
      <c r="E161" s="217" t="s">
        <v>1</v>
      </c>
    </row>
    <row r="162" spans="2:5">
      <c r="B162" s="216" t="s">
        <v>127</v>
      </c>
      <c r="C162" s="208" t="s">
        <v>11</v>
      </c>
      <c r="D162" s="209" t="s">
        <v>215</v>
      </c>
      <c r="E162" s="217" t="s">
        <v>1738</v>
      </c>
    </row>
    <row r="163" spans="2:5">
      <c r="B163" s="216" t="s">
        <v>127</v>
      </c>
      <c r="C163" s="208" t="s">
        <v>11</v>
      </c>
      <c r="D163" s="209" t="s">
        <v>216</v>
      </c>
      <c r="E163" s="217" t="s">
        <v>1738</v>
      </c>
    </row>
    <row r="164" spans="2:5">
      <c r="B164" s="216" t="s">
        <v>127</v>
      </c>
      <c r="C164" s="208" t="s">
        <v>11</v>
      </c>
      <c r="D164" s="209" t="s">
        <v>217</v>
      </c>
      <c r="E164" s="217" t="s">
        <v>1</v>
      </c>
    </row>
    <row r="165" spans="2:5">
      <c r="B165" s="216" t="s">
        <v>127</v>
      </c>
      <c r="C165" s="208" t="s">
        <v>11</v>
      </c>
      <c r="D165" s="209" t="s">
        <v>218</v>
      </c>
      <c r="E165" s="217" t="s">
        <v>1</v>
      </c>
    </row>
    <row r="166" spans="2:5">
      <c r="B166" s="216" t="s">
        <v>127</v>
      </c>
      <c r="C166" s="208" t="s">
        <v>11</v>
      </c>
      <c r="D166" s="209" t="s">
        <v>219</v>
      </c>
      <c r="E166" s="217" t="s">
        <v>1</v>
      </c>
    </row>
    <row r="167" spans="2:5">
      <c r="B167" s="216" t="s">
        <v>127</v>
      </c>
      <c r="C167" s="208" t="s">
        <v>11</v>
      </c>
      <c r="D167" s="209" t="s">
        <v>220</v>
      </c>
      <c r="E167" s="217" t="s">
        <v>1</v>
      </c>
    </row>
    <row r="168" spans="2:5">
      <c r="B168" s="216" t="s">
        <v>127</v>
      </c>
      <c r="C168" s="208" t="s">
        <v>11</v>
      </c>
      <c r="D168" s="209" t="s">
        <v>221</v>
      </c>
      <c r="E168" s="217" t="s">
        <v>1</v>
      </c>
    </row>
    <row r="169" spans="2:5">
      <c r="B169" s="216" t="s">
        <v>127</v>
      </c>
      <c r="C169" s="208" t="s">
        <v>11</v>
      </c>
      <c r="D169" s="209" t="s">
        <v>222</v>
      </c>
      <c r="E169" s="217" t="s">
        <v>1738</v>
      </c>
    </row>
    <row r="170" spans="2:5">
      <c r="B170" s="216" t="s">
        <v>127</v>
      </c>
      <c r="C170" s="208" t="s">
        <v>11</v>
      </c>
      <c r="D170" s="209" t="s">
        <v>223</v>
      </c>
      <c r="E170" s="217" t="s">
        <v>1738</v>
      </c>
    </row>
    <row r="171" spans="2:5">
      <c r="B171" s="216" t="s">
        <v>127</v>
      </c>
      <c r="C171" s="208" t="s">
        <v>11</v>
      </c>
      <c r="D171" s="209" t="s">
        <v>224</v>
      </c>
      <c r="E171" s="217" t="s">
        <v>1</v>
      </c>
    </row>
    <row r="172" spans="2:5">
      <c r="B172" s="216" t="s">
        <v>127</v>
      </c>
      <c r="C172" s="208" t="s">
        <v>11</v>
      </c>
      <c r="D172" s="209" t="s">
        <v>225</v>
      </c>
      <c r="E172" s="217" t="s">
        <v>1738</v>
      </c>
    </row>
    <row r="173" spans="2:5">
      <c r="B173" s="216" t="s">
        <v>127</v>
      </c>
      <c r="C173" s="208" t="s">
        <v>11</v>
      </c>
      <c r="D173" s="209" t="s">
        <v>226</v>
      </c>
      <c r="E173" s="217" t="s">
        <v>1</v>
      </c>
    </row>
    <row r="174" spans="2:5">
      <c r="B174" s="216" t="s">
        <v>127</v>
      </c>
      <c r="C174" s="208" t="s">
        <v>11</v>
      </c>
      <c r="D174" s="209" t="s">
        <v>227</v>
      </c>
      <c r="E174" s="217" t="s">
        <v>1738</v>
      </c>
    </row>
    <row r="175" spans="2:5">
      <c r="B175" s="216" t="s">
        <v>127</v>
      </c>
      <c r="C175" s="208" t="s">
        <v>11</v>
      </c>
      <c r="D175" s="209" t="s">
        <v>228</v>
      </c>
      <c r="E175" s="217" t="s">
        <v>1</v>
      </c>
    </row>
    <row r="176" spans="2:5">
      <c r="B176" s="216" t="s">
        <v>127</v>
      </c>
      <c r="C176" s="208" t="s">
        <v>11</v>
      </c>
      <c r="D176" s="209" t="s">
        <v>229</v>
      </c>
      <c r="E176" s="217" t="s">
        <v>1738</v>
      </c>
    </row>
    <row r="177" spans="2:5">
      <c r="B177" s="216" t="s">
        <v>127</v>
      </c>
      <c r="C177" s="208" t="s">
        <v>11</v>
      </c>
      <c r="D177" s="209" t="s">
        <v>230</v>
      </c>
      <c r="E177" s="217" t="s">
        <v>1738</v>
      </c>
    </row>
    <row r="178" spans="2:5">
      <c r="B178" s="216" t="s">
        <v>127</v>
      </c>
      <c r="C178" s="208" t="s">
        <v>11</v>
      </c>
      <c r="D178" s="209" t="s">
        <v>231</v>
      </c>
      <c r="E178" s="217" t="s">
        <v>1738</v>
      </c>
    </row>
    <row r="179" spans="2:5">
      <c r="B179" s="216" t="s">
        <v>127</v>
      </c>
      <c r="C179" s="208" t="s">
        <v>11</v>
      </c>
      <c r="D179" s="209" t="s">
        <v>232</v>
      </c>
      <c r="E179" s="217" t="s">
        <v>1</v>
      </c>
    </row>
    <row r="180" spans="2:5">
      <c r="B180" s="216" t="s">
        <v>127</v>
      </c>
      <c r="C180" s="208" t="s">
        <v>11</v>
      </c>
      <c r="D180" s="209" t="s">
        <v>233</v>
      </c>
      <c r="E180" s="217" t="s">
        <v>1</v>
      </c>
    </row>
    <row r="181" spans="2:5">
      <c r="B181" s="216" t="s">
        <v>127</v>
      </c>
      <c r="C181" s="208" t="s">
        <v>11</v>
      </c>
      <c r="D181" s="209" t="s">
        <v>234</v>
      </c>
      <c r="E181" s="217" t="s">
        <v>1</v>
      </c>
    </row>
    <row r="182" spans="2:5">
      <c r="B182" s="216" t="s">
        <v>127</v>
      </c>
      <c r="C182" s="208" t="s">
        <v>11</v>
      </c>
      <c r="D182" s="209" t="s">
        <v>235</v>
      </c>
      <c r="E182" s="217" t="s">
        <v>1</v>
      </c>
    </row>
    <row r="183" spans="2:5">
      <c r="B183" s="216" t="s">
        <v>236</v>
      </c>
      <c r="C183" s="208" t="s">
        <v>13</v>
      </c>
      <c r="D183" s="209" t="s">
        <v>12</v>
      </c>
      <c r="E183" s="217" t="s">
        <v>1</v>
      </c>
    </row>
    <row r="184" spans="2:5">
      <c r="B184" s="216" t="s">
        <v>236</v>
      </c>
      <c r="C184" s="208" t="s">
        <v>13</v>
      </c>
      <c r="D184" s="209" t="s">
        <v>237</v>
      </c>
      <c r="E184" s="217" t="s">
        <v>1738</v>
      </c>
    </row>
    <row r="185" spans="2:5">
      <c r="B185" s="216" t="s">
        <v>236</v>
      </c>
      <c r="C185" s="208" t="s">
        <v>13</v>
      </c>
      <c r="D185" s="209" t="s">
        <v>238</v>
      </c>
      <c r="E185" s="217" t="s">
        <v>1738</v>
      </c>
    </row>
    <row r="186" spans="2:5">
      <c r="B186" s="216" t="s">
        <v>236</v>
      </c>
      <c r="C186" s="208" t="s">
        <v>13</v>
      </c>
      <c r="D186" s="209" t="s">
        <v>239</v>
      </c>
      <c r="E186" s="217" t="s">
        <v>1738</v>
      </c>
    </row>
    <row r="187" spans="2:5">
      <c r="B187" s="216" t="s">
        <v>236</v>
      </c>
      <c r="C187" s="208" t="s">
        <v>13</v>
      </c>
      <c r="D187" s="209" t="s">
        <v>240</v>
      </c>
      <c r="E187" s="217" t="s">
        <v>1</v>
      </c>
    </row>
    <row r="188" spans="2:5">
      <c r="B188" s="216" t="s">
        <v>236</v>
      </c>
      <c r="C188" s="208" t="s">
        <v>13</v>
      </c>
      <c r="D188" s="209" t="s">
        <v>241</v>
      </c>
      <c r="E188" s="217" t="s">
        <v>1738</v>
      </c>
    </row>
    <row r="189" spans="2:5">
      <c r="B189" s="216" t="s">
        <v>236</v>
      </c>
      <c r="C189" s="208" t="s">
        <v>13</v>
      </c>
      <c r="D189" s="209" t="s">
        <v>242</v>
      </c>
      <c r="E189" s="217" t="s">
        <v>1738</v>
      </c>
    </row>
    <row r="190" spans="2:5">
      <c r="B190" s="216" t="s">
        <v>236</v>
      </c>
      <c r="C190" s="208" t="s">
        <v>13</v>
      </c>
      <c r="D190" s="209" t="s">
        <v>243</v>
      </c>
      <c r="E190" s="217" t="s">
        <v>1738</v>
      </c>
    </row>
    <row r="191" spans="2:5">
      <c r="B191" s="216" t="s">
        <v>236</v>
      </c>
      <c r="C191" s="208" t="s">
        <v>13</v>
      </c>
      <c r="D191" s="209" t="s">
        <v>244</v>
      </c>
      <c r="E191" s="217" t="s">
        <v>1738</v>
      </c>
    </row>
    <row r="192" spans="2:5">
      <c r="B192" s="216" t="s">
        <v>236</v>
      </c>
      <c r="C192" s="208" t="s">
        <v>13</v>
      </c>
      <c r="D192" s="209" t="s">
        <v>245</v>
      </c>
      <c r="E192" s="217" t="s">
        <v>1738</v>
      </c>
    </row>
    <row r="193" spans="2:5">
      <c r="B193" s="216" t="s">
        <v>236</v>
      </c>
      <c r="C193" s="208" t="s">
        <v>13</v>
      </c>
      <c r="D193" s="209" t="s">
        <v>246</v>
      </c>
      <c r="E193" s="217" t="s">
        <v>1</v>
      </c>
    </row>
    <row r="194" spans="2:5">
      <c r="B194" s="216" t="s">
        <v>236</v>
      </c>
      <c r="C194" s="208" t="s">
        <v>13</v>
      </c>
      <c r="D194" s="209" t="s">
        <v>247</v>
      </c>
      <c r="E194" s="217" t="s">
        <v>1</v>
      </c>
    </row>
    <row r="195" spans="2:5">
      <c r="B195" s="216" t="s">
        <v>236</v>
      </c>
      <c r="C195" s="208" t="s">
        <v>13</v>
      </c>
      <c r="D195" s="209" t="s">
        <v>248</v>
      </c>
      <c r="E195" s="217" t="s">
        <v>1</v>
      </c>
    </row>
    <row r="196" spans="2:5">
      <c r="B196" s="216" t="s">
        <v>236</v>
      </c>
      <c r="C196" s="208" t="s">
        <v>13</v>
      </c>
      <c r="D196" s="209" t="s">
        <v>249</v>
      </c>
      <c r="E196" s="217" t="s">
        <v>1738</v>
      </c>
    </row>
    <row r="197" spans="2:5">
      <c r="B197" s="216" t="s">
        <v>236</v>
      </c>
      <c r="C197" s="208" t="s">
        <v>13</v>
      </c>
      <c r="D197" s="209" t="s">
        <v>250</v>
      </c>
      <c r="E197" s="217" t="s">
        <v>1738</v>
      </c>
    </row>
    <row r="198" spans="2:5">
      <c r="B198" s="216" t="s">
        <v>236</v>
      </c>
      <c r="C198" s="208" t="s">
        <v>13</v>
      </c>
      <c r="D198" s="209" t="s">
        <v>251</v>
      </c>
      <c r="E198" s="217" t="s">
        <v>1738</v>
      </c>
    </row>
    <row r="199" spans="2:5">
      <c r="B199" s="216" t="s">
        <v>236</v>
      </c>
      <c r="C199" s="208" t="s">
        <v>13</v>
      </c>
      <c r="D199" s="209" t="s">
        <v>252</v>
      </c>
      <c r="E199" s="217" t="s">
        <v>1738</v>
      </c>
    </row>
    <row r="200" spans="2:5">
      <c r="B200" s="216" t="s">
        <v>236</v>
      </c>
      <c r="C200" s="208" t="s">
        <v>13</v>
      </c>
      <c r="D200" s="209" t="s">
        <v>253</v>
      </c>
      <c r="E200" s="217" t="s">
        <v>1738</v>
      </c>
    </row>
    <row r="201" spans="2:5">
      <c r="B201" s="216" t="s">
        <v>236</v>
      </c>
      <c r="C201" s="208" t="s">
        <v>13</v>
      </c>
      <c r="D201" s="209" t="s">
        <v>254</v>
      </c>
      <c r="E201" s="217" t="s">
        <v>1738</v>
      </c>
    </row>
    <row r="202" spans="2:5">
      <c r="B202" s="216" t="s">
        <v>236</v>
      </c>
      <c r="C202" s="208" t="s">
        <v>13</v>
      </c>
      <c r="D202" s="209" t="s">
        <v>255</v>
      </c>
      <c r="E202" s="217" t="s">
        <v>1738</v>
      </c>
    </row>
    <row r="203" spans="2:5">
      <c r="B203" s="216" t="s">
        <v>236</v>
      </c>
      <c r="C203" s="208" t="s">
        <v>13</v>
      </c>
      <c r="D203" s="209" t="s">
        <v>256</v>
      </c>
      <c r="E203" s="217" t="s">
        <v>1</v>
      </c>
    </row>
    <row r="204" spans="2:5">
      <c r="B204" s="216" t="s">
        <v>236</v>
      </c>
      <c r="C204" s="208" t="s">
        <v>13</v>
      </c>
      <c r="D204" s="209" t="s">
        <v>257</v>
      </c>
      <c r="E204" s="217" t="s">
        <v>1</v>
      </c>
    </row>
    <row r="205" spans="2:5">
      <c r="B205" s="216" t="s">
        <v>236</v>
      </c>
      <c r="C205" s="208" t="s">
        <v>13</v>
      </c>
      <c r="D205" s="209" t="s">
        <v>258</v>
      </c>
      <c r="E205" s="217" t="s">
        <v>1</v>
      </c>
    </row>
    <row r="206" spans="2:5">
      <c r="B206" s="216" t="s">
        <v>236</v>
      </c>
      <c r="C206" s="208" t="s">
        <v>13</v>
      </c>
      <c r="D206" s="209" t="s">
        <v>259</v>
      </c>
      <c r="E206" s="217" t="s">
        <v>1</v>
      </c>
    </row>
    <row r="207" spans="2:5">
      <c r="B207" s="216" t="s">
        <v>236</v>
      </c>
      <c r="C207" s="208" t="s">
        <v>13</v>
      </c>
      <c r="D207" s="209" t="s">
        <v>260</v>
      </c>
      <c r="E207" s="217" t="s">
        <v>1</v>
      </c>
    </row>
    <row r="208" spans="2:5">
      <c r="B208" s="216" t="s">
        <v>236</v>
      </c>
      <c r="C208" s="208" t="s">
        <v>13</v>
      </c>
      <c r="D208" s="209" t="s">
        <v>261</v>
      </c>
      <c r="E208" s="217" t="s">
        <v>1738</v>
      </c>
    </row>
    <row r="209" spans="2:5">
      <c r="B209" s="216" t="s">
        <v>236</v>
      </c>
      <c r="C209" s="208" t="s">
        <v>13</v>
      </c>
      <c r="D209" s="209" t="s">
        <v>262</v>
      </c>
      <c r="E209" s="217" t="s">
        <v>1</v>
      </c>
    </row>
    <row r="210" spans="2:5">
      <c r="B210" s="216" t="s">
        <v>236</v>
      </c>
      <c r="C210" s="208" t="s">
        <v>13</v>
      </c>
      <c r="D210" s="209" t="s">
        <v>263</v>
      </c>
      <c r="E210" s="217" t="s">
        <v>1738</v>
      </c>
    </row>
    <row r="211" spans="2:5">
      <c r="B211" s="216" t="s">
        <v>236</v>
      </c>
      <c r="C211" s="208" t="s">
        <v>13</v>
      </c>
      <c r="D211" s="209" t="s">
        <v>264</v>
      </c>
      <c r="E211" s="217" t="s">
        <v>1738</v>
      </c>
    </row>
    <row r="212" spans="2:5">
      <c r="B212" s="216" t="s">
        <v>236</v>
      </c>
      <c r="C212" s="208" t="s">
        <v>13</v>
      </c>
      <c r="D212" s="209" t="s">
        <v>265</v>
      </c>
      <c r="E212" s="217" t="s">
        <v>1738</v>
      </c>
    </row>
    <row r="213" spans="2:5">
      <c r="B213" s="216" t="s">
        <v>236</v>
      </c>
      <c r="C213" s="208" t="s">
        <v>13</v>
      </c>
      <c r="D213" s="209" t="s">
        <v>266</v>
      </c>
      <c r="E213" s="217" t="s">
        <v>1</v>
      </c>
    </row>
    <row r="214" spans="2:5">
      <c r="B214" s="216" t="s">
        <v>236</v>
      </c>
      <c r="C214" s="208" t="s">
        <v>13</v>
      </c>
      <c r="D214" s="209" t="s">
        <v>267</v>
      </c>
      <c r="E214" s="217" t="s">
        <v>1</v>
      </c>
    </row>
    <row r="215" spans="2:5">
      <c r="B215" s="216" t="s">
        <v>236</v>
      </c>
      <c r="C215" s="208" t="s">
        <v>13</v>
      </c>
      <c r="D215" s="209" t="s">
        <v>268</v>
      </c>
      <c r="E215" s="217" t="s">
        <v>1</v>
      </c>
    </row>
    <row r="216" spans="2:5">
      <c r="B216" s="216" t="s">
        <v>236</v>
      </c>
      <c r="C216" s="208" t="s">
        <v>13</v>
      </c>
      <c r="D216" s="209" t="s">
        <v>269</v>
      </c>
      <c r="E216" s="217" t="s">
        <v>1</v>
      </c>
    </row>
    <row r="217" spans="2:5">
      <c r="B217" s="216" t="s">
        <v>236</v>
      </c>
      <c r="C217" s="208" t="s">
        <v>13</v>
      </c>
      <c r="D217" s="209" t="s">
        <v>270</v>
      </c>
      <c r="E217" s="217" t="s">
        <v>1738</v>
      </c>
    </row>
    <row r="218" spans="2:5">
      <c r="B218" s="216" t="s">
        <v>236</v>
      </c>
      <c r="C218" s="208" t="s">
        <v>13</v>
      </c>
      <c r="D218" s="209" t="s">
        <v>271</v>
      </c>
      <c r="E218" s="217" t="s">
        <v>1738</v>
      </c>
    </row>
    <row r="219" spans="2:5">
      <c r="B219" s="216" t="s">
        <v>236</v>
      </c>
      <c r="C219" s="208" t="s">
        <v>13</v>
      </c>
      <c r="D219" s="209" t="s">
        <v>272</v>
      </c>
      <c r="E219" s="217" t="s">
        <v>1738</v>
      </c>
    </row>
    <row r="220" spans="2:5">
      <c r="B220" s="216" t="s">
        <v>236</v>
      </c>
      <c r="C220" s="208" t="s">
        <v>13</v>
      </c>
      <c r="D220" s="209" t="s">
        <v>273</v>
      </c>
      <c r="E220" s="217" t="s">
        <v>1738</v>
      </c>
    </row>
    <row r="221" spans="2:5">
      <c r="B221" s="216" t="s">
        <v>236</v>
      </c>
      <c r="C221" s="208" t="s">
        <v>13</v>
      </c>
      <c r="D221" s="209" t="s">
        <v>274</v>
      </c>
      <c r="E221" s="217" t="s">
        <v>1</v>
      </c>
    </row>
    <row r="222" spans="2:5">
      <c r="B222" s="216" t="s">
        <v>236</v>
      </c>
      <c r="C222" s="208" t="s">
        <v>13</v>
      </c>
      <c r="D222" s="209" t="s">
        <v>275</v>
      </c>
      <c r="E222" s="217" t="s">
        <v>1738</v>
      </c>
    </row>
    <row r="223" spans="2:5">
      <c r="B223" s="216" t="s">
        <v>236</v>
      </c>
      <c r="C223" s="208" t="s">
        <v>13</v>
      </c>
      <c r="D223" s="209" t="s">
        <v>276</v>
      </c>
      <c r="E223" s="217" t="s">
        <v>1738</v>
      </c>
    </row>
    <row r="224" spans="2:5">
      <c r="B224" s="216" t="s">
        <v>236</v>
      </c>
      <c r="C224" s="208" t="s">
        <v>13</v>
      </c>
      <c r="D224" s="209" t="s">
        <v>277</v>
      </c>
      <c r="E224" s="217" t="s">
        <v>1</v>
      </c>
    </row>
    <row r="225" spans="2:5">
      <c r="B225" s="216" t="s">
        <v>236</v>
      </c>
      <c r="C225" s="208" t="s">
        <v>13</v>
      </c>
      <c r="D225" s="209" t="s">
        <v>278</v>
      </c>
      <c r="E225" s="217" t="s">
        <v>1738</v>
      </c>
    </row>
    <row r="226" spans="2:5">
      <c r="B226" s="216" t="s">
        <v>236</v>
      </c>
      <c r="C226" s="208" t="s">
        <v>13</v>
      </c>
      <c r="D226" s="209" t="s">
        <v>279</v>
      </c>
      <c r="E226" s="217" t="s">
        <v>1</v>
      </c>
    </row>
    <row r="227" spans="2:5">
      <c r="B227" s="216" t="s">
        <v>236</v>
      </c>
      <c r="C227" s="208" t="s">
        <v>13</v>
      </c>
      <c r="D227" s="209" t="s">
        <v>280</v>
      </c>
      <c r="E227" s="217" t="s">
        <v>1738</v>
      </c>
    </row>
    <row r="228" spans="2:5">
      <c r="B228" s="216" t="s">
        <v>236</v>
      </c>
      <c r="C228" s="208" t="s">
        <v>13</v>
      </c>
      <c r="D228" s="209" t="s">
        <v>281</v>
      </c>
      <c r="E228" s="217" t="s">
        <v>1</v>
      </c>
    </row>
    <row r="229" spans="2:5">
      <c r="B229" s="216" t="s">
        <v>236</v>
      </c>
      <c r="C229" s="208" t="s">
        <v>13</v>
      </c>
      <c r="D229" s="209" t="s">
        <v>282</v>
      </c>
      <c r="E229" s="217" t="s">
        <v>1738</v>
      </c>
    </row>
    <row r="230" spans="2:5">
      <c r="B230" s="216" t="s">
        <v>236</v>
      </c>
      <c r="C230" s="208" t="s">
        <v>13</v>
      </c>
      <c r="D230" s="209" t="s">
        <v>283</v>
      </c>
      <c r="E230" s="217" t="s">
        <v>1738</v>
      </c>
    </row>
    <row r="231" spans="2:5">
      <c r="B231" s="216" t="s">
        <v>284</v>
      </c>
      <c r="C231" s="208" t="s">
        <v>15</v>
      </c>
      <c r="D231" s="209" t="s">
        <v>285</v>
      </c>
      <c r="E231" s="217" t="s">
        <v>1</v>
      </c>
    </row>
    <row r="232" spans="2:5">
      <c r="B232" s="216" t="s">
        <v>284</v>
      </c>
      <c r="C232" s="208" t="s">
        <v>15</v>
      </c>
      <c r="D232" s="209" t="s">
        <v>286</v>
      </c>
      <c r="E232" s="217" t="s">
        <v>1</v>
      </c>
    </row>
    <row r="233" spans="2:5">
      <c r="B233" s="216" t="s">
        <v>284</v>
      </c>
      <c r="C233" s="208" t="s">
        <v>15</v>
      </c>
      <c r="D233" s="209" t="s">
        <v>287</v>
      </c>
      <c r="E233" s="217" t="s">
        <v>1</v>
      </c>
    </row>
    <row r="234" spans="2:5">
      <c r="B234" s="216" t="s">
        <v>284</v>
      </c>
      <c r="C234" s="208" t="s">
        <v>15</v>
      </c>
      <c r="D234" s="209" t="s">
        <v>288</v>
      </c>
      <c r="E234" s="217" t="s">
        <v>1</v>
      </c>
    </row>
    <row r="235" spans="2:5">
      <c r="B235" s="216" t="s">
        <v>284</v>
      </c>
      <c r="C235" s="208" t="s">
        <v>15</v>
      </c>
      <c r="D235" s="209" t="s">
        <v>289</v>
      </c>
      <c r="E235" s="217" t="s">
        <v>1</v>
      </c>
    </row>
    <row r="236" spans="2:5">
      <c r="B236" s="216" t="s">
        <v>284</v>
      </c>
      <c r="C236" s="208" t="s">
        <v>15</v>
      </c>
      <c r="D236" s="209" t="s">
        <v>290</v>
      </c>
      <c r="E236" s="217" t="s">
        <v>1738</v>
      </c>
    </row>
    <row r="237" spans="2:5">
      <c r="B237" s="216" t="s">
        <v>284</v>
      </c>
      <c r="C237" s="208" t="s">
        <v>15</v>
      </c>
      <c r="D237" s="209" t="s">
        <v>291</v>
      </c>
      <c r="E237" s="217" t="s">
        <v>1</v>
      </c>
    </row>
    <row r="238" spans="2:5">
      <c r="B238" s="216" t="s">
        <v>284</v>
      </c>
      <c r="C238" s="208" t="s">
        <v>15</v>
      </c>
      <c r="D238" s="209" t="s">
        <v>292</v>
      </c>
      <c r="E238" s="217" t="s">
        <v>1</v>
      </c>
    </row>
    <row r="239" spans="2:5">
      <c r="B239" s="216" t="s">
        <v>284</v>
      </c>
      <c r="C239" s="208" t="s">
        <v>15</v>
      </c>
      <c r="D239" s="209" t="s">
        <v>293</v>
      </c>
      <c r="E239" s="217" t="s">
        <v>1</v>
      </c>
    </row>
    <row r="240" spans="2:5">
      <c r="B240" s="216" t="s">
        <v>284</v>
      </c>
      <c r="C240" s="208" t="s">
        <v>15</v>
      </c>
      <c r="D240" s="209" t="s">
        <v>294</v>
      </c>
      <c r="E240" s="217" t="s">
        <v>1738</v>
      </c>
    </row>
    <row r="241" spans="2:5">
      <c r="B241" s="216" t="s">
        <v>284</v>
      </c>
      <c r="C241" s="208" t="s">
        <v>15</v>
      </c>
      <c r="D241" s="209" t="s">
        <v>295</v>
      </c>
      <c r="E241" s="217" t="s">
        <v>1738</v>
      </c>
    </row>
    <row r="242" spans="2:5">
      <c r="B242" s="216" t="s">
        <v>284</v>
      </c>
      <c r="C242" s="208" t="s">
        <v>15</v>
      </c>
      <c r="D242" s="209" t="s">
        <v>296</v>
      </c>
      <c r="E242" s="217" t="s">
        <v>1738</v>
      </c>
    </row>
    <row r="243" spans="2:5">
      <c r="B243" s="216" t="s">
        <v>284</v>
      </c>
      <c r="C243" s="208" t="s">
        <v>15</v>
      </c>
      <c r="D243" s="209" t="s">
        <v>297</v>
      </c>
      <c r="E243" s="217" t="s">
        <v>1738</v>
      </c>
    </row>
    <row r="244" spans="2:5">
      <c r="B244" s="216" t="s">
        <v>284</v>
      </c>
      <c r="C244" s="208" t="s">
        <v>15</v>
      </c>
      <c r="D244" s="209" t="s">
        <v>298</v>
      </c>
      <c r="E244" s="217" t="s">
        <v>1738</v>
      </c>
    </row>
    <row r="245" spans="2:5">
      <c r="B245" s="216" t="s">
        <v>284</v>
      </c>
      <c r="C245" s="208" t="s">
        <v>15</v>
      </c>
      <c r="D245" s="209" t="s">
        <v>299</v>
      </c>
      <c r="E245" s="217" t="s">
        <v>1</v>
      </c>
    </row>
    <row r="246" spans="2:5">
      <c r="B246" s="216" t="s">
        <v>284</v>
      </c>
      <c r="C246" s="208" t="s">
        <v>15</v>
      </c>
      <c r="D246" s="209" t="s">
        <v>300</v>
      </c>
      <c r="E246" s="217" t="s">
        <v>1</v>
      </c>
    </row>
    <row r="247" spans="2:5">
      <c r="B247" s="216" t="s">
        <v>284</v>
      </c>
      <c r="C247" s="208" t="s">
        <v>15</v>
      </c>
      <c r="D247" s="209" t="s">
        <v>301</v>
      </c>
      <c r="E247" s="217" t="s">
        <v>1</v>
      </c>
    </row>
    <row r="248" spans="2:5">
      <c r="B248" s="216" t="s">
        <v>284</v>
      </c>
      <c r="C248" s="208" t="s">
        <v>15</v>
      </c>
      <c r="D248" s="209" t="s">
        <v>14</v>
      </c>
      <c r="E248" s="217" t="s">
        <v>1</v>
      </c>
    </row>
    <row r="249" spans="2:5">
      <c r="B249" s="216" t="s">
        <v>284</v>
      </c>
      <c r="C249" s="208" t="s">
        <v>15</v>
      </c>
      <c r="D249" s="209" t="s">
        <v>302</v>
      </c>
      <c r="E249" s="217" t="s">
        <v>1</v>
      </c>
    </row>
    <row r="250" spans="2:5">
      <c r="B250" s="216" t="s">
        <v>284</v>
      </c>
      <c r="C250" s="208" t="s">
        <v>15</v>
      </c>
      <c r="D250" s="209" t="s">
        <v>303</v>
      </c>
      <c r="E250" s="217" t="s">
        <v>1738</v>
      </c>
    </row>
    <row r="251" spans="2:5">
      <c r="B251" s="216" t="s">
        <v>284</v>
      </c>
      <c r="C251" s="208" t="s">
        <v>15</v>
      </c>
      <c r="D251" s="209" t="s">
        <v>304</v>
      </c>
      <c r="E251" s="217" t="s">
        <v>1738</v>
      </c>
    </row>
    <row r="252" spans="2:5">
      <c r="B252" s="216" t="s">
        <v>284</v>
      </c>
      <c r="C252" s="208" t="s">
        <v>15</v>
      </c>
      <c r="D252" s="209" t="s">
        <v>305</v>
      </c>
      <c r="E252" s="217" t="s">
        <v>1738</v>
      </c>
    </row>
    <row r="253" spans="2:5">
      <c r="B253" s="216" t="s">
        <v>284</v>
      </c>
      <c r="C253" s="208" t="s">
        <v>15</v>
      </c>
      <c r="D253" s="209" t="s">
        <v>306</v>
      </c>
      <c r="E253" s="217" t="s">
        <v>1738</v>
      </c>
    </row>
    <row r="254" spans="2:5">
      <c r="B254" s="216" t="s">
        <v>284</v>
      </c>
      <c r="C254" s="208" t="s">
        <v>15</v>
      </c>
      <c r="D254" s="209" t="s">
        <v>307</v>
      </c>
      <c r="E254" s="217" t="s">
        <v>1738</v>
      </c>
    </row>
    <row r="255" spans="2:5">
      <c r="B255" s="216" t="s">
        <v>284</v>
      </c>
      <c r="C255" s="208" t="s">
        <v>15</v>
      </c>
      <c r="D255" s="209" t="s">
        <v>308</v>
      </c>
      <c r="E255" s="217" t="s">
        <v>1738</v>
      </c>
    </row>
    <row r="256" spans="2:5">
      <c r="B256" s="216" t="s">
        <v>284</v>
      </c>
      <c r="C256" s="208" t="s">
        <v>15</v>
      </c>
      <c r="D256" s="209" t="s">
        <v>309</v>
      </c>
      <c r="E256" s="217" t="s">
        <v>1738</v>
      </c>
    </row>
    <row r="257" spans="2:5">
      <c r="B257" s="216" t="s">
        <v>284</v>
      </c>
      <c r="C257" s="208" t="s">
        <v>15</v>
      </c>
      <c r="D257" s="209" t="s">
        <v>310</v>
      </c>
      <c r="E257" s="217" t="s">
        <v>1738</v>
      </c>
    </row>
    <row r="258" spans="2:5">
      <c r="B258" s="216" t="s">
        <v>284</v>
      </c>
      <c r="C258" s="208" t="s">
        <v>15</v>
      </c>
      <c r="D258" s="209" t="s">
        <v>311</v>
      </c>
      <c r="E258" s="217" t="s">
        <v>1738</v>
      </c>
    </row>
    <row r="259" spans="2:5">
      <c r="B259" s="216" t="s">
        <v>284</v>
      </c>
      <c r="C259" s="208" t="s">
        <v>15</v>
      </c>
      <c r="D259" s="209" t="s">
        <v>312</v>
      </c>
      <c r="E259" s="217" t="s">
        <v>1</v>
      </c>
    </row>
    <row r="260" spans="2:5">
      <c r="B260" s="216" t="s">
        <v>284</v>
      </c>
      <c r="C260" s="208" t="s">
        <v>15</v>
      </c>
      <c r="D260" s="209" t="s">
        <v>313</v>
      </c>
      <c r="E260" s="217" t="s">
        <v>1</v>
      </c>
    </row>
    <row r="261" spans="2:5">
      <c r="B261" s="216" t="s">
        <v>284</v>
      </c>
      <c r="C261" s="208" t="s">
        <v>15</v>
      </c>
      <c r="D261" s="209" t="s">
        <v>314</v>
      </c>
      <c r="E261" s="217" t="s">
        <v>1</v>
      </c>
    </row>
    <row r="262" spans="2:5">
      <c r="B262" s="216" t="s">
        <v>284</v>
      </c>
      <c r="C262" s="208" t="s">
        <v>15</v>
      </c>
      <c r="D262" s="209" t="s">
        <v>315</v>
      </c>
      <c r="E262" s="217" t="s">
        <v>1738</v>
      </c>
    </row>
    <row r="263" spans="2:5">
      <c r="B263" s="216" t="s">
        <v>284</v>
      </c>
      <c r="C263" s="208" t="s">
        <v>15</v>
      </c>
      <c r="D263" s="209" t="s">
        <v>316</v>
      </c>
      <c r="E263" s="217" t="s">
        <v>1</v>
      </c>
    </row>
    <row r="264" spans="2:5">
      <c r="B264" s="216" t="s">
        <v>284</v>
      </c>
      <c r="C264" s="208" t="s">
        <v>15</v>
      </c>
      <c r="D264" s="209" t="s">
        <v>317</v>
      </c>
      <c r="E264" s="217" t="s">
        <v>1</v>
      </c>
    </row>
    <row r="265" spans="2:5">
      <c r="B265" s="216" t="s">
        <v>284</v>
      </c>
      <c r="C265" s="208" t="s">
        <v>15</v>
      </c>
      <c r="D265" s="209" t="s">
        <v>318</v>
      </c>
      <c r="E265" s="217" t="s">
        <v>1</v>
      </c>
    </row>
    <row r="266" spans="2:5">
      <c r="B266" s="216" t="s">
        <v>284</v>
      </c>
      <c r="C266" s="208" t="s">
        <v>15</v>
      </c>
      <c r="D266" s="209" t="s">
        <v>319</v>
      </c>
      <c r="E266" s="217" t="s">
        <v>1</v>
      </c>
    </row>
    <row r="267" spans="2:5">
      <c r="B267" s="216" t="s">
        <v>284</v>
      </c>
      <c r="C267" s="208" t="s">
        <v>15</v>
      </c>
      <c r="D267" s="209" t="s">
        <v>320</v>
      </c>
      <c r="E267" s="217" t="s">
        <v>1</v>
      </c>
    </row>
    <row r="268" spans="2:5">
      <c r="B268" s="216" t="s">
        <v>284</v>
      </c>
      <c r="C268" s="208" t="s">
        <v>15</v>
      </c>
      <c r="D268" s="209" t="s">
        <v>321</v>
      </c>
      <c r="E268" s="217" t="s">
        <v>1</v>
      </c>
    </row>
    <row r="269" spans="2:5">
      <c r="B269" s="216" t="s">
        <v>284</v>
      </c>
      <c r="C269" s="208" t="s">
        <v>15</v>
      </c>
      <c r="D269" s="209" t="s">
        <v>322</v>
      </c>
      <c r="E269" s="217" t="s">
        <v>1</v>
      </c>
    </row>
    <row r="270" spans="2:5">
      <c r="B270" s="216" t="s">
        <v>284</v>
      </c>
      <c r="C270" s="208" t="s">
        <v>15</v>
      </c>
      <c r="D270" s="209" t="s">
        <v>323</v>
      </c>
      <c r="E270" s="217" t="s">
        <v>1</v>
      </c>
    </row>
    <row r="271" spans="2:5">
      <c r="B271" s="216" t="s">
        <v>284</v>
      </c>
      <c r="C271" s="208" t="s">
        <v>15</v>
      </c>
      <c r="D271" s="209" t="s">
        <v>324</v>
      </c>
      <c r="E271" s="217" t="s">
        <v>1</v>
      </c>
    </row>
    <row r="272" spans="2:5">
      <c r="B272" s="216" t="s">
        <v>284</v>
      </c>
      <c r="C272" s="208" t="s">
        <v>15</v>
      </c>
      <c r="D272" s="209" t="s">
        <v>325</v>
      </c>
      <c r="E272" s="217" t="s">
        <v>1</v>
      </c>
    </row>
    <row r="273" spans="2:5">
      <c r="B273" s="216" t="s">
        <v>284</v>
      </c>
      <c r="C273" s="208" t="s">
        <v>15</v>
      </c>
      <c r="D273" s="209" t="s">
        <v>326</v>
      </c>
      <c r="E273" s="217" t="s">
        <v>1</v>
      </c>
    </row>
    <row r="274" spans="2:5">
      <c r="B274" s="216" t="s">
        <v>284</v>
      </c>
      <c r="C274" s="208" t="s">
        <v>15</v>
      </c>
      <c r="D274" s="209" t="s">
        <v>327</v>
      </c>
      <c r="E274" s="217" t="s">
        <v>1738</v>
      </c>
    </row>
    <row r="275" spans="2:5">
      <c r="B275" s="216" t="s">
        <v>284</v>
      </c>
      <c r="C275" s="208" t="s">
        <v>15</v>
      </c>
      <c r="D275" s="209" t="s">
        <v>328</v>
      </c>
      <c r="E275" s="217" t="s">
        <v>1738</v>
      </c>
    </row>
    <row r="276" spans="2:5">
      <c r="B276" s="216" t="s">
        <v>284</v>
      </c>
      <c r="C276" s="208" t="s">
        <v>15</v>
      </c>
      <c r="D276" s="209" t="s">
        <v>329</v>
      </c>
      <c r="E276" s="217" t="s">
        <v>1</v>
      </c>
    </row>
    <row r="277" spans="2:5">
      <c r="B277" s="216" t="s">
        <v>284</v>
      </c>
      <c r="C277" s="208" t="s">
        <v>15</v>
      </c>
      <c r="D277" s="209" t="s">
        <v>330</v>
      </c>
      <c r="E277" s="217" t="s">
        <v>1</v>
      </c>
    </row>
    <row r="278" spans="2:5">
      <c r="B278" s="216" t="s">
        <v>284</v>
      </c>
      <c r="C278" s="208" t="s">
        <v>15</v>
      </c>
      <c r="D278" s="209" t="s">
        <v>331</v>
      </c>
      <c r="E278" s="217" t="s">
        <v>1</v>
      </c>
    </row>
    <row r="279" spans="2:5">
      <c r="B279" s="216" t="s">
        <v>284</v>
      </c>
      <c r="C279" s="208" t="s">
        <v>15</v>
      </c>
      <c r="D279" s="209" t="s">
        <v>332</v>
      </c>
      <c r="E279" s="217" t="s">
        <v>1</v>
      </c>
    </row>
    <row r="280" spans="2:5">
      <c r="B280" s="216" t="s">
        <v>284</v>
      </c>
      <c r="C280" s="208" t="s">
        <v>15</v>
      </c>
      <c r="D280" s="209" t="s">
        <v>333</v>
      </c>
      <c r="E280" s="217" t="s">
        <v>1</v>
      </c>
    </row>
    <row r="281" spans="2:5">
      <c r="B281" s="216" t="s">
        <v>284</v>
      </c>
      <c r="C281" s="208" t="s">
        <v>15</v>
      </c>
      <c r="D281" s="209" t="s">
        <v>334</v>
      </c>
      <c r="E281" s="217" t="s">
        <v>1</v>
      </c>
    </row>
    <row r="282" spans="2:5">
      <c r="B282" s="216" t="s">
        <v>284</v>
      </c>
      <c r="C282" s="208" t="s">
        <v>15</v>
      </c>
      <c r="D282" s="209" t="s">
        <v>335</v>
      </c>
      <c r="E282" s="217" t="s">
        <v>1</v>
      </c>
    </row>
    <row r="283" spans="2:5">
      <c r="B283" s="216" t="s">
        <v>284</v>
      </c>
      <c r="C283" s="208" t="s">
        <v>15</v>
      </c>
      <c r="D283" s="209" t="s">
        <v>336</v>
      </c>
      <c r="E283" s="217" t="s">
        <v>1</v>
      </c>
    </row>
    <row r="284" spans="2:5">
      <c r="B284" s="216" t="s">
        <v>284</v>
      </c>
      <c r="C284" s="208" t="s">
        <v>15</v>
      </c>
      <c r="D284" s="209" t="s">
        <v>337</v>
      </c>
      <c r="E284" s="217" t="s">
        <v>1738</v>
      </c>
    </row>
    <row r="285" spans="2:5">
      <c r="B285" s="216" t="s">
        <v>284</v>
      </c>
      <c r="C285" s="208" t="s">
        <v>15</v>
      </c>
      <c r="D285" s="209" t="s">
        <v>338</v>
      </c>
      <c r="E285" s="217" t="s">
        <v>1738</v>
      </c>
    </row>
    <row r="286" spans="2:5">
      <c r="B286" s="216" t="s">
        <v>284</v>
      </c>
      <c r="C286" s="208" t="s">
        <v>15</v>
      </c>
      <c r="D286" s="209" t="s">
        <v>339</v>
      </c>
      <c r="E286" s="217" t="s">
        <v>1738</v>
      </c>
    </row>
    <row r="287" spans="2:5">
      <c r="B287" s="216" t="s">
        <v>284</v>
      </c>
      <c r="C287" s="208" t="s">
        <v>15</v>
      </c>
      <c r="D287" s="209" t="s">
        <v>340</v>
      </c>
      <c r="E287" s="217" t="s">
        <v>1738</v>
      </c>
    </row>
    <row r="288" spans="2:5">
      <c r="B288" s="216" t="s">
        <v>284</v>
      </c>
      <c r="C288" s="208" t="s">
        <v>15</v>
      </c>
      <c r="D288" s="209" t="s">
        <v>341</v>
      </c>
      <c r="E288" s="217" t="s">
        <v>1738</v>
      </c>
    </row>
    <row r="289" spans="2:5">
      <c r="B289" s="216" t="s">
        <v>284</v>
      </c>
      <c r="C289" s="208" t="s">
        <v>15</v>
      </c>
      <c r="D289" s="209" t="s">
        <v>342</v>
      </c>
      <c r="E289" s="217" t="s">
        <v>1</v>
      </c>
    </row>
    <row r="290" spans="2:5">
      <c r="B290" s="216" t="s">
        <v>284</v>
      </c>
      <c r="C290" s="208" t="s">
        <v>15</v>
      </c>
      <c r="D290" s="209" t="s">
        <v>343</v>
      </c>
      <c r="E290" s="217" t="s">
        <v>1</v>
      </c>
    </row>
    <row r="291" spans="2:5">
      <c r="B291" s="216" t="s">
        <v>284</v>
      </c>
      <c r="C291" s="208" t="s">
        <v>15</v>
      </c>
      <c r="D291" s="209" t="s">
        <v>344</v>
      </c>
      <c r="E291" s="217" t="s">
        <v>1</v>
      </c>
    </row>
    <row r="292" spans="2:5">
      <c r="B292" s="216" t="s">
        <v>284</v>
      </c>
      <c r="C292" s="208" t="s">
        <v>15</v>
      </c>
      <c r="D292" s="209" t="s">
        <v>345</v>
      </c>
      <c r="E292" s="217" t="s">
        <v>1</v>
      </c>
    </row>
    <row r="293" spans="2:5">
      <c r="B293" s="216" t="s">
        <v>284</v>
      </c>
      <c r="C293" s="208" t="s">
        <v>15</v>
      </c>
      <c r="D293" s="209" t="s">
        <v>346</v>
      </c>
      <c r="E293" s="217" t="s">
        <v>1</v>
      </c>
    </row>
    <row r="294" spans="2:5">
      <c r="B294" s="216" t="s">
        <v>284</v>
      </c>
      <c r="C294" s="208" t="s">
        <v>15</v>
      </c>
      <c r="D294" s="209" t="s">
        <v>347</v>
      </c>
      <c r="E294" s="217" t="s">
        <v>1</v>
      </c>
    </row>
    <row r="295" spans="2:5">
      <c r="B295" s="216" t="s">
        <v>284</v>
      </c>
      <c r="C295" s="208" t="s">
        <v>15</v>
      </c>
      <c r="D295" s="209" t="s">
        <v>348</v>
      </c>
      <c r="E295" s="217" t="s">
        <v>1738</v>
      </c>
    </row>
    <row r="296" spans="2:5">
      <c r="B296" s="216" t="s">
        <v>284</v>
      </c>
      <c r="C296" s="208" t="s">
        <v>15</v>
      </c>
      <c r="D296" s="209" t="s">
        <v>349</v>
      </c>
      <c r="E296" s="217" t="s">
        <v>1738</v>
      </c>
    </row>
    <row r="297" spans="2:5">
      <c r="B297" s="216" t="s">
        <v>284</v>
      </c>
      <c r="C297" s="208" t="s">
        <v>15</v>
      </c>
      <c r="D297" s="209" t="s">
        <v>350</v>
      </c>
      <c r="E297" s="217" t="s">
        <v>1738</v>
      </c>
    </row>
    <row r="298" spans="2:5">
      <c r="B298" s="216" t="s">
        <v>284</v>
      </c>
      <c r="C298" s="208" t="s">
        <v>15</v>
      </c>
      <c r="D298" s="209" t="s">
        <v>351</v>
      </c>
      <c r="E298" s="217" t="s">
        <v>1738</v>
      </c>
    </row>
    <row r="299" spans="2:5">
      <c r="B299" s="216" t="s">
        <v>284</v>
      </c>
      <c r="C299" s="208" t="s">
        <v>15</v>
      </c>
      <c r="D299" s="209" t="s">
        <v>352</v>
      </c>
      <c r="E299" s="217" t="s">
        <v>1738</v>
      </c>
    </row>
    <row r="300" spans="2:5">
      <c r="B300" s="216" t="s">
        <v>284</v>
      </c>
      <c r="C300" s="208" t="s">
        <v>15</v>
      </c>
      <c r="D300" s="209" t="s">
        <v>353</v>
      </c>
      <c r="E300" s="217" t="s">
        <v>1</v>
      </c>
    </row>
    <row r="301" spans="2:5">
      <c r="B301" s="216" t="s">
        <v>284</v>
      </c>
      <c r="C301" s="208" t="s">
        <v>15</v>
      </c>
      <c r="D301" s="209" t="s">
        <v>354</v>
      </c>
      <c r="E301" s="217" t="s">
        <v>1</v>
      </c>
    </row>
    <row r="302" spans="2:5">
      <c r="B302" s="216" t="s">
        <v>284</v>
      </c>
      <c r="C302" s="208" t="s">
        <v>15</v>
      </c>
      <c r="D302" s="209" t="s">
        <v>355</v>
      </c>
      <c r="E302" s="217" t="s">
        <v>1738</v>
      </c>
    </row>
    <row r="303" spans="2:5">
      <c r="B303" s="216" t="s">
        <v>284</v>
      </c>
      <c r="C303" s="208" t="s">
        <v>15</v>
      </c>
      <c r="D303" s="209" t="s">
        <v>356</v>
      </c>
      <c r="E303" s="217" t="s">
        <v>1</v>
      </c>
    </row>
    <row r="304" spans="2:5">
      <c r="B304" s="216" t="s">
        <v>284</v>
      </c>
      <c r="C304" s="208" t="s">
        <v>15</v>
      </c>
      <c r="D304" s="209" t="s">
        <v>357</v>
      </c>
      <c r="E304" s="217" t="s">
        <v>1</v>
      </c>
    </row>
    <row r="305" spans="2:5">
      <c r="B305" s="216" t="s">
        <v>284</v>
      </c>
      <c r="C305" s="208" t="s">
        <v>15</v>
      </c>
      <c r="D305" s="209" t="s">
        <v>358</v>
      </c>
      <c r="E305" s="217" t="s">
        <v>1</v>
      </c>
    </row>
    <row r="306" spans="2:5">
      <c r="B306" s="216" t="s">
        <v>284</v>
      </c>
      <c r="C306" s="208" t="s">
        <v>15</v>
      </c>
      <c r="D306" s="209" t="s">
        <v>359</v>
      </c>
      <c r="E306" s="217" t="s">
        <v>1</v>
      </c>
    </row>
    <row r="307" spans="2:5">
      <c r="B307" s="216" t="s">
        <v>284</v>
      </c>
      <c r="C307" s="208" t="s">
        <v>15</v>
      </c>
      <c r="D307" s="209" t="s">
        <v>360</v>
      </c>
      <c r="E307" s="217" t="s">
        <v>1</v>
      </c>
    </row>
    <row r="308" spans="2:5">
      <c r="B308" s="216" t="s">
        <v>284</v>
      </c>
      <c r="C308" s="208" t="s">
        <v>15</v>
      </c>
      <c r="D308" s="209" t="s">
        <v>361</v>
      </c>
      <c r="E308" s="217" t="s">
        <v>1</v>
      </c>
    </row>
    <row r="309" spans="2:5">
      <c r="B309" s="216" t="s">
        <v>284</v>
      </c>
      <c r="C309" s="208" t="s">
        <v>15</v>
      </c>
      <c r="D309" s="209" t="s">
        <v>362</v>
      </c>
      <c r="E309" s="217" t="s">
        <v>1738</v>
      </c>
    </row>
    <row r="310" spans="2:5">
      <c r="B310" s="216" t="s">
        <v>284</v>
      </c>
      <c r="C310" s="208" t="s">
        <v>15</v>
      </c>
      <c r="D310" s="209" t="s">
        <v>363</v>
      </c>
      <c r="E310" s="217" t="s">
        <v>1738</v>
      </c>
    </row>
    <row r="311" spans="2:5">
      <c r="B311" s="216" t="s">
        <v>284</v>
      </c>
      <c r="C311" s="208" t="s">
        <v>15</v>
      </c>
      <c r="D311" s="209" t="s">
        <v>364</v>
      </c>
      <c r="E311" s="217" t="s">
        <v>1738</v>
      </c>
    </row>
    <row r="312" spans="2:5">
      <c r="B312" s="216" t="s">
        <v>284</v>
      </c>
      <c r="C312" s="208" t="s">
        <v>15</v>
      </c>
      <c r="D312" s="209" t="s">
        <v>365</v>
      </c>
      <c r="E312" s="217" t="s">
        <v>1738</v>
      </c>
    </row>
    <row r="313" spans="2:5">
      <c r="B313" s="216" t="s">
        <v>284</v>
      </c>
      <c r="C313" s="208" t="s">
        <v>15</v>
      </c>
      <c r="D313" s="209" t="s">
        <v>366</v>
      </c>
      <c r="E313" s="217" t="s">
        <v>1738</v>
      </c>
    </row>
    <row r="314" spans="2:5">
      <c r="B314" s="216" t="s">
        <v>284</v>
      </c>
      <c r="C314" s="208" t="s">
        <v>15</v>
      </c>
      <c r="D314" s="209" t="s">
        <v>367</v>
      </c>
      <c r="E314" s="217" t="s">
        <v>1</v>
      </c>
    </row>
    <row r="315" spans="2:5">
      <c r="B315" s="216" t="s">
        <v>284</v>
      </c>
      <c r="C315" s="208" t="s">
        <v>15</v>
      </c>
      <c r="D315" s="209" t="s">
        <v>368</v>
      </c>
      <c r="E315" s="217" t="s">
        <v>1738</v>
      </c>
    </row>
    <row r="316" spans="2:5">
      <c r="B316" s="216" t="s">
        <v>284</v>
      </c>
      <c r="C316" s="208" t="s">
        <v>15</v>
      </c>
      <c r="D316" s="209" t="s">
        <v>369</v>
      </c>
      <c r="E316" s="217" t="s">
        <v>1738</v>
      </c>
    </row>
    <row r="317" spans="2:5">
      <c r="B317" s="216" t="s">
        <v>284</v>
      </c>
      <c r="C317" s="208" t="s">
        <v>15</v>
      </c>
      <c r="D317" s="209" t="s">
        <v>370</v>
      </c>
      <c r="E317" s="217" t="s">
        <v>1738</v>
      </c>
    </row>
    <row r="318" spans="2:5">
      <c r="B318" s="216" t="s">
        <v>284</v>
      </c>
      <c r="C318" s="208" t="s">
        <v>15</v>
      </c>
      <c r="D318" s="209" t="s">
        <v>371</v>
      </c>
      <c r="E318" s="217" t="s">
        <v>1738</v>
      </c>
    </row>
    <row r="319" spans="2:5">
      <c r="B319" s="216" t="s">
        <v>372</v>
      </c>
      <c r="C319" s="208" t="s">
        <v>17</v>
      </c>
      <c r="D319" s="209" t="s">
        <v>373</v>
      </c>
      <c r="E319" s="217" t="s">
        <v>1</v>
      </c>
    </row>
    <row r="320" spans="2:5">
      <c r="B320" s="216" t="s">
        <v>372</v>
      </c>
      <c r="C320" s="208" t="s">
        <v>17</v>
      </c>
      <c r="D320" s="209" t="s">
        <v>374</v>
      </c>
      <c r="E320" s="217" t="s">
        <v>1</v>
      </c>
    </row>
    <row r="321" spans="2:5">
      <c r="B321" s="216" t="s">
        <v>372</v>
      </c>
      <c r="C321" s="208" t="s">
        <v>17</v>
      </c>
      <c r="D321" s="209" t="s">
        <v>375</v>
      </c>
      <c r="E321" s="217" t="s">
        <v>1</v>
      </c>
    </row>
    <row r="322" spans="2:5">
      <c r="B322" s="216" t="s">
        <v>372</v>
      </c>
      <c r="C322" s="208" t="s">
        <v>17</v>
      </c>
      <c r="D322" s="209" t="s">
        <v>376</v>
      </c>
      <c r="E322" s="217" t="s">
        <v>1</v>
      </c>
    </row>
    <row r="323" spans="2:5">
      <c r="B323" s="216" t="s">
        <v>372</v>
      </c>
      <c r="C323" s="208" t="s">
        <v>17</v>
      </c>
      <c r="D323" s="209" t="s">
        <v>377</v>
      </c>
      <c r="E323" s="217" t="s">
        <v>1</v>
      </c>
    </row>
    <row r="324" spans="2:5">
      <c r="B324" s="216" t="s">
        <v>372</v>
      </c>
      <c r="C324" s="208" t="s">
        <v>17</v>
      </c>
      <c r="D324" s="209" t="s">
        <v>378</v>
      </c>
      <c r="E324" s="217" t="s">
        <v>1</v>
      </c>
    </row>
    <row r="325" spans="2:5">
      <c r="B325" s="216" t="s">
        <v>372</v>
      </c>
      <c r="C325" s="208" t="s">
        <v>17</v>
      </c>
      <c r="D325" s="209" t="s">
        <v>379</v>
      </c>
      <c r="E325" s="217" t="s">
        <v>1</v>
      </c>
    </row>
    <row r="326" spans="2:5">
      <c r="B326" s="216" t="s">
        <v>372</v>
      </c>
      <c r="C326" s="208" t="s">
        <v>17</v>
      </c>
      <c r="D326" s="209" t="s">
        <v>380</v>
      </c>
      <c r="E326" s="217" t="s">
        <v>1</v>
      </c>
    </row>
    <row r="327" spans="2:5">
      <c r="B327" s="216" t="s">
        <v>372</v>
      </c>
      <c r="C327" s="208" t="s">
        <v>17</v>
      </c>
      <c r="D327" s="209" t="s">
        <v>381</v>
      </c>
      <c r="E327" s="217" t="s">
        <v>1</v>
      </c>
    </row>
    <row r="328" spans="2:5">
      <c r="B328" s="216" t="s">
        <v>372</v>
      </c>
      <c r="C328" s="208" t="s">
        <v>17</v>
      </c>
      <c r="D328" s="209" t="s">
        <v>382</v>
      </c>
      <c r="E328" s="217" t="s">
        <v>1</v>
      </c>
    </row>
    <row r="329" spans="2:5">
      <c r="B329" s="216" t="s">
        <v>372</v>
      </c>
      <c r="C329" s="208" t="s">
        <v>17</v>
      </c>
      <c r="D329" s="209" t="s">
        <v>383</v>
      </c>
      <c r="E329" s="217" t="s">
        <v>1</v>
      </c>
    </row>
    <row r="330" spans="2:5">
      <c r="B330" s="216" t="s">
        <v>372</v>
      </c>
      <c r="C330" s="208" t="s">
        <v>17</v>
      </c>
      <c r="D330" s="209" t="s">
        <v>384</v>
      </c>
      <c r="E330" s="217" t="s">
        <v>1</v>
      </c>
    </row>
    <row r="331" spans="2:5">
      <c r="B331" s="216" t="s">
        <v>372</v>
      </c>
      <c r="C331" s="208" t="s">
        <v>17</v>
      </c>
      <c r="D331" s="209" t="s">
        <v>385</v>
      </c>
      <c r="E331" s="217" t="s">
        <v>1</v>
      </c>
    </row>
    <row r="332" spans="2:5">
      <c r="B332" s="216" t="s">
        <v>372</v>
      </c>
      <c r="C332" s="208" t="s">
        <v>17</v>
      </c>
      <c r="D332" s="209" t="s">
        <v>386</v>
      </c>
      <c r="E332" s="217" t="s">
        <v>1</v>
      </c>
    </row>
    <row r="333" spans="2:5">
      <c r="B333" s="216" t="s">
        <v>372</v>
      </c>
      <c r="C333" s="208" t="s">
        <v>17</v>
      </c>
      <c r="D333" s="209" t="s">
        <v>387</v>
      </c>
      <c r="E333" s="217" t="s">
        <v>1</v>
      </c>
    </row>
    <row r="334" spans="2:5">
      <c r="B334" s="216" t="s">
        <v>372</v>
      </c>
      <c r="C334" s="208" t="s">
        <v>17</v>
      </c>
      <c r="D334" s="209" t="s">
        <v>388</v>
      </c>
      <c r="E334" s="217" t="s">
        <v>1</v>
      </c>
    </row>
    <row r="335" spans="2:5">
      <c r="B335" s="216" t="s">
        <v>372</v>
      </c>
      <c r="C335" s="208" t="s">
        <v>17</v>
      </c>
      <c r="D335" s="209" t="s">
        <v>389</v>
      </c>
      <c r="E335" s="217" t="s">
        <v>1</v>
      </c>
    </row>
    <row r="336" spans="2:5">
      <c r="B336" s="216" t="s">
        <v>372</v>
      </c>
      <c r="C336" s="208" t="s">
        <v>17</v>
      </c>
      <c r="D336" s="209" t="s">
        <v>390</v>
      </c>
      <c r="E336" s="217" t="s">
        <v>1</v>
      </c>
    </row>
    <row r="337" spans="2:5">
      <c r="B337" s="216" t="s">
        <v>372</v>
      </c>
      <c r="C337" s="208" t="s">
        <v>17</v>
      </c>
      <c r="D337" s="209" t="s">
        <v>391</v>
      </c>
      <c r="E337" s="217" t="s">
        <v>1738</v>
      </c>
    </row>
    <row r="338" spans="2:5">
      <c r="B338" s="216" t="s">
        <v>372</v>
      </c>
      <c r="C338" s="208" t="s">
        <v>17</v>
      </c>
      <c r="D338" s="209" t="s">
        <v>392</v>
      </c>
      <c r="E338" s="217" t="s">
        <v>1738</v>
      </c>
    </row>
    <row r="339" spans="2:5">
      <c r="B339" s="216" t="s">
        <v>372</v>
      </c>
      <c r="C339" s="208" t="s">
        <v>17</v>
      </c>
      <c r="D339" s="209" t="s">
        <v>393</v>
      </c>
      <c r="E339" s="217" t="s">
        <v>1738</v>
      </c>
    </row>
    <row r="340" spans="2:5">
      <c r="B340" s="216" t="s">
        <v>372</v>
      </c>
      <c r="C340" s="208" t="s">
        <v>17</v>
      </c>
      <c r="D340" s="209" t="s">
        <v>394</v>
      </c>
      <c r="E340" s="217" t="s">
        <v>1738</v>
      </c>
    </row>
    <row r="341" spans="2:5">
      <c r="B341" s="216" t="s">
        <v>372</v>
      </c>
      <c r="C341" s="208" t="s">
        <v>17</v>
      </c>
      <c r="D341" s="209" t="s">
        <v>395</v>
      </c>
      <c r="E341" s="217" t="s">
        <v>1</v>
      </c>
    </row>
    <row r="342" spans="2:5">
      <c r="B342" s="218" t="s">
        <v>396</v>
      </c>
      <c r="C342" s="210" t="s">
        <v>19</v>
      </c>
      <c r="D342" s="211" t="s">
        <v>397</v>
      </c>
      <c r="E342" s="219" t="s">
        <v>1</v>
      </c>
    </row>
    <row r="343" spans="2:5">
      <c r="B343" s="218" t="s">
        <v>396</v>
      </c>
      <c r="C343" s="210" t="s">
        <v>19</v>
      </c>
      <c r="D343" s="211" t="s">
        <v>398</v>
      </c>
      <c r="E343" s="219" t="s">
        <v>1</v>
      </c>
    </row>
    <row r="344" spans="2:5">
      <c r="B344" s="218" t="s">
        <v>396</v>
      </c>
      <c r="C344" s="210" t="s">
        <v>19</v>
      </c>
      <c r="D344" s="211" t="s">
        <v>399</v>
      </c>
      <c r="E344" s="219" t="s">
        <v>1</v>
      </c>
    </row>
    <row r="345" spans="2:5">
      <c r="B345" s="218" t="s">
        <v>396</v>
      </c>
      <c r="C345" s="210" t="s">
        <v>19</v>
      </c>
      <c r="D345" s="211" t="s">
        <v>400</v>
      </c>
      <c r="E345" s="219" t="s">
        <v>1</v>
      </c>
    </row>
    <row r="346" spans="2:5">
      <c r="B346" s="218" t="s">
        <v>396</v>
      </c>
      <c r="C346" s="210" t="s">
        <v>19</v>
      </c>
      <c r="D346" s="211" t="s">
        <v>401</v>
      </c>
      <c r="E346" s="219" t="s">
        <v>1</v>
      </c>
    </row>
    <row r="347" spans="2:5">
      <c r="B347" s="218" t="s">
        <v>396</v>
      </c>
      <c r="C347" s="210" t="s">
        <v>19</v>
      </c>
      <c r="D347" s="211" t="s">
        <v>402</v>
      </c>
      <c r="E347" s="219" t="s">
        <v>1</v>
      </c>
    </row>
    <row r="348" spans="2:5">
      <c r="B348" s="218" t="s">
        <v>396</v>
      </c>
      <c r="C348" s="210" t="s">
        <v>19</v>
      </c>
      <c r="D348" s="211" t="s">
        <v>403</v>
      </c>
      <c r="E348" s="219" t="s">
        <v>1</v>
      </c>
    </row>
    <row r="349" spans="2:5">
      <c r="B349" s="218" t="s">
        <v>396</v>
      </c>
      <c r="C349" s="210" t="s">
        <v>19</v>
      </c>
      <c r="D349" s="211" t="s">
        <v>404</v>
      </c>
      <c r="E349" s="219" t="s">
        <v>1</v>
      </c>
    </row>
    <row r="350" spans="2:5">
      <c r="B350" s="218" t="s">
        <v>396</v>
      </c>
      <c r="C350" s="210" t="s">
        <v>19</v>
      </c>
      <c r="D350" s="211" t="s">
        <v>405</v>
      </c>
      <c r="E350" s="219" t="s">
        <v>1</v>
      </c>
    </row>
    <row r="351" spans="2:5">
      <c r="B351" s="218" t="s">
        <v>396</v>
      </c>
      <c r="C351" s="210" t="s">
        <v>19</v>
      </c>
      <c r="D351" s="211" t="s">
        <v>406</v>
      </c>
      <c r="E351" s="219" t="s">
        <v>1</v>
      </c>
    </row>
    <row r="352" spans="2:5">
      <c r="B352" s="218" t="s">
        <v>396</v>
      </c>
      <c r="C352" s="210" t="s">
        <v>19</v>
      </c>
      <c r="D352" s="211" t="s">
        <v>407</v>
      </c>
      <c r="E352" s="219" t="s">
        <v>1</v>
      </c>
    </row>
    <row r="353" spans="2:5">
      <c r="B353" s="218" t="s">
        <v>396</v>
      </c>
      <c r="C353" s="210" t="s">
        <v>19</v>
      </c>
      <c r="D353" s="211" t="s">
        <v>408</v>
      </c>
      <c r="E353" s="219" t="s">
        <v>1</v>
      </c>
    </row>
    <row r="354" spans="2:5">
      <c r="B354" s="218" t="s">
        <v>396</v>
      </c>
      <c r="C354" s="210" t="s">
        <v>19</v>
      </c>
      <c r="D354" s="211" t="s">
        <v>409</v>
      </c>
      <c r="E354" s="219" t="s">
        <v>1</v>
      </c>
    </row>
    <row r="355" spans="2:5">
      <c r="B355" s="218" t="s">
        <v>396</v>
      </c>
      <c r="C355" s="210" t="s">
        <v>19</v>
      </c>
      <c r="D355" s="211" t="s">
        <v>410</v>
      </c>
      <c r="E355" s="219" t="s">
        <v>1738</v>
      </c>
    </row>
    <row r="356" spans="2:5">
      <c r="B356" s="218" t="s">
        <v>396</v>
      </c>
      <c r="C356" s="210" t="s">
        <v>19</v>
      </c>
      <c r="D356" s="211" t="s">
        <v>411</v>
      </c>
      <c r="E356" s="219" t="s">
        <v>1738</v>
      </c>
    </row>
    <row r="357" spans="2:5">
      <c r="B357" s="218" t="s">
        <v>396</v>
      </c>
      <c r="C357" s="210" t="s">
        <v>19</v>
      </c>
      <c r="D357" s="211" t="s">
        <v>412</v>
      </c>
      <c r="E357" s="219" t="s">
        <v>1738</v>
      </c>
    </row>
    <row r="358" spans="2:5">
      <c r="B358" s="218" t="s">
        <v>396</v>
      </c>
      <c r="C358" s="210" t="s">
        <v>19</v>
      </c>
      <c r="D358" s="211" t="s">
        <v>413</v>
      </c>
      <c r="E358" s="219" t="s">
        <v>1738</v>
      </c>
    </row>
    <row r="359" spans="2:5">
      <c r="B359" s="218" t="s">
        <v>396</v>
      </c>
      <c r="C359" s="210" t="s">
        <v>19</v>
      </c>
      <c r="D359" s="211" t="s">
        <v>414</v>
      </c>
      <c r="E359" s="219" t="s">
        <v>1738</v>
      </c>
    </row>
    <row r="360" spans="2:5">
      <c r="B360" s="218" t="s">
        <v>396</v>
      </c>
      <c r="C360" s="210" t="s">
        <v>19</v>
      </c>
      <c r="D360" s="211" t="s">
        <v>415</v>
      </c>
      <c r="E360" s="219" t="s">
        <v>1738</v>
      </c>
    </row>
    <row r="361" spans="2:5">
      <c r="B361" s="218" t="s">
        <v>396</v>
      </c>
      <c r="C361" s="210" t="s">
        <v>19</v>
      </c>
      <c r="D361" s="211" t="s">
        <v>416</v>
      </c>
      <c r="E361" s="219" t="s">
        <v>1738</v>
      </c>
    </row>
    <row r="362" spans="2:5">
      <c r="B362" s="218" t="s">
        <v>396</v>
      </c>
      <c r="C362" s="210" t="s">
        <v>19</v>
      </c>
      <c r="D362" s="211" t="s">
        <v>417</v>
      </c>
      <c r="E362" s="219" t="s">
        <v>1</v>
      </c>
    </row>
    <row r="363" spans="2:5">
      <c r="B363" s="218" t="s">
        <v>396</v>
      </c>
      <c r="C363" s="210" t="s">
        <v>19</v>
      </c>
      <c r="D363" s="211" t="s">
        <v>418</v>
      </c>
      <c r="E363" s="219" t="s">
        <v>1</v>
      </c>
    </row>
    <row r="364" spans="2:5">
      <c r="B364" s="218" t="s">
        <v>396</v>
      </c>
      <c r="C364" s="210" t="s">
        <v>19</v>
      </c>
      <c r="D364" s="211" t="s">
        <v>419</v>
      </c>
      <c r="E364" s="219" t="s">
        <v>1</v>
      </c>
    </row>
    <row r="365" spans="2:5">
      <c r="B365" s="218" t="s">
        <v>396</v>
      </c>
      <c r="C365" s="210" t="s">
        <v>19</v>
      </c>
      <c r="D365" s="211" t="s">
        <v>420</v>
      </c>
      <c r="E365" s="219" t="s">
        <v>1</v>
      </c>
    </row>
    <row r="366" spans="2:5">
      <c r="B366" s="218" t="s">
        <v>396</v>
      </c>
      <c r="C366" s="210" t="s">
        <v>19</v>
      </c>
      <c r="D366" s="211" t="s">
        <v>421</v>
      </c>
      <c r="E366" s="219" t="s">
        <v>1</v>
      </c>
    </row>
    <row r="367" spans="2:5">
      <c r="B367" s="218" t="s">
        <v>396</v>
      </c>
      <c r="C367" s="210" t="s">
        <v>19</v>
      </c>
      <c r="D367" s="211" t="s">
        <v>422</v>
      </c>
      <c r="E367" s="219" t="s">
        <v>1</v>
      </c>
    </row>
    <row r="368" spans="2:5">
      <c r="B368" s="218" t="s">
        <v>396</v>
      </c>
      <c r="C368" s="210" t="s">
        <v>19</v>
      </c>
      <c r="D368" s="211" t="s">
        <v>423</v>
      </c>
      <c r="E368" s="219" t="s">
        <v>1</v>
      </c>
    </row>
    <row r="369" spans="2:5">
      <c r="B369" s="218" t="s">
        <v>396</v>
      </c>
      <c r="C369" s="210" t="s">
        <v>19</v>
      </c>
      <c r="D369" s="211" t="s">
        <v>424</v>
      </c>
      <c r="E369" s="219" t="s">
        <v>1</v>
      </c>
    </row>
    <row r="370" spans="2:5">
      <c r="B370" s="218" t="s">
        <v>396</v>
      </c>
      <c r="C370" s="210" t="s">
        <v>19</v>
      </c>
      <c r="D370" s="211" t="s">
        <v>425</v>
      </c>
      <c r="E370" s="219" t="s">
        <v>1</v>
      </c>
    </row>
    <row r="371" spans="2:5">
      <c r="B371" s="218" t="s">
        <v>396</v>
      </c>
      <c r="C371" s="210" t="s">
        <v>19</v>
      </c>
      <c r="D371" s="211" t="s">
        <v>426</v>
      </c>
      <c r="E371" s="219" t="s">
        <v>1</v>
      </c>
    </row>
    <row r="372" spans="2:5">
      <c r="B372" s="218" t="s">
        <v>396</v>
      </c>
      <c r="C372" s="210" t="s">
        <v>19</v>
      </c>
      <c r="D372" s="211" t="s">
        <v>427</v>
      </c>
      <c r="E372" s="219" t="s">
        <v>1</v>
      </c>
    </row>
    <row r="373" spans="2:5">
      <c r="B373" s="218" t="s">
        <v>396</v>
      </c>
      <c r="C373" s="210" t="s">
        <v>19</v>
      </c>
      <c r="D373" s="211" t="s">
        <v>428</v>
      </c>
      <c r="E373" s="219" t="s">
        <v>1</v>
      </c>
    </row>
    <row r="374" spans="2:5">
      <c r="B374" s="218" t="s">
        <v>396</v>
      </c>
      <c r="C374" s="210" t="s">
        <v>19</v>
      </c>
      <c r="D374" s="211" t="s">
        <v>429</v>
      </c>
      <c r="E374" s="219" t="s">
        <v>1</v>
      </c>
    </row>
    <row r="375" spans="2:5">
      <c r="B375" s="218" t="s">
        <v>396</v>
      </c>
      <c r="C375" s="210" t="s">
        <v>19</v>
      </c>
      <c r="D375" s="211" t="s">
        <v>430</v>
      </c>
      <c r="E375" s="219" t="s">
        <v>1738</v>
      </c>
    </row>
    <row r="376" spans="2:5">
      <c r="B376" s="218" t="s">
        <v>396</v>
      </c>
      <c r="C376" s="210" t="s">
        <v>19</v>
      </c>
      <c r="D376" s="211" t="s">
        <v>431</v>
      </c>
      <c r="E376" s="219" t="s">
        <v>1738</v>
      </c>
    </row>
    <row r="377" spans="2:5">
      <c r="B377" s="218" t="s">
        <v>396</v>
      </c>
      <c r="C377" s="210" t="s">
        <v>19</v>
      </c>
      <c r="D377" s="211" t="s">
        <v>432</v>
      </c>
      <c r="E377" s="219" t="s">
        <v>1738</v>
      </c>
    </row>
    <row r="378" spans="2:5">
      <c r="B378" s="218" t="s">
        <v>396</v>
      </c>
      <c r="C378" s="210" t="s">
        <v>19</v>
      </c>
      <c r="D378" s="211" t="s">
        <v>433</v>
      </c>
      <c r="E378" s="219" t="s">
        <v>1738</v>
      </c>
    </row>
    <row r="379" spans="2:5">
      <c r="B379" s="218" t="s">
        <v>396</v>
      </c>
      <c r="C379" s="210" t="s">
        <v>19</v>
      </c>
      <c r="D379" s="211" t="s">
        <v>434</v>
      </c>
      <c r="E379" s="219" t="s">
        <v>1738</v>
      </c>
    </row>
    <row r="380" spans="2:5">
      <c r="B380" s="218" t="s">
        <v>396</v>
      </c>
      <c r="C380" s="210" t="s">
        <v>19</v>
      </c>
      <c r="D380" s="211" t="s">
        <v>435</v>
      </c>
      <c r="E380" s="219" t="s">
        <v>1738</v>
      </c>
    </row>
    <row r="381" spans="2:5">
      <c r="B381" s="218" t="s">
        <v>396</v>
      </c>
      <c r="C381" s="210" t="s">
        <v>19</v>
      </c>
      <c r="D381" s="211" t="s">
        <v>436</v>
      </c>
      <c r="E381" s="219" t="s">
        <v>1738</v>
      </c>
    </row>
    <row r="382" spans="2:5">
      <c r="B382" s="218" t="s">
        <v>396</v>
      </c>
      <c r="C382" s="210" t="s">
        <v>19</v>
      </c>
      <c r="D382" s="211" t="s">
        <v>437</v>
      </c>
      <c r="E382" s="219" t="s">
        <v>1738</v>
      </c>
    </row>
    <row r="383" spans="2:5">
      <c r="B383" s="218" t="s">
        <v>396</v>
      </c>
      <c r="C383" s="210" t="s">
        <v>19</v>
      </c>
      <c r="D383" s="211" t="s">
        <v>438</v>
      </c>
      <c r="E383" s="219" t="s">
        <v>1738</v>
      </c>
    </row>
    <row r="384" spans="2:5">
      <c r="B384" s="218" t="s">
        <v>396</v>
      </c>
      <c r="C384" s="210" t="s">
        <v>19</v>
      </c>
      <c r="D384" s="211" t="s">
        <v>439</v>
      </c>
      <c r="E384" s="219" t="s">
        <v>1738</v>
      </c>
    </row>
    <row r="385" spans="2:5">
      <c r="B385" s="218" t="s">
        <v>396</v>
      </c>
      <c r="C385" s="210" t="s">
        <v>19</v>
      </c>
      <c r="D385" s="211" t="s">
        <v>440</v>
      </c>
      <c r="E385" s="219" t="s">
        <v>1738</v>
      </c>
    </row>
    <row r="386" spans="2:5">
      <c r="B386" s="218" t="s">
        <v>396</v>
      </c>
      <c r="C386" s="210" t="s">
        <v>19</v>
      </c>
      <c r="D386" s="211" t="s">
        <v>441</v>
      </c>
      <c r="E386" s="219" t="s">
        <v>1738</v>
      </c>
    </row>
    <row r="387" spans="2:5">
      <c r="B387" s="218" t="s">
        <v>396</v>
      </c>
      <c r="C387" s="210" t="s">
        <v>19</v>
      </c>
      <c r="D387" s="211" t="s">
        <v>442</v>
      </c>
      <c r="E387" s="219" t="s">
        <v>1738</v>
      </c>
    </row>
    <row r="388" spans="2:5">
      <c r="B388" s="218" t="s">
        <v>396</v>
      </c>
      <c r="C388" s="210" t="s">
        <v>19</v>
      </c>
      <c r="D388" s="211" t="s">
        <v>443</v>
      </c>
      <c r="E388" s="219" t="s">
        <v>1738</v>
      </c>
    </row>
    <row r="389" spans="2:5">
      <c r="B389" s="218" t="s">
        <v>396</v>
      </c>
      <c r="C389" s="210" t="s">
        <v>19</v>
      </c>
      <c r="D389" s="211" t="s">
        <v>444</v>
      </c>
      <c r="E389" s="219" t="s">
        <v>1738</v>
      </c>
    </row>
    <row r="390" spans="2:5">
      <c r="B390" s="218" t="s">
        <v>396</v>
      </c>
      <c r="C390" s="210" t="s">
        <v>19</v>
      </c>
      <c r="D390" s="211" t="s">
        <v>445</v>
      </c>
      <c r="E390" s="219" t="s">
        <v>1738</v>
      </c>
    </row>
    <row r="391" spans="2:5">
      <c r="B391" s="218" t="s">
        <v>396</v>
      </c>
      <c r="C391" s="210" t="s">
        <v>19</v>
      </c>
      <c r="D391" s="211" t="s">
        <v>446</v>
      </c>
      <c r="E391" s="219" t="s">
        <v>1738</v>
      </c>
    </row>
    <row r="392" spans="2:5">
      <c r="B392" s="218" t="s">
        <v>396</v>
      </c>
      <c r="C392" s="210" t="s">
        <v>19</v>
      </c>
      <c r="D392" s="211" t="s">
        <v>447</v>
      </c>
      <c r="E392" s="219" t="s">
        <v>1738</v>
      </c>
    </row>
    <row r="393" spans="2:5">
      <c r="B393" s="218" t="s">
        <v>396</v>
      </c>
      <c r="C393" s="210" t="s">
        <v>19</v>
      </c>
      <c r="D393" s="211" t="s">
        <v>448</v>
      </c>
      <c r="E393" s="219" t="s">
        <v>1738</v>
      </c>
    </row>
    <row r="394" spans="2:5">
      <c r="B394" s="218" t="s">
        <v>396</v>
      </c>
      <c r="C394" s="210" t="s">
        <v>19</v>
      </c>
      <c r="D394" s="211" t="s">
        <v>449</v>
      </c>
      <c r="E394" s="219" t="s">
        <v>1738</v>
      </c>
    </row>
    <row r="395" spans="2:5">
      <c r="B395" s="218" t="s">
        <v>396</v>
      </c>
      <c r="C395" s="210" t="s">
        <v>19</v>
      </c>
      <c r="D395" s="211" t="s">
        <v>450</v>
      </c>
      <c r="E395" s="219" t="s">
        <v>1738</v>
      </c>
    </row>
    <row r="396" spans="2:5">
      <c r="B396" s="218" t="s">
        <v>396</v>
      </c>
      <c r="C396" s="210" t="s">
        <v>19</v>
      </c>
      <c r="D396" s="211" t="s">
        <v>451</v>
      </c>
      <c r="E396" s="219" t="s">
        <v>1738</v>
      </c>
    </row>
    <row r="397" spans="2:5">
      <c r="B397" s="218" t="s">
        <v>396</v>
      </c>
      <c r="C397" s="210" t="s">
        <v>19</v>
      </c>
      <c r="D397" s="211" t="s">
        <v>452</v>
      </c>
      <c r="E397" s="219" t="s">
        <v>1738</v>
      </c>
    </row>
    <row r="398" spans="2:5">
      <c r="B398" s="218" t="s">
        <v>396</v>
      </c>
      <c r="C398" s="210" t="s">
        <v>19</v>
      </c>
      <c r="D398" s="211" t="s">
        <v>453</v>
      </c>
      <c r="E398" s="219" t="s">
        <v>1738</v>
      </c>
    </row>
    <row r="399" spans="2:5">
      <c r="B399" s="218" t="s">
        <v>396</v>
      </c>
      <c r="C399" s="210" t="s">
        <v>19</v>
      </c>
      <c r="D399" s="211" t="s">
        <v>454</v>
      </c>
      <c r="E399" s="219" t="s">
        <v>1738</v>
      </c>
    </row>
    <row r="400" spans="2:5">
      <c r="B400" s="218" t="s">
        <v>396</v>
      </c>
      <c r="C400" s="210" t="s">
        <v>19</v>
      </c>
      <c r="D400" s="211" t="s">
        <v>455</v>
      </c>
      <c r="E400" s="219" t="s">
        <v>1738</v>
      </c>
    </row>
    <row r="401" spans="2:5">
      <c r="B401" s="218" t="s">
        <v>396</v>
      </c>
      <c r="C401" s="210" t="s">
        <v>19</v>
      </c>
      <c r="D401" s="211" t="s">
        <v>456</v>
      </c>
      <c r="E401" s="219" t="s">
        <v>1738</v>
      </c>
    </row>
    <row r="402" spans="2:5">
      <c r="B402" s="218" t="s">
        <v>396</v>
      </c>
      <c r="C402" s="210" t="s">
        <v>19</v>
      </c>
      <c r="D402" s="211" t="s">
        <v>457</v>
      </c>
      <c r="E402" s="219" t="s">
        <v>1738</v>
      </c>
    </row>
    <row r="403" spans="2:5">
      <c r="B403" s="218" t="s">
        <v>396</v>
      </c>
      <c r="C403" s="210" t="s">
        <v>19</v>
      </c>
      <c r="D403" s="211" t="s">
        <v>458</v>
      </c>
      <c r="E403" s="219" t="s">
        <v>1738</v>
      </c>
    </row>
    <row r="404" spans="2:5">
      <c r="B404" s="218" t="s">
        <v>396</v>
      </c>
      <c r="C404" s="210" t="s">
        <v>19</v>
      </c>
      <c r="D404" s="211" t="s">
        <v>459</v>
      </c>
      <c r="E404" s="219" t="s">
        <v>1738</v>
      </c>
    </row>
    <row r="405" spans="2:5">
      <c r="B405" s="218" t="s">
        <v>396</v>
      </c>
      <c r="C405" s="210" t="s">
        <v>19</v>
      </c>
      <c r="D405" s="211" t="s">
        <v>460</v>
      </c>
      <c r="E405" s="219" t="s">
        <v>1738</v>
      </c>
    </row>
    <row r="406" spans="2:5">
      <c r="B406" s="218" t="s">
        <v>396</v>
      </c>
      <c r="C406" s="210" t="s">
        <v>19</v>
      </c>
      <c r="D406" s="211" t="s">
        <v>461</v>
      </c>
      <c r="E406" s="219" t="s">
        <v>1738</v>
      </c>
    </row>
    <row r="407" spans="2:5">
      <c r="B407" s="218" t="s">
        <v>396</v>
      </c>
      <c r="C407" s="210" t="s">
        <v>19</v>
      </c>
      <c r="D407" s="211" t="s">
        <v>462</v>
      </c>
      <c r="E407" s="219" t="s">
        <v>1738</v>
      </c>
    </row>
    <row r="408" spans="2:5">
      <c r="B408" s="218" t="s">
        <v>396</v>
      </c>
      <c r="C408" s="210" t="s">
        <v>19</v>
      </c>
      <c r="D408" s="211" t="s">
        <v>463</v>
      </c>
      <c r="E408" s="219" t="s">
        <v>1738</v>
      </c>
    </row>
    <row r="409" spans="2:5">
      <c r="B409" s="218" t="s">
        <v>396</v>
      </c>
      <c r="C409" s="210" t="s">
        <v>19</v>
      </c>
      <c r="D409" s="211" t="s">
        <v>464</v>
      </c>
      <c r="E409" s="219" t="s">
        <v>1738</v>
      </c>
    </row>
    <row r="410" spans="2:5">
      <c r="B410" s="218" t="s">
        <v>396</v>
      </c>
      <c r="C410" s="210" t="s">
        <v>19</v>
      </c>
      <c r="D410" s="211" t="s">
        <v>465</v>
      </c>
      <c r="E410" s="219" t="s">
        <v>1738</v>
      </c>
    </row>
    <row r="411" spans="2:5">
      <c r="B411" s="218" t="s">
        <v>396</v>
      </c>
      <c r="C411" s="210" t="s">
        <v>19</v>
      </c>
      <c r="D411" s="211" t="s">
        <v>466</v>
      </c>
      <c r="E411" s="219" t="s">
        <v>1738</v>
      </c>
    </row>
    <row r="412" spans="2:5">
      <c r="B412" s="218" t="s">
        <v>396</v>
      </c>
      <c r="C412" s="210" t="s">
        <v>19</v>
      </c>
      <c r="D412" s="211" t="s">
        <v>467</v>
      </c>
      <c r="E412" s="219" t="s">
        <v>1738</v>
      </c>
    </row>
    <row r="413" spans="2:5">
      <c r="B413" s="218" t="s">
        <v>396</v>
      </c>
      <c r="C413" s="210" t="s">
        <v>19</v>
      </c>
      <c r="D413" s="211" t="s">
        <v>468</v>
      </c>
      <c r="E413" s="219" t="s">
        <v>1738</v>
      </c>
    </row>
    <row r="414" spans="2:5">
      <c r="B414" s="218" t="s">
        <v>396</v>
      </c>
      <c r="C414" s="210" t="s">
        <v>19</v>
      </c>
      <c r="D414" s="211" t="s">
        <v>469</v>
      </c>
      <c r="E414" s="219" t="s">
        <v>1738</v>
      </c>
    </row>
    <row r="415" spans="2:5">
      <c r="B415" s="218" t="s">
        <v>396</v>
      </c>
      <c r="C415" s="210" t="s">
        <v>19</v>
      </c>
      <c r="D415" s="211" t="s">
        <v>470</v>
      </c>
      <c r="E415" s="219" t="s">
        <v>1738</v>
      </c>
    </row>
    <row r="416" spans="2:5">
      <c r="B416" s="218" t="s">
        <v>396</v>
      </c>
      <c r="C416" s="210" t="s">
        <v>19</v>
      </c>
      <c r="D416" s="211" t="s">
        <v>471</v>
      </c>
      <c r="E416" s="219" t="s">
        <v>1738</v>
      </c>
    </row>
    <row r="417" spans="2:5">
      <c r="B417" s="218" t="s">
        <v>396</v>
      </c>
      <c r="C417" s="210" t="s">
        <v>19</v>
      </c>
      <c r="D417" s="211" t="s">
        <v>472</v>
      </c>
      <c r="E417" s="219" t="s">
        <v>1738</v>
      </c>
    </row>
    <row r="418" spans="2:5">
      <c r="B418" s="218" t="s">
        <v>396</v>
      </c>
      <c r="C418" s="210" t="s">
        <v>19</v>
      </c>
      <c r="D418" s="211" t="s">
        <v>473</v>
      </c>
      <c r="E418" s="219" t="s">
        <v>1738</v>
      </c>
    </row>
    <row r="419" spans="2:5">
      <c r="B419" s="218" t="s">
        <v>396</v>
      </c>
      <c r="C419" s="210" t="s">
        <v>19</v>
      </c>
      <c r="D419" s="211" t="s">
        <v>474</v>
      </c>
      <c r="E419" s="219" t="s">
        <v>1738</v>
      </c>
    </row>
    <row r="420" spans="2:5">
      <c r="B420" s="218" t="s">
        <v>396</v>
      </c>
      <c r="C420" s="210" t="s">
        <v>19</v>
      </c>
      <c r="D420" s="211" t="s">
        <v>475</v>
      </c>
      <c r="E420" s="219" t="s">
        <v>1738</v>
      </c>
    </row>
    <row r="421" spans="2:5">
      <c r="B421" s="218" t="s">
        <v>396</v>
      </c>
      <c r="C421" s="210" t="s">
        <v>19</v>
      </c>
      <c r="D421" s="211" t="s">
        <v>476</v>
      </c>
      <c r="E421" s="219" t="s">
        <v>1738</v>
      </c>
    </row>
    <row r="422" spans="2:5">
      <c r="B422" s="218" t="s">
        <v>396</v>
      </c>
      <c r="C422" s="210" t="s">
        <v>19</v>
      </c>
      <c r="D422" s="211" t="s">
        <v>477</v>
      </c>
      <c r="E422" s="219" t="s">
        <v>1738</v>
      </c>
    </row>
    <row r="423" spans="2:5">
      <c r="B423" s="218" t="s">
        <v>396</v>
      </c>
      <c r="C423" s="210" t="s">
        <v>19</v>
      </c>
      <c r="D423" s="211" t="s">
        <v>478</v>
      </c>
      <c r="E423" s="219" t="s">
        <v>1738</v>
      </c>
    </row>
    <row r="424" spans="2:5">
      <c r="B424" s="218" t="s">
        <v>396</v>
      </c>
      <c r="C424" s="210" t="s">
        <v>19</v>
      </c>
      <c r="D424" s="211" t="s">
        <v>479</v>
      </c>
      <c r="E424" s="219" t="s">
        <v>1738</v>
      </c>
    </row>
    <row r="425" spans="2:5">
      <c r="B425" s="218" t="s">
        <v>396</v>
      </c>
      <c r="C425" s="210" t="s">
        <v>19</v>
      </c>
      <c r="D425" s="211" t="s">
        <v>480</v>
      </c>
      <c r="E425" s="219" t="s">
        <v>1738</v>
      </c>
    </row>
    <row r="426" spans="2:5">
      <c r="B426" s="218" t="s">
        <v>396</v>
      </c>
      <c r="C426" s="210" t="s">
        <v>19</v>
      </c>
      <c r="D426" s="211" t="s">
        <v>481</v>
      </c>
      <c r="E426" s="219" t="s">
        <v>1738</v>
      </c>
    </row>
    <row r="427" spans="2:5">
      <c r="B427" s="218" t="s">
        <v>396</v>
      </c>
      <c r="C427" s="210" t="s">
        <v>19</v>
      </c>
      <c r="D427" s="211" t="s">
        <v>482</v>
      </c>
      <c r="E427" s="219" t="s">
        <v>1738</v>
      </c>
    </row>
    <row r="428" spans="2:5">
      <c r="B428" s="218" t="s">
        <v>396</v>
      </c>
      <c r="C428" s="210" t="s">
        <v>19</v>
      </c>
      <c r="D428" s="211" t="s">
        <v>483</v>
      </c>
      <c r="E428" s="219" t="s">
        <v>1738</v>
      </c>
    </row>
    <row r="429" spans="2:5">
      <c r="B429" s="218" t="s">
        <v>396</v>
      </c>
      <c r="C429" s="210" t="s">
        <v>19</v>
      </c>
      <c r="D429" s="211" t="s">
        <v>484</v>
      </c>
      <c r="E429" s="219" t="s">
        <v>1738</v>
      </c>
    </row>
    <row r="430" spans="2:5">
      <c r="B430" s="218" t="s">
        <v>396</v>
      </c>
      <c r="C430" s="210" t="s">
        <v>19</v>
      </c>
      <c r="D430" s="211" t="s">
        <v>485</v>
      </c>
      <c r="E430" s="219" t="s">
        <v>1738</v>
      </c>
    </row>
    <row r="431" spans="2:5">
      <c r="B431" s="218" t="s">
        <v>396</v>
      </c>
      <c r="C431" s="210" t="s">
        <v>19</v>
      </c>
      <c r="D431" s="211" t="s">
        <v>486</v>
      </c>
      <c r="E431" s="219" t="s">
        <v>1738</v>
      </c>
    </row>
    <row r="432" spans="2:5">
      <c r="B432" s="218" t="s">
        <v>396</v>
      </c>
      <c r="C432" s="210" t="s">
        <v>19</v>
      </c>
      <c r="D432" s="211" t="s">
        <v>487</v>
      </c>
      <c r="E432" s="219" t="s">
        <v>1738</v>
      </c>
    </row>
    <row r="433" spans="2:5">
      <c r="B433" s="218" t="s">
        <v>396</v>
      </c>
      <c r="C433" s="210" t="s">
        <v>19</v>
      </c>
      <c r="D433" s="211" t="s">
        <v>488</v>
      </c>
      <c r="E433" s="219" t="s">
        <v>1738</v>
      </c>
    </row>
    <row r="434" spans="2:5">
      <c r="B434" s="218" t="s">
        <v>396</v>
      </c>
      <c r="C434" s="210" t="s">
        <v>19</v>
      </c>
      <c r="D434" s="211" t="s">
        <v>489</v>
      </c>
      <c r="E434" s="219" t="s">
        <v>1738</v>
      </c>
    </row>
    <row r="435" spans="2:5">
      <c r="B435" s="218" t="s">
        <v>396</v>
      </c>
      <c r="C435" s="210" t="s">
        <v>19</v>
      </c>
      <c r="D435" s="211" t="s">
        <v>490</v>
      </c>
      <c r="E435" s="219" t="s">
        <v>1738</v>
      </c>
    </row>
    <row r="436" spans="2:5">
      <c r="B436" s="218" t="s">
        <v>396</v>
      </c>
      <c r="C436" s="210" t="s">
        <v>19</v>
      </c>
      <c r="D436" s="211" t="s">
        <v>491</v>
      </c>
      <c r="E436" s="219" t="s">
        <v>1738</v>
      </c>
    </row>
    <row r="437" spans="2:5">
      <c r="B437" s="218" t="s">
        <v>396</v>
      </c>
      <c r="C437" s="210" t="s">
        <v>19</v>
      </c>
      <c r="D437" s="211" t="s">
        <v>492</v>
      </c>
      <c r="E437" s="219" t="s">
        <v>1738</v>
      </c>
    </row>
    <row r="438" spans="2:5">
      <c r="B438" s="218" t="s">
        <v>396</v>
      </c>
      <c r="C438" s="210" t="s">
        <v>19</v>
      </c>
      <c r="D438" s="211" t="s">
        <v>493</v>
      </c>
      <c r="E438" s="219" t="s">
        <v>1738</v>
      </c>
    </row>
    <row r="439" spans="2:5">
      <c r="B439" s="218" t="s">
        <v>396</v>
      </c>
      <c r="C439" s="210" t="s">
        <v>19</v>
      </c>
      <c r="D439" s="211" t="s">
        <v>494</v>
      </c>
      <c r="E439" s="219" t="s">
        <v>1738</v>
      </c>
    </row>
    <row r="440" spans="2:5">
      <c r="B440" s="218" t="s">
        <v>396</v>
      </c>
      <c r="C440" s="210" t="s">
        <v>19</v>
      </c>
      <c r="D440" s="211" t="s">
        <v>495</v>
      </c>
      <c r="E440" s="219" t="s">
        <v>1738</v>
      </c>
    </row>
    <row r="441" spans="2:5">
      <c r="B441" s="218" t="s">
        <v>396</v>
      </c>
      <c r="C441" s="210" t="s">
        <v>19</v>
      </c>
      <c r="D441" s="211" t="s">
        <v>496</v>
      </c>
      <c r="E441" s="219" t="s">
        <v>1738</v>
      </c>
    </row>
    <row r="442" spans="2:5">
      <c r="B442" s="218" t="s">
        <v>396</v>
      </c>
      <c r="C442" s="210" t="s">
        <v>19</v>
      </c>
      <c r="D442" s="211" t="s">
        <v>497</v>
      </c>
      <c r="E442" s="219" t="s">
        <v>1738</v>
      </c>
    </row>
    <row r="443" spans="2:5">
      <c r="B443" s="218" t="s">
        <v>396</v>
      </c>
      <c r="C443" s="210" t="s">
        <v>19</v>
      </c>
      <c r="D443" s="211" t="s">
        <v>498</v>
      </c>
      <c r="E443" s="219" t="s">
        <v>1738</v>
      </c>
    </row>
    <row r="444" spans="2:5">
      <c r="B444" s="218" t="s">
        <v>396</v>
      </c>
      <c r="C444" s="210" t="s">
        <v>19</v>
      </c>
      <c r="D444" s="211" t="s">
        <v>499</v>
      </c>
      <c r="E444" s="219" t="s">
        <v>1738</v>
      </c>
    </row>
    <row r="445" spans="2:5">
      <c r="B445" s="218" t="s">
        <v>396</v>
      </c>
      <c r="C445" s="210" t="s">
        <v>19</v>
      </c>
      <c r="D445" s="211" t="s">
        <v>500</v>
      </c>
      <c r="E445" s="219" t="s">
        <v>1738</v>
      </c>
    </row>
    <row r="446" spans="2:5">
      <c r="B446" s="218" t="s">
        <v>396</v>
      </c>
      <c r="C446" s="210" t="s">
        <v>19</v>
      </c>
      <c r="D446" s="211" t="s">
        <v>501</v>
      </c>
      <c r="E446" s="219" t="s">
        <v>1738</v>
      </c>
    </row>
    <row r="447" spans="2:5">
      <c r="B447" s="218" t="s">
        <v>396</v>
      </c>
      <c r="C447" s="210" t="s">
        <v>19</v>
      </c>
      <c r="D447" s="211" t="s">
        <v>502</v>
      </c>
      <c r="E447" s="219" t="s">
        <v>1738</v>
      </c>
    </row>
    <row r="448" spans="2:5">
      <c r="B448" s="218" t="s">
        <v>396</v>
      </c>
      <c r="C448" s="210" t="s">
        <v>19</v>
      </c>
      <c r="D448" s="211" t="s">
        <v>503</v>
      </c>
      <c r="E448" s="219" t="s">
        <v>1738</v>
      </c>
    </row>
    <row r="449" spans="2:5">
      <c r="B449" s="218" t="s">
        <v>396</v>
      </c>
      <c r="C449" s="210" t="s">
        <v>19</v>
      </c>
      <c r="D449" s="211" t="s">
        <v>504</v>
      </c>
      <c r="E449" s="219" t="s">
        <v>1738</v>
      </c>
    </row>
    <row r="450" spans="2:5">
      <c r="B450" s="218" t="s">
        <v>396</v>
      </c>
      <c r="C450" s="210" t="s">
        <v>19</v>
      </c>
      <c r="D450" s="211" t="s">
        <v>505</v>
      </c>
      <c r="E450" s="219" t="s">
        <v>1738</v>
      </c>
    </row>
    <row r="451" spans="2:5">
      <c r="B451" s="218" t="s">
        <v>396</v>
      </c>
      <c r="C451" s="210" t="s">
        <v>19</v>
      </c>
      <c r="D451" s="211" t="s">
        <v>506</v>
      </c>
      <c r="E451" s="219" t="s">
        <v>1738</v>
      </c>
    </row>
    <row r="452" spans="2:5">
      <c r="B452" s="218" t="s">
        <v>396</v>
      </c>
      <c r="C452" s="210" t="s">
        <v>19</v>
      </c>
      <c r="D452" s="211" t="s">
        <v>507</v>
      </c>
      <c r="E452" s="219" t="s">
        <v>1738</v>
      </c>
    </row>
    <row r="453" spans="2:5">
      <c r="B453" s="218" t="s">
        <v>396</v>
      </c>
      <c r="C453" s="210" t="s">
        <v>19</v>
      </c>
      <c r="D453" s="211" t="s">
        <v>508</v>
      </c>
      <c r="E453" s="219" t="s">
        <v>1738</v>
      </c>
    </row>
    <row r="454" spans="2:5">
      <c r="B454" s="218" t="s">
        <v>396</v>
      </c>
      <c r="C454" s="210" t="s">
        <v>19</v>
      </c>
      <c r="D454" s="211" t="s">
        <v>509</v>
      </c>
      <c r="E454" s="219" t="s">
        <v>1738</v>
      </c>
    </row>
    <row r="455" spans="2:5">
      <c r="B455" s="218" t="s">
        <v>396</v>
      </c>
      <c r="C455" s="210" t="s">
        <v>19</v>
      </c>
      <c r="D455" s="211" t="s">
        <v>510</v>
      </c>
      <c r="E455" s="219" t="s">
        <v>1738</v>
      </c>
    </row>
    <row r="456" spans="2:5">
      <c r="B456" s="218" t="s">
        <v>396</v>
      </c>
      <c r="C456" s="210" t="s">
        <v>19</v>
      </c>
      <c r="D456" s="211" t="s">
        <v>511</v>
      </c>
      <c r="E456" s="219" t="s">
        <v>1738</v>
      </c>
    </row>
    <row r="457" spans="2:5">
      <c r="B457" s="218" t="s">
        <v>396</v>
      </c>
      <c r="C457" s="210" t="s">
        <v>19</v>
      </c>
      <c r="D457" s="211" t="s">
        <v>512</v>
      </c>
      <c r="E457" s="219" t="s">
        <v>1738</v>
      </c>
    </row>
    <row r="458" spans="2:5">
      <c r="B458" s="218" t="s">
        <v>396</v>
      </c>
      <c r="C458" s="210" t="s">
        <v>19</v>
      </c>
      <c r="D458" s="211" t="s">
        <v>513</v>
      </c>
      <c r="E458" s="219" t="s">
        <v>1738</v>
      </c>
    </row>
    <row r="459" spans="2:5">
      <c r="B459" s="218" t="s">
        <v>396</v>
      </c>
      <c r="C459" s="210" t="s">
        <v>19</v>
      </c>
      <c r="D459" s="211" t="s">
        <v>514</v>
      </c>
      <c r="E459" s="219" t="s">
        <v>1738</v>
      </c>
    </row>
    <row r="460" spans="2:5">
      <c r="B460" s="218" t="s">
        <v>396</v>
      </c>
      <c r="C460" s="210" t="s">
        <v>19</v>
      </c>
      <c r="D460" s="211" t="s">
        <v>515</v>
      </c>
      <c r="E460" s="219" t="s">
        <v>1738</v>
      </c>
    </row>
    <row r="461" spans="2:5">
      <c r="B461" s="218" t="s">
        <v>396</v>
      </c>
      <c r="C461" s="210" t="s">
        <v>19</v>
      </c>
      <c r="D461" s="211" t="s">
        <v>516</v>
      </c>
      <c r="E461" s="219" t="s">
        <v>1738</v>
      </c>
    </row>
    <row r="462" spans="2:5">
      <c r="B462" s="218" t="s">
        <v>396</v>
      </c>
      <c r="C462" s="210" t="s">
        <v>19</v>
      </c>
      <c r="D462" s="211" t="s">
        <v>517</v>
      </c>
      <c r="E462" s="219" t="s">
        <v>1738</v>
      </c>
    </row>
    <row r="463" spans="2:5">
      <c r="B463" s="218" t="s">
        <v>396</v>
      </c>
      <c r="C463" s="210" t="s">
        <v>19</v>
      </c>
      <c r="D463" s="211" t="s">
        <v>518</v>
      </c>
      <c r="E463" s="219" t="s">
        <v>1738</v>
      </c>
    </row>
    <row r="464" spans="2:5">
      <c r="B464" s="218" t="s">
        <v>396</v>
      </c>
      <c r="C464" s="210" t="s">
        <v>19</v>
      </c>
      <c r="D464" s="211" t="s">
        <v>519</v>
      </c>
      <c r="E464" s="219" t="s">
        <v>1738</v>
      </c>
    </row>
    <row r="465" spans="2:5">
      <c r="B465" s="218" t="s">
        <v>396</v>
      </c>
      <c r="C465" s="210" t="s">
        <v>19</v>
      </c>
      <c r="D465" s="211" t="s">
        <v>520</v>
      </c>
      <c r="E465" s="219" t="s">
        <v>1738</v>
      </c>
    </row>
    <row r="466" spans="2:5">
      <c r="B466" s="218" t="s">
        <v>396</v>
      </c>
      <c r="C466" s="210" t="s">
        <v>19</v>
      </c>
      <c r="D466" s="211" t="s">
        <v>521</v>
      </c>
      <c r="E466" s="219" t="s">
        <v>1738</v>
      </c>
    </row>
    <row r="467" spans="2:5">
      <c r="B467" s="218" t="s">
        <v>396</v>
      </c>
      <c r="C467" s="210" t="s">
        <v>19</v>
      </c>
      <c r="D467" s="211" t="s">
        <v>522</v>
      </c>
      <c r="E467" s="219" t="s">
        <v>1738</v>
      </c>
    </row>
    <row r="468" spans="2:5">
      <c r="B468" s="218" t="s">
        <v>396</v>
      </c>
      <c r="C468" s="210" t="s">
        <v>19</v>
      </c>
      <c r="D468" s="211" t="s">
        <v>523</v>
      </c>
      <c r="E468" s="219" t="s">
        <v>1738</v>
      </c>
    </row>
    <row r="469" spans="2:5">
      <c r="B469" s="218" t="s">
        <v>396</v>
      </c>
      <c r="C469" s="210" t="s">
        <v>19</v>
      </c>
      <c r="D469" s="211" t="s">
        <v>524</v>
      </c>
      <c r="E469" s="219" t="s">
        <v>1738</v>
      </c>
    </row>
    <row r="470" spans="2:5">
      <c r="B470" s="218" t="s">
        <v>396</v>
      </c>
      <c r="C470" s="210" t="s">
        <v>19</v>
      </c>
      <c r="D470" s="211" t="s">
        <v>525</v>
      </c>
      <c r="E470" s="219" t="s">
        <v>1738</v>
      </c>
    </row>
    <row r="471" spans="2:5">
      <c r="B471" s="218" t="s">
        <v>396</v>
      </c>
      <c r="C471" s="210" t="s">
        <v>19</v>
      </c>
      <c r="D471" s="211" t="s">
        <v>526</v>
      </c>
      <c r="E471" s="219" t="s">
        <v>1738</v>
      </c>
    </row>
    <row r="472" spans="2:5">
      <c r="B472" s="218" t="s">
        <v>396</v>
      </c>
      <c r="C472" s="210" t="s">
        <v>19</v>
      </c>
      <c r="D472" s="211" t="s">
        <v>527</v>
      </c>
      <c r="E472" s="219" t="s">
        <v>1738</v>
      </c>
    </row>
    <row r="473" spans="2:5">
      <c r="B473" s="218" t="s">
        <v>396</v>
      </c>
      <c r="C473" s="210" t="s">
        <v>19</v>
      </c>
      <c r="D473" s="211" t="s">
        <v>528</v>
      </c>
      <c r="E473" s="219" t="s">
        <v>1738</v>
      </c>
    </row>
    <row r="474" spans="2:5">
      <c r="B474" s="218" t="s">
        <v>396</v>
      </c>
      <c r="C474" s="210" t="s">
        <v>19</v>
      </c>
      <c r="D474" s="211" t="s">
        <v>529</v>
      </c>
      <c r="E474" s="219" t="s">
        <v>1738</v>
      </c>
    </row>
    <row r="475" spans="2:5">
      <c r="B475" s="218" t="s">
        <v>396</v>
      </c>
      <c r="C475" s="210" t="s">
        <v>19</v>
      </c>
      <c r="D475" s="211" t="s">
        <v>530</v>
      </c>
      <c r="E475" s="219" t="s">
        <v>1738</v>
      </c>
    </row>
    <row r="476" spans="2:5">
      <c r="B476" s="218" t="s">
        <v>396</v>
      </c>
      <c r="C476" s="210" t="s">
        <v>19</v>
      </c>
      <c r="D476" s="211" t="s">
        <v>531</v>
      </c>
      <c r="E476" s="219" t="s">
        <v>1738</v>
      </c>
    </row>
    <row r="477" spans="2:5">
      <c r="B477" s="218" t="s">
        <v>396</v>
      </c>
      <c r="C477" s="210" t="s">
        <v>19</v>
      </c>
      <c r="D477" s="211" t="s">
        <v>532</v>
      </c>
      <c r="E477" s="219" t="s">
        <v>1738</v>
      </c>
    </row>
    <row r="478" spans="2:5">
      <c r="B478" s="218" t="s">
        <v>396</v>
      </c>
      <c r="C478" s="210" t="s">
        <v>19</v>
      </c>
      <c r="D478" s="211" t="s">
        <v>533</v>
      </c>
      <c r="E478" s="219" t="s">
        <v>1738</v>
      </c>
    </row>
    <row r="479" spans="2:5">
      <c r="B479" s="218" t="s">
        <v>396</v>
      </c>
      <c r="C479" s="210" t="s">
        <v>19</v>
      </c>
      <c r="D479" s="211" t="s">
        <v>534</v>
      </c>
      <c r="E479" s="219" t="s">
        <v>1738</v>
      </c>
    </row>
    <row r="480" spans="2:5">
      <c r="B480" s="218" t="s">
        <v>396</v>
      </c>
      <c r="C480" s="210" t="s">
        <v>19</v>
      </c>
      <c r="D480" s="211" t="s">
        <v>535</v>
      </c>
      <c r="E480" s="219" t="s">
        <v>1738</v>
      </c>
    </row>
    <row r="481" spans="2:5">
      <c r="B481" s="218" t="s">
        <v>396</v>
      </c>
      <c r="C481" s="210" t="s">
        <v>19</v>
      </c>
      <c r="D481" s="211" t="s">
        <v>536</v>
      </c>
      <c r="E481" s="219" t="s">
        <v>1738</v>
      </c>
    </row>
    <row r="482" spans="2:5">
      <c r="B482" s="218" t="s">
        <v>396</v>
      </c>
      <c r="C482" s="210" t="s">
        <v>19</v>
      </c>
      <c r="D482" s="211" t="s">
        <v>537</v>
      </c>
      <c r="E482" s="219" t="s">
        <v>1738</v>
      </c>
    </row>
    <row r="483" spans="2:5">
      <c r="B483" s="218" t="s">
        <v>396</v>
      </c>
      <c r="C483" s="210" t="s">
        <v>19</v>
      </c>
      <c r="D483" s="211" t="s">
        <v>538</v>
      </c>
      <c r="E483" s="219" t="s">
        <v>1738</v>
      </c>
    </row>
    <row r="484" spans="2:5">
      <c r="B484" s="218" t="s">
        <v>396</v>
      </c>
      <c r="C484" s="210" t="s">
        <v>19</v>
      </c>
      <c r="D484" s="211" t="s">
        <v>539</v>
      </c>
      <c r="E484" s="219" t="s">
        <v>1738</v>
      </c>
    </row>
    <row r="485" spans="2:5">
      <c r="B485" s="218" t="s">
        <v>396</v>
      </c>
      <c r="C485" s="210" t="s">
        <v>19</v>
      </c>
      <c r="D485" s="211" t="s">
        <v>540</v>
      </c>
      <c r="E485" s="219" t="s">
        <v>1738</v>
      </c>
    </row>
    <row r="486" spans="2:5">
      <c r="B486" s="218" t="s">
        <v>396</v>
      </c>
      <c r="C486" s="210" t="s">
        <v>19</v>
      </c>
      <c r="D486" s="211" t="s">
        <v>541</v>
      </c>
      <c r="E486" s="219" t="s">
        <v>1738</v>
      </c>
    </row>
    <row r="487" spans="2:5">
      <c r="B487" s="218" t="s">
        <v>396</v>
      </c>
      <c r="C487" s="210" t="s">
        <v>19</v>
      </c>
      <c r="D487" s="211" t="s">
        <v>542</v>
      </c>
      <c r="E487" s="219" t="s">
        <v>1738</v>
      </c>
    </row>
    <row r="488" spans="2:5">
      <c r="B488" s="218" t="s">
        <v>396</v>
      </c>
      <c r="C488" s="210" t="s">
        <v>19</v>
      </c>
      <c r="D488" s="211" t="s">
        <v>543</v>
      </c>
      <c r="E488" s="219" t="s">
        <v>1738</v>
      </c>
    </row>
    <row r="489" spans="2:5">
      <c r="B489" s="218" t="s">
        <v>396</v>
      </c>
      <c r="C489" s="210" t="s">
        <v>19</v>
      </c>
      <c r="D489" s="211" t="s">
        <v>544</v>
      </c>
      <c r="E489" s="219" t="s">
        <v>1738</v>
      </c>
    </row>
    <row r="490" spans="2:5">
      <c r="B490" s="218" t="s">
        <v>396</v>
      </c>
      <c r="C490" s="210" t="s">
        <v>19</v>
      </c>
      <c r="D490" s="211" t="s">
        <v>545</v>
      </c>
      <c r="E490" s="219" t="s">
        <v>1738</v>
      </c>
    </row>
    <row r="491" spans="2:5">
      <c r="B491" s="218" t="s">
        <v>396</v>
      </c>
      <c r="C491" s="210" t="s">
        <v>19</v>
      </c>
      <c r="D491" s="211" t="s">
        <v>546</v>
      </c>
      <c r="E491" s="219" t="s">
        <v>1738</v>
      </c>
    </row>
    <row r="492" spans="2:5">
      <c r="B492" s="218" t="s">
        <v>396</v>
      </c>
      <c r="C492" s="210" t="s">
        <v>19</v>
      </c>
      <c r="D492" s="211" t="s">
        <v>547</v>
      </c>
      <c r="E492" s="219" t="s">
        <v>1738</v>
      </c>
    </row>
    <row r="493" spans="2:5">
      <c r="B493" s="218" t="s">
        <v>396</v>
      </c>
      <c r="C493" s="210" t="s">
        <v>19</v>
      </c>
      <c r="D493" s="211" t="s">
        <v>548</v>
      </c>
      <c r="E493" s="219" t="s">
        <v>1738</v>
      </c>
    </row>
    <row r="494" spans="2:5">
      <c r="B494" s="218" t="s">
        <v>396</v>
      </c>
      <c r="C494" s="210" t="s">
        <v>19</v>
      </c>
      <c r="D494" s="211" t="s">
        <v>549</v>
      </c>
      <c r="E494" s="219" t="s">
        <v>1738</v>
      </c>
    </row>
    <row r="495" spans="2:5">
      <c r="B495" s="218" t="s">
        <v>396</v>
      </c>
      <c r="C495" s="210" t="s">
        <v>19</v>
      </c>
      <c r="D495" s="211" t="s">
        <v>550</v>
      </c>
      <c r="E495" s="219" t="s">
        <v>1738</v>
      </c>
    </row>
    <row r="496" spans="2:5">
      <c r="B496" s="218" t="s">
        <v>396</v>
      </c>
      <c r="C496" s="210" t="s">
        <v>19</v>
      </c>
      <c r="D496" s="211" t="s">
        <v>551</v>
      </c>
      <c r="E496" s="219" t="s">
        <v>1738</v>
      </c>
    </row>
    <row r="497" spans="2:5">
      <c r="B497" s="218" t="s">
        <v>396</v>
      </c>
      <c r="C497" s="210" t="s">
        <v>19</v>
      </c>
      <c r="D497" s="211" t="s">
        <v>552</v>
      </c>
      <c r="E497" s="219" t="s">
        <v>1738</v>
      </c>
    </row>
    <row r="498" spans="2:5">
      <c r="B498" s="218" t="s">
        <v>396</v>
      </c>
      <c r="C498" s="210" t="s">
        <v>19</v>
      </c>
      <c r="D498" s="211" t="s">
        <v>553</v>
      </c>
      <c r="E498" s="219" t="s">
        <v>1738</v>
      </c>
    </row>
    <row r="499" spans="2:5">
      <c r="B499" s="218" t="s">
        <v>396</v>
      </c>
      <c r="C499" s="210" t="s">
        <v>19</v>
      </c>
      <c r="D499" s="211" t="s">
        <v>554</v>
      </c>
      <c r="E499" s="219" t="s">
        <v>1738</v>
      </c>
    </row>
    <row r="500" spans="2:5">
      <c r="B500" s="218" t="s">
        <v>396</v>
      </c>
      <c r="C500" s="210" t="s">
        <v>19</v>
      </c>
      <c r="D500" s="211" t="s">
        <v>555</v>
      </c>
      <c r="E500" s="219" t="s">
        <v>1738</v>
      </c>
    </row>
    <row r="501" spans="2:5">
      <c r="B501" s="218" t="s">
        <v>396</v>
      </c>
      <c r="C501" s="210" t="s">
        <v>19</v>
      </c>
      <c r="D501" s="211" t="s">
        <v>556</v>
      </c>
      <c r="E501" s="219" t="s">
        <v>1738</v>
      </c>
    </row>
    <row r="502" spans="2:5">
      <c r="B502" s="218" t="s">
        <v>396</v>
      </c>
      <c r="C502" s="210" t="s">
        <v>19</v>
      </c>
      <c r="D502" s="211" t="s">
        <v>557</v>
      </c>
      <c r="E502" s="219" t="s">
        <v>1738</v>
      </c>
    </row>
    <row r="503" spans="2:5">
      <c r="B503" s="218" t="s">
        <v>396</v>
      </c>
      <c r="C503" s="210" t="s">
        <v>19</v>
      </c>
      <c r="D503" s="211" t="s">
        <v>558</v>
      </c>
      <c r="E503" s="219" t="s">
        <v>1738</v>
      </c>
    </row>
    <row r="504" spans="2:5">
      <c r="B504" s="218" t="s">
        <v>396</v>
      </c>
      <c r="C504" s="210" t="s">
        <v>19</v>
      </c>
      <c r="D504" s="211" t="s">
        <v>559</v>
      </c>
      <c r="E504" s="219" t="s">
        <v>1738</v>
      </c>
    </row>
    <row r="505" spans="2:5">
      <c r="B505" s="218" t="s">
        <v>396</v>
      </c>
      <c r="C505" s="210" t="s">
        <v>19</v>
      </c>
      <c r="D505" s="211" t="s">
        <v>560</v>
      </c>
      <c r="E505" s="219" t="s">
        <v>1738</v>
      </c>
    </row>
    <row r="506" spans="2:5">
      <c r="B506" s="218" t="s">
        <v>396</v>
      </c>
      <c r="C506" s="210" t="s">
        <v>19</v>
      </c>
      <c r="D506" s="211" t="s">
        <v>561</v>
      </c>
      <c r="E506" s="219" t="s">
        <v>1738</v>
      </c>
    </row>
    <row r="507" spans="2:5">
      <c r="B507" s="218" t="s">
        <v>396</v>
      </c>
      <c r="C507" s="210" t="s">
        <v>19</v>
      </c>
      <c r="D507" s="211" t="s">
        <v>562</v>
      </c>
      <c r="E507" s="219" t="s">
        <v>1738</v>
      </c>
    </row>
    <row r="508" spans="2:5">
      <c r="B508" s="218" t="s">
        <v>396</v>
      </c>
      <c r="C508" s="210" t="s">
        <v>19</v>
      </c>
      <c r="D508" s="211" t="s">
        <v>563</v>
      </c>
      <c r="E508" s="219" t="s">
        <v>1738</v>
      </c>
    </row>
    <row r="509" spans="2:5">
      <c r="B509" s="218" t="s">
        <v>396</v>
      </c>
      <c r="C509" s="210" t="s">
        <v>19</v>
      </c>
      <c r="D509" s="211" t="s">
        <v>564</v>
      </c>
      <c r="E509" s="219" t="s">
        <v>1</v>
      </c>
    </row>
    <row r="510" spans="2:5">
      <c r="B510" s="218" t="s">
        <v>396</v>
      </c>
      <c r="C510" s="210" t="s">
        <v>19</v>
      </c>
      <c r="D510" s="211" t="s">
        <v>565</v>
      </c>
      <c r="E510" s="219" t="s">
        <v>1</v>
      </c>
    </row>
    <row r="511" spans="2:5">
      <c r="B511" s="218" t="s">
        <v>396</v>
      </c>
      <c r="C511" s="210" t="s">
        <v>19</v>
      </c>
      <c r="D511" s="211" t="s">
        <v>566</v>
      </c>
      <c r="E511" s="219" t="s">
        <v>1</v>
      </c>
    </row>
    <row r="512" spans="2:5">
      <c r="B512" s="218" t="s">
        <v>396</v>
      </c>
      <c r="C512" s="210" t="s">
        <v>19</v>
      </c>
      <c r="D512" s="211" t="s">
        <v>567</v>
      </c>
      <c r="E512" s="219" t="s">
        <v>1</v>
      </c>
    </row>
    <row r="513" spans="2:5">
      <c r="B513" s="218" t="s">
        <v>396</v>
      </c>
      <c r="C513" s="210" t="s">
        <v>19</v>
      </c>
      <c r="D513" s="211" t="s">
        <v>568</v>
      </c>
      <c r="E513" s="219" t="s">
        <v>1</v>
      </c>
    </row>
    <row r="514" spans="2:5">
      <c r="B514" s="218" t="s">
        <v>396</v>
      </c>
      <c r="C514" s="210" t="s">
        <v>19</v>
      </c>
      <c r="D514" s="211" t="s">
        <v>569</v>
      </c>
      <c r="E514" s="219" t="s">
        <v>1</v>
      </c>
    </row>
    <row r="515" spans="2:5">
      <c r="B515" s="218" t="s">
        <v>396</v>
      </c>
      <c r="C515" s="210" t="s">
        <v>19</v>
      </c>
      <c r="D515" s="211" t="s">
        <v>570</v>
      </c>
      <c r="E515" s="219" t="s">
        <v>1</v>
      </c>
    </row>
    <row r="516" spans="2:5">
      <c r="B516" s="218" t="s">
        <v>396</v>
      </c>
      <c r="C516" s="210" t="s">
        <v>19</v>
      </c>
      <c r="D516" s="211" t="s">
        <v>571</v>
      </c>
      <c r="E516" s="219" t="s">
        <v>1</v>
      </c>
    </row>
    <row r="517" spans="2:5">
      <c r="B517" s="218" t="s">
        <v>396</v>
      </c>
      <c r="C517" s="210" t="s">
        <v>19</v>
      </c>
      <c r="D517" s="211" t="s">
        <v>572</v>
      </c>
      <c r="E517" s="219" t="s">
        <v>1</v>
      </c>
    </row>
    <row r="518" spans="2:5">
      <c r="B518" s="218" t="s">
        <v>396</v>
      </c>
      <c r="C518" s="210" t="s">
        <v>19</v>
      </c>
      <c r="D518" s="211" t="s">
        <v>573</v>
      </c>
      <c r="E518" s="219" t="s">
        <v>1</v>
      </c>
    </row>
    <row r="519" spans="2:5">
      <c r="B519" s="218" t="s">
        <v>396</v>
      </c>
      <c r="C519" s="210" t="s">
        <v>19</v>
      </c>
      <c r="D519" s="211" t="s">
        <v>574</v>
      </c>
      <c r="E519" s="219" t="s">
        <v>1</v>
      </c>
    </row>
    <row r="520" spans="2:5">
      <c r="B520" s="218" t="s">
        <v>396</v>
      </c>
      <c r="C520" s="210" t="s">
        <v>19</v>
      </c>
      <c r="D520" s="211" t="s">
        <v>575</v>
      </c>
      <c r="E520" s="219" t="s">
        <v>1</v>
      </c>
    </row>
    <row r="521" spans="2:5">
      <c r="B521" s="218" t="s">
        <v>396</v>
      </c>
      <c r="C521" s="210" t="s">
        <v>19</v>
      </c>
      <c r="D521" s="211" t="s">
        <v>576</v>
      </c>
      <c r="E521" s="219" t="s">
        <v>1</v>
      </c>
    </row>
    <row r="522" spans="2:5">
      <c r="B522" s="218" t="s">
        <v>396</v>
      </c>
      <c r="C522" s="210" t="s">
        <v>19</v>
      </c>
      <c r="D522" s="211" t="s">
        <v>577</v>
      </c>
      <c r="E522" s="219" t="s">
        <v>1</v>
      </c>
    </row>
    <row r="523" spans="2:5">
      <c r="B523" s="218" t="s">
        <v>396</v>
      </c>
      <c r="C523" s="210" t="s">
        <v>19</v>
      </c>
      <c r="D523" s="211" t="s">
        <v>578</v>
      </c>
      <c r="E523" s="219" t="s">
        <v>1</v>
      </c>
    </row>
    <row r="524" spans="2:5">
      <c r="B524" s="218" t="s">
        <v>396</v>
      </c>
      <c r="C524" s="210" t="s">
        <v>19</v>
      </c>
      <c r="D524" s="211" t="s">
        <v>579</v>
      </c>
      <c r="E524" s="219" t="s">
        <v>1</v>
      </c>
    </row>
    <row r="525" spans="2:5">
      <c r="B525" s="218" t="s">
        <v>396</v>
      </c>
      <c r="C525" s="210" t="s">
        <v>19</v>
      </c>
      <c r="D525" s="211" t="s">
        <v>580</v>
      </c>
      <c r="E525" s="219" t="s">
        <v>1</v>
      </c>
    </row>
    <row r="526" spans="2:5">
      <c r="B526" s="218" t="s">
        <v>396</v>
      </c>
      <c r="C526" s="210" t="s">
        <v>19</v>
      </c>
      <c r="D526" s="211" t="s">
        <v>581</v>
      </c>
      <c r="E526" s="219" t="s">
        <v>1738</v>
      </c>
    </row>
    <row r="527" spans="2:5">
      <c r="B527" s="218" t="s">
        <v>396</v>
      </c>
      <c r="C527" s="210" t="s">
        <v>19</v>
      </c>
      <c r="D527" s="211" t="s">
        <v>582</v>
      </c>
      <c r="E527" s="219" t="s">
        <v>1738</v>
      </c>
    </row>
    <row r="528" spans="2:5">
      <c r="B528" s="218" t="s">
        <v>396</v>
      </c>
      <c r="C528" s="210" t="s">
        <v>19</v>
      </c>
      <c r="D528" s="211" t="s">
        <v>583</v>
      </c>
      <c r="E528" s="219" t="s">
        <v>1738</v>
      </c>
    </row>
    <row r="529" spans="2:5">
      <c r="B529" s="218" t="s">
        <v>396</v>
      </c>
      <c r="C529" s="210" t="s">
        <v>19</v>
      </c>
      <c r="D529" s="211" t="s">
        <v>584</v>
      </c>
      <c r="E529" s="219" t="s">
        <v>1738</v>
      </c>
    </row>
    <row r="530" spans="2:5">
      <c r="B530" s="218" t="s">
        <v>396</v>
      </c>
      <c r="C530" s="210" t="s">
        <v>19</v>
      </c>
      <c r="D530" s="211" t="s">
        <v>585</v>
      </c>
      <c r="E530" s="219" t="s">
        <v>1738</v>
      </c>
    </row>
    <row r="531" spans="2:5">
      <c r="B531" s="218" t="s">
        <v>396</v>
      </c>
      <c r="C531" s="210" t="s">
        <v>19</v>
      </c>
      <c r="D531" s="211" t="s">
        <v>586</v>
      </c>
      <c r="E531" s="219" t="s">
        <v>1738</v>
      </c>
    </row>
    <row r="532" spans="2:5">
      <c r="B532" s="218" t="s">
        <v>396</v>
      </c>
      <c r="C532" s="210" t="s">
        <v>19</v>
      </c>
      <c r="D532" s="211" t="s">
        <v>587</v>
      </c>
      <c r="E532" s="219" t="s">
        <v>1738</v>
      </c>
    </row>
    <row r="533" spans="2:5">
      <c r="B533" s="218" t="s">
        <v>396</v>
      </c>
      <c r="C533" s="210" t="s">
        <v>19</v>
      </c>
      <c r="D533" s="211" t="s">
        <v>588</v>
      </c>
      <c r="E533" s="219" t="s">
        <v>1738</v>
      </c>
    </row>
    <row r="534" spans="2:5">
      <c r="B534" s="218" t="s">
        <v>396</v>
      </c>
      <c r="C534" s="210" t="s">
        <v>19</v>
      </c>
      <c r="D534" s="211" t="s">
        <v>589</v>
      </c>
      <c r="E534" s="219" t="s">
        <v>1738</v>
      </c>
    </row>
    <row r="535" spans="2:5">
      <c r="B535" s="218" t="s">
        <v>396</v>
      </c>
      <c r="C535" s="210" t="s">
        <v>19</v>
      </c>
      <c r="D535" s="211" t="s">
        <v>590</v>
      </c>
      <c r="E535" s="219" t="s">
        <v>1738</v>
      </c>
    </row>
    <row r="536" spans="2:5">
      <c r="B536" s="218" t="s">
        <v>396</v>
      </c>
      <c r="C536" s="210" t="s">
        <v>19</v>
      </c>
      <c r="D536" s="211" t="s">
        <v>591</v>
      </c>
      <c r="E536" s="219" t="s">
        <v>1738</v>
      </c>
    </row>
    <row r="537" spans="2:5">
      <c r="B537" s="218" t="s">
        <v>396</v>
      </c>
      <c r="C537" s="210" t="s">
        <v>19</v>
      </c>
      <c r="D537" s="211" t="s">
        <v>592</v>
      </c>
      <c r="E537" s="219" t="s">
        <v>1738</v>
      </c>
    </row>
    <row r="538" spans="2:5">
      <c r="B538" s="218" t="s">
        <v>396</v>
      </c>
      <c r="C538" s="210" t="s">
        <v>19</v>
      </c>
      <c r="D538" s="211" t="s">
        <v>593</v>
      </c>
      <c r="E538" s="219" t="s">
        <v>1738</v>
      </c>
    </row>
    <row r="539" spans="2:5">
      <c r="B539" s="218" t="s">
        <v>396</v>
      </c>
      <c r="C539" s="210" t="s">
        <v>19</v>
      </c>
      <c r="D539" s="211" t="s">
        <v>594</v>
      </c>
      <c r="E539" s="219" t="s">
        <v>1738</v>
      </c>
    </row>
    <row r="540" spans="2:5">
      <c r="B540" s="218" t="s">
        <v>396</v>
      </c>
      <c r="C540" s="210" t="s">
        <v>19</v>
      </c>
      <c r="D540" s="211" t="s">
        <v>595</v>
      </c>
      <c r="E540" s="219" t="s">
        <v>1738</v>
      </c>
    </row>
    <row r="541" spans="2:5">
      <c r="B541" s="218" t="s">
        <v>396</v>
      </c>
      <c r="C541" s="210" t="s">
        <v>19</v>
      </c>
      <c r="D541" s="211" t="s">
        <v>596</v>
      </c>
      <c r="E541" s="219" t="s">
        <v>1738</v>
      </c>
    </row>
    <row r="542" spans="2:5">
      <c r="B542" s="218" t="s">
        <v>396</v>
      </c>
      <c r="C542" s="210" t="s">
        <v>19</v>
      </c>
      <c r="D542" s="211" t="s">
        <v>597</v>
      </c>
      <c r="E542" s="219" t="s">
        <v>1738</v>
      </c>
    </row>
    <row r="543" spans="2:5">
      <c r="B543" s="218" t="s">
        <v>396</v>
      </c>
      <c r="C543" s="210" t="s">
        <v>19</v>
      </c>
      <c r="D543" s="211" t="s">
        <v>598</v>
      </c>
      <c r="E543" s="219" t="s">
        <v>1738</v>
      </c>
    </row>
    <row r="544" spans="2:5">
      <c r="B544" s="218" t="s">
        <v>396</v>
      </c>
      <c r="C544" s="210" t="s">
        <v>19</v>
      </c>
      <c r="D544" s="211" t="s">
        <v>599</v>
      </c>
      <c r="E544" s="219" t="s">
        <v>1738</v>
      </c>
    </row>
    <row r="545" spans="2:5">
      <c r="B545" s="218" t="s">
        <v>396</v>
      </c>
      <c r="C545" s="210" t="s">
        <v>19</v>
      </c>
      <c r="D545" s="211" t="s">
        <v>600</v>
      </c>
      <c r="E545" s="219" t="s">
        <v>1738</v>
      </c>
    </row>
    <row r="546" spans="2:5">
      <c r="B546" s="218" t="s">
        <v>396</v>
      </c>
      <c r="C546" s="210" t="s">
        <v>19</v>
      </c>
      <c r="D546" s="211" t="s">
        <v>601</v>
      </c>
      <c r="E546" s="219" t="s">
        <v>1738</v>
      </c>
    </row>
    <row r="547" spans="2:5">
      <c r="B547" s="218" t="s">
        <v>396</v>
      </c>
      <c r="C547" s="210" t="s">
        <v>19</v>
      </c>
      <c r="D547" s="211" t="s">
        <v>602</v>
      </c>
      <c r="E547" s="219" t="s">
        <v>1738</v>
      </c>
    </row>
    <row r="548" spans="2:5">
      <c r="B548" s="218" t="s">
        <v>396</v>
      </c>
      <c r="C548" s="210" t="s">
        <v>19</v>
      </c>
      <c r="D548" s="211" t="s">
        <v>603</v>
      </c>
      <c r="E548" s="219" t="s">
        <v>1738</v>
      </c>
    </row>
    <row r="549" spans="2:5">
      <c r="B549" s="218" t="s">
        <v>396</v>
      </c>
      <c r="C549" s="210" t="s">
        <v>19</v>
      </c>
      <c r="D549" s="211" t="s">
        <v>604</v>
      </c>
      <c r="E549" s="219" t="s">
        <v>1738</v>
      </c>
    </row>
    <row r="550" spans="2:5">
      <c r="B550" s="218" t="s">
        <v>396</v>
      </c>
      <c r="C550" s="210" t="s">
        <v>19</v>
      </c>
      <c r="D550" s="211" t="s">
        <v>605</v>
      </c>
      <c r="E550" s="219" t="s">
        <v>1738</v>
      </c>
    </row>
    <row r="551" spans="2:5">
      <c r="B551" s="218" t="s">
        <v>396</v>
      </c>
      <c r="C551" s="210" t="s">
        <v>19</v>
      </c>
      <c r="D551" s="211" t="s">
        <v>606</v>
      </c>
      <c r="E551" s="219" t="s">
        <v>1738</v>
      </c>
    </row>
    <row r="552" spans="2:5">
      <c r="B552" s="218" t="s">
        <v>396</v>
      </c>
      <c r="C552" s="210" t="s">
        <v>19</v>
      </c>
      <c r="D552" s="211" t="s">
        <v>607</v>
      </c>
      <c r="E552" s="219" t="s">
        <v>1738</v>
      </c>
    </row>
    <row r="553" spans="2:5">
      <c r="B553" s="218" t="s">
        <v>396</v>
      </c>
      <c r="C553" s="210" t="s">
        <v>19</v>
      </c>
      <c r="D553" s="211" t="s">
        <v>608</v>
      </c>
      <c r="E553" s="219" t="s">
        <v>1738</v>
      </c>
    </row>
    <row r="554" spans="2:5">
      <c r="B554" s="218" t="s">
        <v>396</v>
      </c>
      <c r="C554" s="210" t="s">
        <v>19</v>
      </c>
      <c r="D554" s="211" t="s">
        <v>609</v>
      </c>
      <c r="E554" s="219" t="s">
        <v>1738</v>
      </c>
    </row>
    <row r="555" spans="2:5">
      <c r="B555" s="218" t="s">
        <v>396</v>
      </c>
      <c r="C555" s="210" t="s">
        <v>19</v>
      </c>
      <c r="D555" s="211" t="s">
        <v>610</v>
      </c>
      <c r="E555" s="219" t="s">
        <v>1738</v>
      </c>
    </row>
    <row r="556" spans="2:5">
      <c r="B556" s="218" t="s">
        <v>396</v>
      </c>
      <c r="C556" s="210" t="s">
        <v>19</v>
      </c>
      <c r="D556" s="211" t="s">
        <v>611</v>
      </c>
      <c r="E556" s="219" t="s">
        <v>1738</v>
      </c>
    </row>
    <row r="557" spans="2:5">
      <c r="B557" s="218" t="s">
        <v>396</v>
      </c>
      <c r="C557" s="210" t="s">
        <v>19</v>
      </c>
      <c r="D557" s="211" t="s">
        <v>612</v>
      </c>
      <c r="E557" s="219" t="s">
        <v>1738</v>
      </c>
    </row>
    <row r="558" spans="2:5">
      <c r="B558" s="218" t="s">
        <v>396</v>
      </c>
      <c r="C558" s="210" t="s">
        <v>19</v>
      </c>
      <c r="D558" s="211" t="s">
        <v>613</v>
      </c>
      <c r="E558" s="219" t="s">
        <v>1738</v>
      </c>
    </row>
    <row r="559" spans="2:5">
      <c r="B559" s="218" t="s">
        <v>396</v>
      </c>
      <c r="C559" s="210" t="s">
        <v>19</v>
      </c>
      <c r="D559" s="211" t="s">
        <v>614</v>
      </c>
      <c r="E559" s="219" t="s">
        <v>1738</v>
      </c>
    </row>
    <row r="560" spans="2:5">
      <c r="B560" s="218" t="s">
        <v>396</v>
      </c>
      <c r="C560" s="210" t="s">
        <v>19</v>
      </c>
      <c r="D560" s="211" t="s">
        <v>615</v>
      </c>
      <c r="E560" s="219" t="s">
        <v>1738</v>
      </c>
    </row>
    <row r="561" spans="2:5">
      <c r="B561" s="218" t="s">
        <v>396</v>
      </c>
      <c r="C561" s="210" t="s">
        <v>19</v>
      </c>
      <c r="D561" s="211" t="s">
        <v>616</v>
      </c>
      <c r="E561" s="219" t="s">
        <v>1738</v>
      </c>
    </row>
    <row r="562" spans="2:5">
      <c r="B562" s="218" t="s">
        <v>396</v>
      </c>
      <c r="C562" s="210" t="s">
        <v>19</v>
      </c>
      <c r="D562" s="211" t="s">
        <v>617</v>
      </c>
      <c r="E562" s="219" t="s">
        <v>1738</v>
      </c>
    </row>
    <row r="563" spans="2:5">
      <c r="B563" s="218" t="s">
        <v>396</v>
      </c>
      <c r="C563" s="210" t="s">
        <v>19</v>
      </c>
      <c r="D563" s="211" t="s">
        <v>618</v>
      </c>
      <c r="E563" s="219" t="s">
        <v>1738</v>
      </c>
    </row>
    <row r="564" spans="2:5">
      <c r="B564" s="218" t="s">
        <v>396</v>
      </c>
      <c r="C564" s="210" t="s">
        <v>19</v>
      </c>
      <c r="D564" s="211" t="s">
        <v>619</v>
      </c>
      <c r="E564" s="219" t="s">
        <v>1738</v>
      </c>
    </row>
    <row r="565" spans="2:5">
      <c r="B565" s="218" t="s">
        <v>396</v>
      </c>
      <c r="C565" s="210" t="s">
        <v>19</v>
      </c>
      <c r="D565" s="211" t="s">
        <v>620</v>
      </c>
      <c r="E565" s="219" t="s">
        <v>1738</v>
      </c>
    </row>
    <row r="566" spans="2:5">
      <c r="B566" s="218" t="s">
        <v>396</v>
      </c>
      <c r="C566" s="210" t="s">
        <v>19</v>
      </c>
      <c r="D566" s="211" t="s">
        <v>621</v>
      </c>
      <c r="E566" s="219" t="s">
        <v>1</v>
      </c>
    </row>
    <row r="567" spans="2:5">
      <c r="B567" s="218" t="s">
        <v>396</v>
      </c>
      <c r="C567" s="210" t="s">
        <v>19</v>
      </c>
      <c r="D567" s="211" t="s">
        <v>622</v>
      </c>
      <c r="E567" s="219" t="s">
        <v>1738</v>
      </c>
    </row>
    <row r="568" spans="2:5">
      <c r="B568" s="218" t="s">
        <v>396</v>
      </c>
      <c r="C568" s="210" t="s">
        <v>19</v>
      </c>
      <c r="D568" s="211" t="s">
        <v>623</v>
      </c>
      <c r="E568" s="219" t="s">
        <v>1738</v>
      </c>
    </row>
    <row r="569" spans="2:5">
      <c r="B569" s="218" t="s">
        <v>396</v>
      </c>
      <c r="C569" s="210" t="s">
        <v>19</v>
      </c>
      <c r="D569" s="211" t="s">
        <v>624</v>
      </c>
      <c r="E569" s="219" t="s">
        <v>1738</v>
      </c>
    </row>
    <row r="570" spans="2:5">
      <c r="B570" s="218" t="s">
        <v>396</v>
      </c>
      <c r="C570" s="210" t="s">
        <v>19</v>
      </c>
      <c r="D570" s="211" t="s">
        <v>625</v>
      </c>
      <c r="E570" s="219" t="s">
        <v>1738</v>
      </c>
    </row>
    <row r="571" spans="2:5">
      <c r="B571" s="218" t="s">
        <v>396</v>
      </c>
      <c r="C571" s="210" t="s">
        <v>19</v>
      </c>
      <c r="D571" s="211" t="s">
        <v>626</v>
      </c>
      <c r="E571" s="219" t="s">
        <v>1738</v>
      </c>
    </row>
    <row r="572" spans="2:5">
      <c r="B572" s="218" t="s">
        <v>396</v>
      </c>
      <c r="C572" s="210" t="s">
        <v>19</v>
      </c>
      <c r="D572" s="211" t="s">
        <v>627</v>
      </c>
      <c r="E572" s="219" t="s">
        <v>1738</v>
      </c>
    </row>
    <row r="573" spans="2:5">
      <c r="B573" s="218" t="s">
        <v>396</v>
      </c>
      <c r="C573" s="210" t="s">
        <v>19</v>
      </c>
      <c r="D573" s="211" t="s">
        <v>628</v>
      </c>
      <c r="E573" s="219" t="s">
        <v>1</v>
      </c>
    </row>
    <row r="574" spans="2:5">
      <c r="B574" s="218" t="s">
        <v>396</v>
      </c>
      <c r="C574" s="210" t="s">
        <v>19</v>
      </c>
      <c r="D574" s="211" t="s">
        <v>629</v>
      </c>
      <c r="E574" s="219" t="s">
        <v>1738</v>
      </c>
    </row>
    <row r="575" spans="2:5">
      <c r="B575" s="218" t="s">
        <v>396</v>
      </c>
      <c r="C575" s="210" t="s">
        <v>19</v>
      </c>
      <c r="D575" s="211" t="s">
        <v>630</v>
      </c>
      <c r="E575" s="219" t="s">
        <v>1738</v>
      </c>
    </row>
    <row r="576" spans="2:5">
      <c r="B576" s="218" t="s">
        <v>396</v>
      </c>
      <c r="C576" s="210" t="s">
        <v>19</v>
      </c>
      <c r="D576" s="211" t="s">
        <v>631</v>
      </c>
      <c r="E576" s="219" t="s">
        <v>1738</v>
      </c>
    </row>
    <row r="577" spans="2:5">
      <c r="B577" s="218" t="s">
        <v>396</v>
      </c>
      <c r="C577" s="210" t="s">
        <v>19</v>
      </c>
      <c r="D577" s="211" t="s">
        <v>632</v>
      </c>
      <c r="E577" s="219" t="s">
        <v>1738</v>
      </c>
    </row>
    <row r="578" spans="2:5">
      <c r="B578" s="218" t="s">
        <v>396</v>
      </c>
      <c r="C578" s="210" t="s">
        <v>19</v>
      </c>
      <c r="D578" s="211" t="s">
        <v>633</v>
      </c>
      <c r="E578" s="219" t="s">
        <v>1738</v>
      </c>
    </row>
    <row r="579" spans="2:5">
      <c r="B579" s="218" t="s">
        <v>396</v>
      </c>
      <c r="C579" s="210" t="s">
        <v>19</v>
      </c>
      <c r="D579" s="211" t="s">
        <v>634</v>
      </c>
      <c r="E579" s="219" t="s">
        <v>1738</v>
      </c>
    </row>
    <row r="580" spans="2:5">
      <c r="B580" s="218" t="s">
        <v>396</v>
      </c>
      <c r="C580" s="210" t="s">
        <v>19</v>
      </c>
      <c r="D580" s="211" t="s">
        <v>635</v>
      </c>
      <c r="E580" s="219" t="s">
        <v>1738</v>
      </c>
    </row>
    <row r="581" spans="2:5">
      <c r="B581" s="218" t="s">
        <v>396</v>
      </c>
      <c r="C581" s="210" t="s">
        <v>19</v>
      </c>
      <c r="D581" s="211" t="s">
        <v>636</v>
      </c>
      <c r="E581" s="219" t="s">
        <v>1738</v>
      </c>
    </row>
    <row r="582" spans="2:5">
      <c r="B582" s="218" t="s">
        <v>396</v>
      </c>
      <c r="C582" s="210" t="s">
        <v>19</v>
      </c>
      <c r="D582" s="211" t="s">
        <v>637</v>
      </c>
      <c r="E582" s="219" t="s">
        <v>1738</v>
      </c>
    </row>
    <row r="583" spans="2:5">
      <c r="B583" s="218" t="s">
        <v>396</v>
      </c>
      <c r="C583" s="210" t="s">
        <v>19</v>
      </c>
      <c r="D583" s="211" t="s">
        <v>638</v>
      </c>
      <c r="E583" s="219" t="s">
        <v>1738</v>
      </c>
    </row>
    <row r="584" spans="2:5">
      <c r="B584" s="218" t="s">
        <v>396</v>
      </c>
      <c r="C584" s="210" t="s">
        <v>19</v>
      </c>
      <c r="D584" s="211" t="s">
        <v>639</v>
      </c>
      <c r="E584" s="219" t="s">
        <v>1738</v>
      </c>
    </row>
    <row r="585" spans="2:5">
      <c r="B585" s="218" t="s">
        <v>396</v>
      </c>
      <c r="C585" s="210" t="s">
        <v>19</v>
      </c>
      <c r="D585" s="211" t="s">
        <v>640</v>
      </c>
      <c r="E585" s="219" t="s">
        <v>1738</v>
      </c>
    </row>
    <row r="586" spans="2:5">
      <c r="B586" s="218" t="s">
        <v>396</v>
      </c>
      <c r="C586" s="210" t="s">
        <v>19</v>
      </c>
      <c r="D586" s="211" t="s">
        <v>641</v>
      </c>
      <c r="E586" s="219" t="s">
        <v>1738</v>
      </c>
    </row>
    <row r="587" spans="2:5">
      <c r="B587" s="218" t="s">
        <v>396</v>
      </c>
      <c r="C587" s="210" t="s">
        <v>19</v>
      </c>
      <c r="D587" s="211" t="s">
        <v>642</v>
      </c>
      <c r="E587" s="219" t="s">
        <v>1738</v>
      </c>
    </row>
    <row r="588" spans="2:5">
      <c r="B588" s="218" t="s">
        <v>396</v>
      </c>
      <c r="C588" s="210" t="s">
        <v>19</v>
      </c>
      <c r="D588" s="211" t="s">
        <v>643</v>
      </c>
      <c r="E588" s="219" t="s">
        <v>1</v>
      </c>
    </row>
    <row r="589" spans="2:5">
      <c r="B589" s="218" t="s">
        <v>396</v>
      </c>
      <c r="C589" s="210" t="s">
        <v>19</v>
      </c>
      <c r="D589" s="211" t="s">
        <v>644</v>
      </c>
      <c r="E589" s="219" t="s">
        <v>1738</v>
      </c>
    </row>
    <row r="590" spans="2:5">
      <c r="B590" s="218" t="s">
        <v>396</v>
      </c>
      <c r="C590" s="210" t="s">
        <v>19</v>
      </c>
      <c r="D590" s="211" t="s">
        <v>645</v>
      </c>
      <c r="E590" s="219" t="s">
        <v>1738</v>
      </c>
    </row>
    <row r="591" spans="2:5">
      <c r="B591" s="218" t="s">
        <v>396</v>
      </c>
      <c r="C591" s="210" t="s">
        <v>19</v>
      </c>
      <c r="D591" s="211" t="s">
        <v>646</v>
      </c>
      <c r="E591" s="219" t="s">
        <v>1738</v>
      </c>
    </row>
    <row r="592" spans="2:5">
      <c r="B592" s="218" t="s">
        <v>396</v>
      </c>
      <c r="C592" s="210" t="s">
        <v>19</v>
      </c>
      <c r="D592" s="211" t="s">
        <v>647</v>
      </c>
      <c r="E592" s="219" t="s">
        <v>1738</v>
      </c>
    </row>
    <row r="593" spans="2:5">
      <c r="B593" s="218" t="s">
        <v>396</v>
      </c>
      <c r="C593" s="210" t="s">
        <v>19</v>
      </c>
      <c r="D593" s="211" t="s">
        <v>648</v>
      </c>
      <c r="E593" s="219" t="s">
        <v>1738</v>
      </c>
    </row>
    <row r="594" spans="2:5">
      <c r="B594" s="218" t="s">
        <v>396</v>
      </c>
      <c r="C594" s="210" t="s">
        <v>19</v>
      </c>
      <c r="D594" s="211" t="s">
        <v>649</v>
      </c>
      <c r="E594" s="219" t="s">
        <v>1738</v>
      </c>
    </row>
    <row r="595" spans="2:5">
      <c r="B595" s="218" t="s">
        <v>396</v>
      </c>
      <c r="C595" s="210" t="s">
        <v>19</v>
      </c>
      <c r="D595" s="211" t="s">
        <v>650</v>
      </c>
      <c r="E595" s="219" t="s">
        <v>1738</v>
      </c>
    </row>
    <row r="596" spans="2:5">
      <c r="B596" s="218" t="s">
        <v>396</v>
      </c>
      <c r="C596" s="210" t="s">
        <v>19</v>
      </c>
      <c r="D596" s="211" t="s">
        <v>651</v>
      </c>
      <c r="E596" s="219" t="s">
        <v>1738</v>
      </c>
    </row>
    <row r="597" spans="2:5">
      <c r="B597" s="218" t="s">
        <v>396</v>
      </c>
      <c r="C597" s="210" t="s">
        <v>19</v>
      </c>
      <c r="D597" s="211" t="s">
        <v>652</v>
      </c>
      <c r="E597" s="219" t="s">
        <v>1738</v>
      </c>
    </row>
    <row r="598" spans="2:5">
      <c r="B598" s="218" t="s">
        <v>396</v>
      </c>
      <c r="C598" s="210" t="s">
        <v>19</v>
      </c>
      <c r="D598" s="211" t="s">
        <v>653</v>
      </c>
      <c r="E598" s="219" t="s">
        <v>1738</v>
      </c>
    </row>
    <row r="599" spans="2:5">
      <c r="B599" s="218" t="s">
        <v>396</v>
      </c>
      <c r="C599" s="210" t="s">
        <v>19</v>
      </c>
      <c r="D599" s="211" t="s">
        <v>654</v>
      </c>
      <c r="E599" s="219" t="s">
        <v>1738</v>
      </c>
    </row>
    <row r="600" spans="2:5">
      <c r="B600" s="218" t="s">
        <v>396</v>
      </c>
      <c r="C600" s="210" t="s">
        <v>19</v>
      </c>
      <c r="D600" s="211" t="s">
        <v>655</v>
      </c>
      <c r="E600" s="219" t="s">
        <v>1738</v>
      </c>
    </row>
    <row r="601" spans="2:5">
      <c r="B601" s="218" t="s">
        <v>396</v>
      </c>
      <c r="C601" s="210" t="s">
        <v>19</v>
      </c>
      <c r="D601" s="211" t="s">
        <v>656</v>
      </c>
      <c r="E601" s="219" t="s">
        <v>1738</v>
      </c>
    </row>
    <row r="602" spans="2:5">
      <c r="B602" s="218" t="s">
        <v>396</v>
      </c>
      <c r="C602" s="210" t="s">
        <v>19</v>
      </c>
      <c r="D602" s="211" t="s">
        <v>657</v>
      </c>
      <c r="E602" s="219" t="s">
        <v>1738</v>
      </c>
    </row>
    <row r="603" spans="2:5">
      <c r="B603" s="218" t="s">
        <v>396</v>
      </c>
      <c r="C603" s="210" t="s">
        <v>19</v>
      </c>
      <c r="D603" s="211" t="s">
        <v>658</v>
      </c>
      <c r="E603" s="219" t="s">
        <v>1738</v>
      </c>
    </row>
    <row r="604" spans="2:5">
      <c r="B604" s="218" t="s">
        <v>396</v>
      </c>
      <c r="C604" s="210" t="s">
        <v>19</v>
      </c>
      <c r="D604" s="211" t="s">
        <v>659</v>
      </c>
      <c r="E604" s="219" t="s">
        <v>1738</v>
      </c>
    </row>
    <row r="605" spans="2:5">
      <c r="B605" s="218" t="s">
        <v>396</v>
      </c>
      <c r="C605" s="210" t="s">
        <v>19</v>
      </c>
      <c r="D605" s="211" t="s">
        <v>660</v>
      </c>
      <c r="E605" s="219" t="s">
        <v>1738</v>
      </c>
    </row>
    <row r="606" spans="2:5">
      <c r="B606" s="218" t="s">
        <v>396</v>
      </c>
      <c r="C606" s="210" t="s">
        <v>19</v>
      </c>
      <c r="D606" s="211" t="s">
        <v>661</v>
      </c>
      <c r="E606" s="219" t="s">
        <v>1738</v>
      </c>
    </row>
    <row r="607" spans="2:5">
      <c r="B607" s="218" t="s">
        <v>396</v>
      </c>
      <c r="C607" s="210" t="s">
        <v>19</v>
      </c>
      <c r="D607" s="211" t="s">
        <v>662</v>
      </c>
      <c r="E607" s="219" t="s">
        <v>1738</v>
      </c>
    </row>
    <row r="608" spans="2:5">
      <c r="B608" s="218" t="s">
        <v>396</v>
      </c>
      <c r="C608" s="210" t="s">
        <v>19</v>
      </c>
      <c r="D608" s="211" t="s">
        <v>663</v>
      </c>
      <c r="E608" s="219" t="s">
        <v>1738</v>
      </c>
    </row>
    <row r="609" spans="2:5">
      <c r="B609" s="218" t="s">
        <v>396</v>
      </c>
      <c r="C609" s="210" t="s">
        <v>19</v>
      </c>
      <c r="D609" s="211" t="s">
        <v>664</v>
      </c>
      <c r="E609" s="219" t="s">
        <v>1738</v>
      </c>
    </row>
    <row r="610" spans="2:5">
      <c r="B610" s="218" t="s">
        <v>396</v>
      </c>
      <c r="C610" s="210" t="s">
        <v>19</v>
      </c>
      <c r="D610" s="211" t="s">
        <v>665</v>
      </c>
      <c r="E610" s="219" t="s">
        <v>1738</v>
      </c>
    </row>
    <row r="611" spans="2:5">
      <c r="B611" s="218" t="s">
        <v>396</v>
      </c>
      <c r="C611" s="210" t="s">
        <v>19</v>
      </c>
      <c r="D611" s="211" t="s">
        <v>666</v>
      </c>
      <c r="E611" s="219" t="s">
        <v>1738</v>
      </c>
    </row>
    <row r="612" spans="2:5">
      <c r="B612" s="218" t="s">
        <v>396</v>
      </c>
      <c r="C612" s="210" t="s">
        <v>19</v>
      </c>
      <c r="D612" s="211" t="s">
        <v>667</v>
      </c>
      <c r="E612" s="219" t="s">
        <v>1738</v>
      </c>
    </row>
    <row r="613" spans="2:5">
      <c r="B613" s="218" t="s">
        <v>396</v>
      </c>
      <c r="C613" s="210" t="s">
        <v>19</v>
      </c>
      <c r="D613" s="211" t="s">
        <v>668</v>
      </c>
      <c r="E613" s="219" t="s">
        <v>1738</v>
      </c>
    </row>
    <row r="614" spans="2:5">
      <c r="B614" s="218" t="s">
        <v>396</v>
      </c>
      <c r="C614" s="210" t="s">
        <v>19</v>
      </c>
      <c r="D614" s="211" t="s">
        <v>669</v>
      </c>
      <c r="E614" s="219" t="s">
        <v>1738</v>
      </c>
    </row>
    <row r="615" spans="2:5">
      <c r="B615" s="218" t="s">
        <v>396</v>
      </c>
      <c r="C615" s="210" t="s">
        <v>19</v>
      </c>
      <c r="D615" s="211" t="s">
        <v>670</v>
      </c>
      <c r="E615" s="219" t="s">
        <v>1738</v>
      </c>
    </row>
    <row r="616" spans="2:5">
      <c r="B616" s="218" t="s">
        <v>396</v>
      </c>
      <c r="C616" s="210" t="s">
        <v>19</v>
      </c>
      <c r="D616" s="211" t="s">
        <v>671</v>
      </c>
      <c r="E616" s="219" t="s">
        <v>1738</v>
      </c>
    </row>
    <row r="617" spans="2:5">
      <c r="B617" s="218" t="s">
        <v>396</v>
      </c>
      <c r="C617" s="210" t="s">
        <v>19</v>
      </c>
      <c r="D617" s="211" t="s">
        <v>672</v>
      </c>
      <c r="E617" s="219" t="s">
        <v>1738</v>
      </c>
    </row>
    <row r="618" spans="2:5">
      <c r="B618" s="218" t="s">
        <v>396</v>
      </c>
      <c r="C618" s="210" t="s">
        <v>19</v>
      </c>
      <c r="D618" s="211" t="s">
        <v>673</v>
      </c>
      <c r="E618" s="219" t="s">
        <v>1738</v>
      </c>
    </row>
    <row r="619" spans="2:5">
      <c r="B619" s="218" t="s">
        <v>396</v>
      </c>
      <c r="C619" s="210" t="s">
        <v>19</v>
      </c>
      <c r="D619" s="211" t="s">
        <v>674</v>
      </c>
      <c r="E619" s="219" t="s">
        <v>1738</v>
      </c>
    </row>
    <row r="620" spans="2:5">
      <c r="B620" s="218" t="s">
        <v>396</v>
      </c>
      <c r="C620" s="210" t="s">
        <v>19</v>
      </c>
      <c r="D620" s="211" t="s">
        <v>675</v>
      </c>
      <c r="E620" s="219" t="s">
        <v>1738</v>
      </c>
    </row>
    <row r="621" spans="2:5">
      <c r="B621" s="218" t="s">
        <v>396</v>
      </c>
      <c r="C621" s="210" t="s">
        <v>19</v>
      </c>
      <c r="D621" s="211" t="s">
        <v>676</v>
      </c>
      <c r="E621" s="219" t="s">
        <v>1738</v>
      </c>
    </row>
    <row r="622" spans="2:5">
      <c r="B622" s="218" t="s">
        <v>396</v>
      </c>
      <c r="C622" s="210" t="s">
        <v>19</v>
      </c>
      <c r="D622" s="211" t="s">
        <v>677</v>
      </c>
      <c r="E622" s="219" t="s">
        <v>1738</v>
      </c>
    </row>
    <row r="623" spans="2:5">
      <c r="B623" s="218" t="s">
        <v>396</v>
      </c>
      <c r="C623" s="210" t="s">
        <v>19</v>
      </c>
      <c r="D623" s="211" t="s">
        <v>678</v>
      </c>
      <c r="E623" s="219" t="s">
        <v>1738</v>
      </c>
    </row>
    <row r="624" spans="2:5">
      <c r="B624" s="218" t="s">
        <v>396</v>
      </c>
      <c r="C624" s="210" t="s">
        <v>19</v>
      </c>
      <c r="D624" s="211" t="s">
        <v>679</v>
      </c>
      <c r="E624" s="219" t="s">
        <v>1738</v>
      </c>
    </row>
    <row r="625" spans="2:5">
      <c r="B625" s="218" t="s">
        <v>396</v>
      </c>
      <c r="C625" s="210" t="s">
        <v>19</v>
      </c>
      <c r="D625" s="211" t="s">
        <v>680</v>
      </c>
      <c r="E625" s="219" t="s">
        <v>1738</v>
      </c>
    </row>
    <row r="626" spans="2:5">
      <c r="B626" s="218" t="s">
        <v>396</v>
      </c>
      <c r="C626" s="210" t="s">
        <v>19</v>
      </c>
      <c r="D626" s="211" t="s">
        <v>681</v>
      </c>
      <c r="E626" s="219" t="s">
        <v>1738</v>
      </c>
    </row>
    <row r="627" spans="2:5">
      <c r="B627" s="218" t="s">
        <v>396</v>
      </c>
      <c r="C627" s="210" t="s">
        <v>19</v>
      </c>
      <c r="D627" s="211" t="s">
        <v>682</v>
      </c>
      <c r="E627" s="219" t="s">
        <v>1738</v>
      </c>
    </row>
    <row r="628" spans="2:5">
      <c r="B628" s="218" t="s">
        <v>396</v>
      </c>
      <c r="C628" s="210" t="s">
        <v>19</v>
      </c>
      <c r="D628" s="211" t="s">
        <v>683</v>
      </c>
      <c r="E628" s="219" t="s">
        <v>1738</v>
      </c>
    </row>
    <row r="629" spans="2:5">
      <c r="B629" s="218" t="s">
        <v>396</v>
      </c>
      <c r="C629" s="210" t="s">
        <v>19</v>
      </c>
      <c r="D629" s="211" t="s">
        <v>684</v>
      </c>
      <c r="E629" s="219" t="s">
        <v>1738</v>
      </c>
    </row>
    <row r="630" spans="2:5">
      <c r="B630" s="218" t="s">
        <v>396</v>
      </c>
      <c r="C630" s="210" t="s">
        <v>19</v>
      </c>
      <c r="D630" s="211" t="s">
        <v>685</v>
      </c>
      <c r="E630" s="219" t="s">
        <v>1738</v>
      </c>
    </row>
    <row r="631" spans="2:5">
      <c r="B631" s="218" t="s">
        <v>396</v>
      </c>
      <c r="C631" s="210" t="s">
        <v>19</v>
      </c>
      <c r="D631" s="211" t="s">
        <v>686</v>
      </c>
      <c r="E631" s="219" t="s">
        <v>1738</v>
      </c>
    </row>
    <row r="632" spans="2:5">
      <c r="B632" s="218" t="s">
        <v>396</v>
      </c>
      <c r="C632" s="210" t="s">
        <v>19</v>
      </c>
      <c r="D632" s="211" t="s">
        <v>687</v>
      </c>
      <c r="E632" s="219" t="s">
        <v>1738</v>
      </c>
    </row>
    <row r="633" spans="2:5">
      <c r="B633" s="218" t="s">
        <v>688</v>
      </c>
      <c r="C633" s="210" t="s">
        <v>21</v>
      </c>
      <c r="D633" s="211" t="s">
        <v>689</v>
      </c>
      <c r="E633" s="219" t="s">
        <v>1</v>
      </c>
    </row>
    <row r="634" spans="2:5">
      <c r="B634" s="218" t="s">
        <v>688</v>
      </c>
      <c r="C634" s="210" t="s">
        <v>21</v>
      </c>
      <c r="D634" s="211" t="s">
        <v>690</v>
      </c>
      <c r="E634" s="219" t="s">
        <v>1</v>
      </c>
    </row>
    <row r="635" spans="2:5">
      <c r="B635" s="218" t="s">
        <v>688</v>
      </c>
      <c r="C635" s="210" t="s">
        <v>21</v>
      </c>
      <c r="D635" s="211" t="s">
        <v>691</v>
      </c>
      <c r="E635" s="219" t="s">
        <v>1</v>
      </c>
    </row>
    <row r="636" spans="2:5">
      <c r="B636" s="218" t="s">
        <v>688</v>
      </c>
      <c r="C636" s="210" t="s">
        <v>21</v>
      </c>
      <c r="D636" s="211" t="s">
        <v>692</v>
      </c>
      <c r="E636" s="219" t="s">
        <v>1</v>
      </c>
    </row>
    <row r="637" spans="2:5">
      <c r="B637" s="218" t="s">
        <v>688</v>
      </c>
      <c r="C637" s="210" t="s">
        <v>21</v>
      </c>
      <c r="D637" s="211" t="s">
        <v>693</v>
      </c>
      <c r="E637" s="219" t="s">
        <v>1</v>
      </c>
    </row>
    <row r="638" spans="2:5">
      <c r="B638" s="218" t="s">
        <v>688</v>
      </c>
      <c r="C638" s="210" t="s">
        <v>21</v>
      </c>
      <c r="D638" s="211" t="s">
        <v>694</v>
      </c>
      <c r="E638" s="219" t="s">
        <v>1</v>
      </c>
    </row>
    <row r="639" spans="2:5">
      <c r="B639" s="218" t="s">
        <v>688</v>
      </c>
      <c r="C639" s="210" t="s">
        <v>21</v>
      </c>
      <c r="D639" s="211" t="s">
        <v>695</v>
      </c>
      <c r="E639" s="219" t="s">
        <v>1</v>
      </c>
    </row>
    <row r="640" spans="2:5">
      <c r="B640" s="218" t="s">
        <v>688</v>
      </c>
      <c r="C640" s="210" t="s">
        <v>21</v>
      </c>
      <c r="D640" s="211" t="s">
        <v>696</v>
      </c>
      <c r="E640" s="219" t="s">
        <v>1</v>
      </c>
    </row>
    <row r="641" spans="2:5">
      <c r="B641" s="218" t="s">
        <v>688</v>
      </c>
      <c r="C641" s="210" t="s">
        <v>21</v>
      </c>
      <c r="D641" s="211" t="s">
        <v>697</v>
      </c>
      <c r="E641" s="219" t="s">
        <v>1</v>
      </c>
    </row>
    <row r="642" spans="2:5">
      <c r="B642" s="218" t="s">
        <v>688</v>
      </c>
      <c r="C642" s="210" t="s">
        <v>21</v>
      </c>
      <c r="D642" s="211" t="s">
        <v>698</v>
      </c>
      <c r="E642" s="219" t="s">
        <v>1</v>
      </c>
    </row>
    <row r="643" spans="2:5">
      <c r="B643" s="218" t="s">
        <v>688</v>
      </c>
      <c r="C643" s="210" t="s">
        <v>21</v>
      </c>
      <c r="D643" s="211" t="s">
        <v>699</v>
      </c>
      <c r="E643" s="219" t="s">
        <v>1</v>
      </c>
    </row>
    <row r="644" spans="2:5">
      <c r="B644" s="218" t="s">
        <v>688</v>
      </c>
      <c r="C644" s="210" t="s">
        <v>21</v>
      </c>
      <c r="D644" s="211" t="s">
        <v>700</v>
      </c>
      <c r="E644" s="219" t="s">
        <v>1</v>
      </c>
    </row>
    <row r="645" spans="2:5">
      <c r="B645" s="218" t="s">
        <v>688</v>
      </c>
      <c r="C645" s="210" t="s">
        <v>21</v>
      </c>
      <c r="D645" s="211" t="s">
        <v>701</v>
      </c>
      <c r="E645" s="219" t="s">
        <v>1</v>
      </c>
    </row>
    <row r="646" spans="2:5">
      <c r="B646" s="218" t="s">
        <v>688</v>
      </c>
      <c r="C646" s="210" t="s">
        <v>21</v>
      </c>
      <c r="D646" s="211" t="s">
        <v>702</v>
      </c>
      <c r="E646" s="219" t="s">
        <v>1</v>
      </c>
    </row>
    <row r="647" spans="2:5">
      <c r="B647" s="218" t="s">
        <v>688</v>
      </c>
      <c r="C647" s="210" t="s">
        <v>21</v>
      </c>
      <c r="D647" s="211" t="s">
        <v>703</v>
      </c>
      <c r="E647" s="219" t="s">
        <v>1</v>
      </c>
    </row>
    <row r="648" spans="2:5">
      <c r="B648" s="218" t="s">
        <v>688</v>
      </c>
      <c r="C648" s="210" t="s">
        <v>21</v>
      </c>
      <c r="D648" s="211" t="s">
        <v>704</v>
      </c>
      <c r="E648" s="219" t="s">
        <v>1</v>
      </c>
    </row>
    <row r="649" spans="2:5">
      <c r="B649" s="218" t="s">
        <v>688</v>
      </c>
      <c r="C649" s="210" t="s">
        <v>21</v>
      </c>
      <c r="D649" s="211" t="s">
        <v>705</v>
      </c>
      <c r="E649" s="219" t="s">
        <v>1</v>
      </c>
    </row>
    <row r="650" spans="2:5">
      <c r="B650" s="218" t="s">
        <v>688</v>
      </c>
      <c r="C650" s="210" t="s">
        <v>21</v>
      </c>
      <c r="D650" s="211" t="s">
        <v>706</v>
      </c>
      <c r="E650" s="219" t="s">
        <v>1</v>
      </c>
    </row>
    <row r="651" spans="2:5">
      <c r="B651" s="218" t="s">
        <v>688</v>
      </c>
      <c r="C651" s="210" t="s">
        <v>21</v>
      </c>
      <c r="D651" s="211" t="s">
        <v>707</v>
      </c>
      <c r="E651" s="219" t="s">
        <v>1</v>
      </c>
    </row>
    <row r="652" spans="2:5">
      <c r="B652" s="218" t="s">
        <v>688</v>
      </c>
      <c r="C652" s="210" t="s">
        <v>21</v>
      </c>
      <c r="D652" s="211" t="s">
        <v>708</v>
      </c>
      <c r="E652" s="219" t="s">
        <v>1738</v>
      </c>
    </row>
    <row r="653" spans="2:5">
      <c r="B653" s="218" t="s">
        <v>688</v>
      </c>
      <c r="C653" s="210" t="s">
        <v>21</v>
      </c>
      <c r="D653" s="211" t="s">
        <v>709</v>
      </c>
      <c r="E653" s="219" t="s">
        <v>1738</v>
      </c>
    </row>
    <row r="654" spans="2:5">
      <c r="B654" s="218" t="s">
        <v>688</v>
      </c>
      <c r="C654" s="210" t="s">
        <v>21</v>
      </c>
      <c r="D654" s="211" t="s">
        <v>710</v>
      </c>
      <c r="E654" s="219" t="s">
        <v>1738</v>
      </c>
    </row>
    <row r="655" spans="2:5">
      <c r="B655" s="218" t="s">
        <v>688</v>
      </c>
      <c r="C655" s="210" t="s">
        <v>21</v>
      </c>
      <c r="D655" s="211" t="s">
        <v>711</v>
      </c>
      <c r="E655" s="219" t="s">
        <v>1</v>
      </c>
    </row>
    <row r="656" spans="2:5">
      <c r="B656" s="218" t="s">
        <v>688</v>
      </c>
      <c r="C656" s="210" t="s">
        <v>21</v>
      </c>
      <c r="D656" s="211" t="s">
        <v>712</v>
      </c>
      <c r="E656" s="219" t="s">
        <v>1</v>
      </c>
    </row>
    <row r="657" spans="2:5">
      <c r="B657" s="218" t="s">
        <v>688</v>
      </c>
      <c r="C657" s="210" t="s">
        <v>21</v>
      </c>
      <c r="D657" s="211" t="s">
        <v>713</v>
      </c>
      <c r="E657" s="219" t="s">
        <v>1</v>
      </c>
    </row>
    <row r="658" spans="2:5">
      <c r="B658" s="218" t="s">
        <v>688</v>
      </c>
      <c r="C658" s="210" t="s">
        <v>21</v>
      </c>
      <c r="D658" s="211" t="s">
        <v>714</v>
      </c>
      <c r="E658" s="219" t="s">
        <v>1</v>
      </c>
    </row>
    <row r="659" spans="2:5">
      <c r="B659" s="218" t="s">
        <v>688</v>
      </c>
      <c r="C659" s="210" t="s">
        <v>21</v>
      </c>
      <c r="D659" s="211" t="s">
        <v>715</v>
      </c>
      <c r="E659" s="219" t="s">
        <v>1</v>
      </c>
    </row>
    <row r="660" spans="2:5">
      <c r="B660" s="218" t="s">
        <v>688</v>
      </c>
      <c r="C660" s="210" t="s">
        <v>21</v>
      </c>
      <c r="D660" s="211" t="s">
        <v>716</v>
      </c>
      <c r="E660" s="219" t="s">
        <v>1</v>
      </c>
    </row>
    <row r="661" spans="2:5">
      <c r="B661" s="218" t="s">
        <v>688</v>
      </c>
      <c r="C661" s="210" t="s">
        <v>21</v>
      </c>
      <c r="D661" s="211" t="s">
        <v>717</v>
      </c>
      <c r="E661" s="219" t="s">
        <v>1</v>
      </c>
    </row>
    <row r="662" spans="2:5">
      <c r="B662" s="218" t="s">
        <v>688</v>
      </c>
      <c r="C662" s="210" t="s">
        <v>21</v>
      </c>
      <c r="D662" s="211" t="s">
        <v>718</v>
      </c>
      <c r="E662" s="219" t="s">
        <v>1</v>
      </c>
    </row>
    <row r="663" spans="2:5">
      <c r="B663" s="218" t="s">
        <v>688</v>
      </c>
      <c r="C663" s="210" t="s">
        <v>21</v>
      </c>
      <c r="D663" s="211" t="s">
        <v>719</v>
      </c>
      <c r="E663" s="219" t="s">
        <v>1</v>
      </c>
    </row>
    <row r="664" spans="2:5">
      <c r="B664" s="218" t="s">
        <v>688</v>
      </c>
      <c r="C664" s="210" t="s">
        <v>21</v>
      </c>
      <c r="D664" s="211" t="s">
        <v>720</v>
      </c>
      <c r="E664" s="219" t="s">
        <v>1</v>
      </c>
    </row>
    <row r="665" spans="2:5">
      <c r="B665" s="218" t="s">
        <v>688</v>
      </c>
      <c r="C665" s="210" t="s">
        <v>21</v>
      </c>
      <c r="D665" s="211" t="s">
        <v>721</v>
      </c>
      <c r="E665" s="219" t="s">
        <v>1</v>
      </c>
    </row>
    <row r="666" spans="2:5">
      <c r="B666" s="218" t="s">
        <v>688</v>
      </c>
      <c r="C666" s="210" t="s">
        <v>21</v>
      </c>
      <c r="D666" s="211" t="s">
        <v>722</v>
      </c>
      <c r="E666" s="219" t="s">
        <v>1</v>
      </c>
    </row>
    <row r="667" spans="2:5">
      <c r="B667" s="218" t="s">
        <v>688</v>
      </c>
      <c r="C667" s="210" t="s">
        <v>21</v>
      </c>
      <c r="D667" s="211" t="s">
        <v>723</v>
      </c>
      <c r="E667" s="219" t="s">
        <v>1</v>
      </c>
    </row>
    <row r="668" spans="2:5">
      <c r="B668" s="218" t="s">
        <v>688</v>
      </c>
      <c r="C668" s="210" t="s">
        <v>21</v>
      </c>
      <c r="D668" s="211" t="s">
        <v>724</v>
      </c>
      <c r="E668" s="219" t="s">
        <v>1</v>
      </c>
    </row>
    <row r="669" spans="2:5">
      <c r="B669" s="218" t="s">
        <v>688</v>
      </c>
      <c r="C669" s="210" t="s">
        <v>21</v>
      </c>
      <c r="D669" s="211" t="s">
        <v>725</v>
      </c>
      <c r="E669" s="219" t="s">
        <v>1</v>
      </c>
    </row>
    <row r="670" spans="2:5">
      <c r="B670" s="218" t="s">
        <v>688</v>
      </c>
      <c r="C670" s="210" t="s">
        <v>21</v>
      </c>
      <c r="D670" s="211" t="s">
        <v>726</v>
      </c>
      <c r="E670" s="219" t="s">
        <v>1</v>
      </c>
    </row>
    <row r="671" spans="2:5">
      <c r="B671" s="218" t="s">
        <v>688</v>
      </c>
      <c r="C671" s="210" t="s">
        <v>21</v>
      </c>
      <c r="D671" s="211" t="s">
        <v>727</v>
      </c>
      <c r="E671" s="219" t="s">
        <v>1</v>
      </c>
    </row>
    <row r="672" spans="2:5">
      <c r="B672" s="218" t="s">
        <v>688</v>
      </c>
      <c r="C672" s="210" t="s">
        <v>21</v>
      </c>
      <c r="D672" s="211" t="s">
        <v>728</v>
      </c>
      <c r="E672" s="219" t="s">
        <v>1</v>
      </c>
    </row>
    <row r="673" spans="2:5">
      <c r="B673" s="218" t="s">
        <v>688</v>
      </c>
      <c r="C673" s="210" t="s">
        <v>21</v>
      </c>
      <c r="D673" s="211" t="s">
        <v>729</v>
      </c>
      <c r="E673" s="219" t="s">
        <v>1</v>
      </c>
    </row>
    <row r="674" spans="2:5">
      <c r="B674" s="218" t="s">
        <v>688</v>
      </c>
      <c r="C674" s="210" t="s">
        <v>21</v>
      </c>
      <c r="D674" s="211" t="s">
        <v>730</v>
      </c>
      <c r="E674" s="219" t="s">
        <v>1</v>
      </c>
    </row>
    <row r="675" spans="2:5">
      <c r="B675" s="218" t="s">
        <v>688</v>
      </c>
      <c r="C675" s="210" t="s">
        <v>21</v>
      </c>
      <c r="D675" s="211" t="s">
        <v>731</v>
      </c>
      <c r="E675" s="219" t="s">
        <v>1</v>
      </c>
    </row>
    <row r="676" spans="2:5">
      <c r="B676" s="218" t="s">
        <v>688</v>
      </c>
      <c r="C676" s="210" t="s">
        <v>21</v>
      </c>
      <c r="D676" s="211" t="s">
        <v>732</v>
      </c>
      <c r="E676" s="219" t="s">
        <v>1</v>
      </c>
    </row>
    <row r="677" spans="2:5">
      <c r="B677" s="218" t="s">
        <v>688</v>
      </c>
      <c r="C677" s="210" t="s">
        <v>21</v>
      </c>
      <c r="D677" s="211" t="s">
        <v>733</v>
      </c>
      <c r="E677" s="219" t="s">
        <v>1</v>
      </c>
    </row>
    <row r="678" spans="2:5">
      <c r="B678" s="218" t="s">
        <v>688</v>
      </c>
      <c r="C678" s="210" t="s">
        <v>21</v>
      </c>
      <c r="D678" s="211" t="s">
        <v>734</v>
      </c>
      <c r="E678" s="219" t="s">
        <v>1</v>
      </c>
    </row>
    <row r="679" spans="2:5">
      <c r="B679" s="218" t="s">
        <v>688</v>
      </c>
      <c r="C679" s="210" t="s">
        <v>21</v>
      </c>
      <c r="D679" s="211" t="s">
        <v>735</v>
      </c>
      <c r="E679" s="219" t="s">
        <v>1</v>
      </c>
    </row>
    <row r="680" spans="2:5">
      <c r="B680" s="218" t="s">
        <v>688</v>
      </c>
      <c r="C680" s="210" t="s">
        <v>21</v>
      </c>
      <c r="D680" s="211" t="s">
        <v>736</v>
      </c>
      <c r="E680" s="219" t="s">
        <v>1</v>
      </c>
    </row>
    <row r="681" spans="2:5">
      <c r="B681" s="218" t="s">
        <v>688</v>
      </c>
      <c r="C681" s="210" t="s">
        <v>21</v>
      </c>
      <c r="D681" s="211" t="s">
        <v>737</v>
      </c>
      <c r="E681" s="219" t="s">
        <v>1</v>
      </c>
    </row>
    <row r="682" spans="2:5">
      <c r="B682" s="218" t="s">
        <v>688</v>
      </c>
      <c r="C682" s="210" t="s">
        <v>21</v>
      </c>
      <c r="D682" s="211" t="s">
        <v>738</v>
      </c>
      <c r="E682" s="219" t="s">
        <v>1</v>
      </c>
    </row>
    <row r="683" spans="2:5">
      <c r="B683" s="218" t="s">
        <v>688</v>
      </c>
      <c r="C683" s="210" t="s">
        <v>21</v>
      </c>
      <c r="D683" s="211" t="s">
        <v>739</v>
      </c>
      <c r="E683" s="219" t="s">
        <v>1</v>
      </c>
    </row>
    <row r="684" spans="2:5">
      <c r="B684" s="218" t="s">
        <v>688</v>
      </c>
      <c r="C684" s="210" t="s">
        <v>21</v>
      </c>
      <c r="D684" s="211" t="s">
        <v>740</v>
      </c>
      <c r="E684" s="219" t="s">
        <v>1</v>
      </c>
    </row>
    <row r="685" spans="2:5">
      <c r="B685" s="218" t="s">
        <v>688</v>
      </c>
      <c r="C685" s="210" t="s">
        <v>21</v>
      </c>
      <c r="D685" s="211" t="s">
        <v>741</v>
      </c>
      <c r="E685" s="219" t="s">
        <v>1</v>
      </c>
    </row>
    <row r="686" spans="2:5">
      <c r="B686" s="218" t="s">
        <v>688</v>
      </c>
      <c r="C686" s="210" t="s">
        <v>21</v>
      </c>
      <c r="D686" s="211" t="s">
        <v>742</v>
      </c>
      <c r="E686" s="219" t="s">
        <v>1</v>
      </c>
    </row>
    <row r="687" spans="2:5">
      <c r="B687" s="218" t="s">
        <v>688</v>
      </c>
      <c r="C687" s="210" t="s">
        <v>21</v>
      </c>
      <c r="D687" s="211" t="s">
        <v>743</v>
      </c>
      <c r="E687" s="219" t="s">
        <v>1</v>
      </c>
    </row>
    <row r="688" spans="2:5">
      <c r="B688" s="218" t="s">
        <v>688</v>
      </c>
      <c r="C688" s="210" t="s">
        <v>21</v>
      </c>
      <c r="D688" s="211" t="s">
        <v>744</v>
      </c>
      <c r="E688" s="219" t="s">
        <v>1</v>
      </c>
    </row>
    <row r="689" spans="2:5">
      <c r="B689" s="218" t="s">
        <v>688</v>
      </c>
      <c r="C689" s="210" t="s">
        <v>21</v>
      </c>
      <c r="D689" s="211" t="s">
        <v>745</v>
      </c>
      <c r="E689" s="219" t="s">
        <v>1</v>
      </c>
    </row>
    <row r="690" spans="2:5">
      <c r="B690" s="218" t="s">
        <v>688</v>
      </c>
      <c r="C690" s="210" t="s">
        <v>21</v>
      </c>
      <c r="D690" s="211" t="s">
        <v>746</v>
      </c>
      <c r="E690" s="219" t="s">
        <v>1</v>
      </c>
    </row>
    <row r="691" spans="2:5">
      <c r="B691" s="218" t="s">
        <v>688</v>
      </c>
      <c r="C691" s="210" t="s">
        <v>21</v>
      </c>
      <c r="D691" s="211" t="s">
        <v>747</v>
      </c>
      <c r="E691" s="219" t="s">
        <v>1</v>
      </c>
    </row>
    <row r="692" spans="2:5">
      <c r="B692" s="218" t="s">
        <v>688</v>
      </c>
      <c r="C692" s="210" t="s">
        <v>21</v>
      </c>
      <c r="D692" s="211" t="s">
        <v>748</v>
      </c>
      <c r="E692" s="219" t="s">
        <v>1</v>
      </c>
    </row>
    <row r="693" spans="2:5">
      <c r="B693" s="218" t="s">
        <v>688</v>
      </c>
      <c r="C693" s="210" t="s">
        <v>21</v>
      </c>
      <c r="D693" s="211" t="s">
        <v>749</v>
      </c>
      <c r="E693" s="219" t="s">
        <v>1</v>
      </c>
    </row>
    <row r="694" spans="2:5">
      <c r="B694" s="218" t="s">
        <v>688</v>
      </c>
      <c r="C694" s="210" t="s">
        <v>21</v>
      </c>
      <c r="D694" s="211" t="s">
        <v>750</v>
      </c>
      <c r="E694" s="219" t="s">
        <v>1</v>
      </c>
    </row>
    <row r="695" spans="2:5">
      <c r="B695" s="218" t="s">
        <v>688</v>
      </c>
      <c r="C695" s="210" t="s">
        <v>21</v>
      </c>
      <c r="D695" s="211" t="s">
        <v>751</v>
      </c>
      <c r="E695" s="219" t="s">
        <v>1</v>
      </c>
    </row>
    <row r="696" spans="2:5">
      <c r="B696" s="218" t="s">
        <v>688</v>
      </c>
      <c r="C696" s="210" t="s">
        <v>21</v>
      </c>
      <c r="D696" s="211" t="s">
        <v>752</v>
      </c>
      <c r="E696" s="219" t="s">
        <v>1</v>
      </c>
    </row>
    <row r="697" spans="2:5">
      <c r="B697" s="218" t="s">
        <v>688</v>
      </c>
      <c r="C697" s="210" t="s">
        <v>21</v>
      </c>
      <c r="D697" s="211" t="s">
        <v>753</v>
      </c>
      <c r="E697" s="219" t="s">
        <v>1</v>
      </c>
    </row>
    <row r="698" spans="2:5">
      <c r="B698" s="218" t="s">
        <v>688</v>
      </c>
      <c r="C698" s="210" t="s">
        <v>21</v>
      </c>
      <c r="D698" s="211" t="s">
        <v>754</v>
      </c>
      <c r="E698" s="219" t="s">
        <v>1</v>
      </c>
    </row>
    <row r="699" spans="2:5">
      <c r="B699" s="218" t="s">
        <v>688</v>
      </c>
      <c r="C699" s="210" t="s">
        <v>21</v>
      </c>
      <c r="D699" s="211" t="s">
        <v>755</v>
      </c>
      <c r="E699" s="219" t="s">
        <v>1</v>
      </c>
    </row>
    <row r="700" spans="2:5">
      <c r="B700" s="218" t="s">
        <v>688</v>
      </c>
      <c r="C700" s="210" t="s">
        <v>21</v>
      </c>
      <c r="D700" s="211" t="s">
        <v>756</v>
      </c>
      <c r="E700" s="219" t="s">
        <v>1</v>
      </c>
    </row>
    <row r="701" spans="2:5">
      <c r="B701" s="218" t="s">
        <v>688</v>
      </c>
      <c r="C701" s="210" t="s">
        <v>21</v>
      </c>
      <c r="D701" s="211" t="s">
        <v>757</v>
      </c>
      <c r="E701" s="219" t="s">
        <v>1</v>
      </c>
    </row>
    <row r="702" spans="2:5">
      <c r="B702" s="218" t="s">
        <v>688</v>
      </c>
      <c r="C702" s="210" t="s">
        <v>21</v>
      </c>
      <c r="D702" s="211" t="s">
        <v>758</v>
      </c>
      <c r="E702" s="219" t="s">
        <v>1</v>
      </c>
    </row>
    <row r="703" spans="2:5">
      <c r="B703" s="218" t="s">
        <v>688</v>
      </c>
      <c r="C703" s="210" t="s">
        <v>21</v>
      </c>
      <c r="D703" s="211" t="s">
        <v>759</v>
      </c>
      <c r="E703" s="219" t="s">
        <v>1</v>
      </c>
    </row>
    <row r="704" spans="2:5">
      <c r="B704" s="218" t="s">
        <v>688</v>
      </c>
      <c r="C704" s="210" t="s">
        <v>21</v>
      </c>
      <c r="D704" s="211" t="s">
        <v>760</v>
      </c>
      <c r="E704" s="219" t="s">
        <v>1</v>
      </c>
    </row>
    <row r="705" spans="2:5">
      <c r="B705" s="218" t="s">
        <v>688</v>
      </c>
      <c r="C705" s="210" t="s">
        <v>21</v>
      </c>
      <c r="D705" s="211" t="s">
        <v>761</v>
      </c>
      <c r="E705" s="219" t="s">
        <v>1</v>
      </c>
    </row>
    <row r="706" spans="2:5">
      <c r="B706" s="218" t="s">
        <v>688</v>
      </c>
      <c r="C706" s="210" t="s">
        <v>21</v>
      </c>
      <c r="D706" s="211" t="s">
        <v>762</v>
      </c>
      <c r="E706" s="219" t="s">
        <v>1</v>
      </c>
    </row>
    <row r="707" spans="2:5">
      <c r="B707" s="218" t="s">
        <v>688</v>
      </c>
      <c r="C707" s="210" t="s">
        <v>21</v>
      </c>
      <c r="D707" s="211" t="s">
        <v>763</v>
      </c>
      <c r="E707" s="219" t="s">
        <v>1</v>
      </c>
    </row>
    <row r="708" spans="2:5">
      <c r="B708" s="218" t="s">
        <v>688</v>
      </c>
      <c r="C708" s="210" t="s">
        <v>21</v>
      </c>
      <c r="D708" s="211" t="s">
        <v>764</v>
      </c>
      <c r="E708" s="219" t="s">
        <v>1</v>
      </c>
    </row>
    <row r="709" spans="2:5">
      <c r="B709" s="218" t="s">
        <v>688</v>
      </c>
      <c r="C709" s="210" t="s">
        <v>21</v>
      </c>
      <c r="D709" s="211" t="s">
        <v>765</v>
      </c>
      <c r="E709" s="219" t="s">
        <v>1</v>
      </c>
    </row>
    <row r="710" spans="2:5">
      <c r="B710" s="218" t="s">
        <v>688</v>
      </c>
      <c r="C710" s="210" t="s">
        <v>21</v>
      </c>
      <c r="D710" s="211" t="s">
        <v>766</v>
      </c>
      <c r="E710" s="219" t="s">
        <v>1</v>
      </c>
    </row>
    <row r="711" spans="2:5">
      <c r="B711" s="218" t="s">
        <v>688</v>
      </c>
      <c r="C711" s="210" t="s">
        <v>21</v>
      </c>
      <c r="D711" s="211" t="s">
        <v>767</v>
      </c>
      <c r="E711" s="219" t="s">
        <v>1</v>
      </c>
    </row>
    <row r="712" spans="2:5">
      <c r="B712" s="218" t="s">
        <v>688</v>
      </c>
      <c r="C712" s="210" t="s">
        <v>21</v>
      </c>
      <c r="D712" s="211" t="s">
        <v>768</v>
      </c>
      <c r="E712" s="219" t="s">
        <v>1</v>
      </c>
    </row>
    <row r="713" spans="2:5">
      <c r="B713" s="218" t="s">
        <v>688</v>
      </c>
      <c r="C713" s="210" t="s">
        <v>21</v>
      </c>
      <c r="D713" s="211" t="s">
        <v>769</v>
      </c>
      <c r="E713" s="219" t="s">
        <v>1</v>
      </c>
    </row>
    <row r="714" spans="2:5">
      <c r="B714" s="218" t="s">
        <v>688</v>
      </c>
      <c r="C714" s="210" t="s">
        <v>21</v>
      </c>
      <c r="D714" s="211" t="s">
        <v>770</v>
      </c>
      <c r="E714" s="219" t="s">
        <v>1</v>
      </c>
    </row>
    <row r="715" spans="2:5">
      <c r="B715" s="218" t="s">
        <v>688</v>
      </c>
      <c r="C715" s="210" t="s">
        <v>21</v>
      </c>
      <c r="D715" s="211" t="s">
        <v>771</v>
      </c>
      <c r="E715" s="219" t="s">
        <v>1</v>
      </c>
    </row>
    <row r="716" spans="2:5">
      <c r="B716" s="218" t="s">
        <v>688</v>
      </c>
      <c r="C716" s="210" t="s">
        <v>21</v>
      </c>
      <c r="D716" s="211" t="s">
        <v>772</v>
      </c>
      <c r="E716" s="219" t="s">
        <v>1</v>
      </c>
    </row>
    <row r="717" spans="2:5">
      <c r="B717" s="218" t="s">
        <v>688</v>
      </c>
      <c r="C717" s="210" t="s">
        <v>21</v>
      </c>
      <c r="D717" s="211" t="s">
        <v>773</v>
      </c>
      <c r="E717" s="219" t="s">
        <v>1</v>
      </c>
    </row>
    <row r="718" spans="2:5">
      <c r="B718" s="218" t="s">
        <v>688</v>
      </c>
      <c r="C718" s="210" t="s">
        <v>21</v>
      </c>
      <c r="D718" s="211" t="s">
        <v>774</v>
      </c>
      <c r="E718" s="219" t="s">
        <v>1</v>
      </c>
    </row>
    <row r="719" spans="2:5">
      <c r="B719" s="218" t="s">
        <v>688</v>
      </c>
      <c r="C719" s="210" t="s">
        <v>21</v>
      </c>
      <c r="D719" s="211" t="s">
        <v>775</v>
      </c>
      <c r="E719" s="219" t="s">
        <v>1</v>
      </c>
    </row>
    <row r="720" spans="2:5">
      <c r="B720" s="218" t="s">
        <v>688</v>
      </c>
      <c r="C720" s="210" t="s">
        <v>21</v>
      </c>
      <c r="D720" s="211" t="s">
        <v>776</v>
      </c>
      <c r="E720" s="219" t="s">
        <v>1</v>
      </c>
    </row>
    <row r="721" spans="2:5">
      <c r="B721" s="218" t="s">
        <v>688</v>
      </c>
      <c r="C721" s="210" t="s">
        <v>21</v>
      </c>
      <c r="D721" s="211" t="s">
        <v>777</v>
      </c>
      <c r="E721" s="219" t="s">
        <v>1</v>
      </c>
    </row>
    <row r="722" spans="2:5">
      <c r="B722" s="218" t="s">
        <v>688</v>
      </c>
      <c r="C722" s="210" t="s">
        <v>21</v>
      </c>
      <c r="D722" s="211" t="s">
        <v>778</v>
      </c>
      <c r="E722" s="219" t="s">
        <v>1</v>
      </c>
    </row>
    <row r="723" spans="2:5">
      <c r="B723" s="218" t="s">
        <v>688</v>
      </c>
      <c r="C723" s="210" t="s">
        <v>21</v>
      </c>
      <c r="D723" s="211" t="s">
        <v>779</v>
      </c>
      <c r="E723" s="219" t="s">
        <v>1</v>
      </c>
    </row>
    <row r="724" spans="2:5">
      <c r="B724" s="218" t="s">
        <v>688</v>
      </c>
      <c r="C724" s="210" t="s">
        <v>21</v>
      </c>
      <c r="D724" s="211" t="s">
        <v>780</v>
      </c>
      <c r="E724" s="219" t="s">
        <v>1</v>
      </c>
    </row>
    <row r="725" spans="2:5">
      <c r="B725" s="218" t="s">
        <v>688</v>
      </c>
      <c r="C725" s="210" t="s">
        <v>21</v>
      </c>
      <c r="D725" s="211" t="s">
        <v>781</v>
      </c>
      <c r="E725" s="219" t="s">
        <v>1</v>
      </c>
    </row>
    <row r="726" spans="2:5">
      <c r="B726" s="218" t="s">
        <v>688</v>
      </c>
      <c r="C726" s="210" t="s">
        <v>21</v>
      </c>
      <c r="D726" s="211" t="s">
        <v>782</v>
      </c>
      <c r="E726" s="219" t="s">
        <v>1</v>
      </c>
    </row>
    <row r="727" spans="2:5">
      <c r="B727" s="218" t="s">
        <v>688</v>
      </c>
      <c r="C727" s="210" t="s">
        <v>21</v>
      </c>
      <c r="D727" s="211" t="s">
        <v>783</v>
      </c>
      <c r="E727" s="219" t="s">
        <v>1</v>
      </c>
    </row>
    <row r="728" spans="2:5">
      <c r="B728" s="218" t="s">
        <v>688</v>
      </c>
      <c r="C728" s="210" t="s">
        <v>21</v>
      </c>
      <c r="D728" s="211" t="s">
        <v>784</v>
      </c>
      <c r="E728" s="219" t="s">
        <v>1</v>
      </c>
    </row>
    <row r="729" spans="2:5">
      <c r="B729" s="218" t="s">
        <v>688</v>
      </c>
      <c r="C729" s="210" t="s">
        <v>21</v>
      </c>
      <c r="D729" s="211" t="s">
        <v>785</v>
      </c>
      <c r="E729" s="219" t="s">
        <v>1</v>
      </c>
    </row>
    <row r="730" spans="2:5">
      <c r="B730" s="218" t="s">
        <v>688</v>
      </c>
      <c r="C730" s="210" t="s">
        <v>21</v>
      </c>
      <c r="D730" s="211" t="s">
        <v>786</v>
      </c>
      <c r="E730" s="219" t="s">
        <v>1</v>
      </c>
    </row>
    <row r="731" spans="2:5">
      <c r="B731" s="218" t="s">
        <v>688</v>
      </c>
      <c r="C731" s="210" t="s">
        <v>21</v>
      </c>
      <c r="D731" s="211" t="s">
        <v>787</v>
      </c>
      <c r="E731" s="219" t="s">
        <v>1</v>
      </c>
    </row>
    <row r="732" spans="2:5">
      <c r="B732" s="218" t="s">
        <v>688</v>
      </c>
      <c r="C732" s="210" t="s">
        <v>21</v>
      </c>
      <c r="D732" s="211" t="s">
        <v>788</v>
      </c>
      <c r="E732" s="219" t="s">
        <v>1</v>
      </c>
    </row>
    <row r="733" spans="2:5">
      <c r="B733" s="218" t="s">
        <v>688</v>
      </c>
      <c r="C733" s="210" t="s">
        <v>21</v>
      </c>
      <c r="D733" s="211" t="s">
        <v>789</v>
      </c>
      <c r="E733" s="219" t="s">
        <v>1</v>
      </c>
    </row>
    <row r="734" spans="2:5">
      <c r="B734" s="218" t="s">
        <v>688</v>
      </c>
      <c r="C734" s="210" t="s">
        <v>21</v>
      </c>
      <c r="D734" s="211" t="s">
        <v>790</v>
      </c>
      <c r="E734" s="219" t="s">
        <v>1</v>
      </c>
    </row>
    <row r="735" spans="2:5">
      <c r="B735" s="218" t="s">
        <v>688</v>
      </c>
      <c r="C735" s="210" t="s">
        <v>21</v>
      </c>
      <c r="D735" s="211" t="s">
        <v>791</v>
      </c>
      <c r="E735" s="219" t="s">
        <v>1</v>
      </c>
    </row>
    <row r="736" spans="2:5">
      <c r="B736" s="218" t="s">
        <v>688</v>
      </c>
      <c r="C736" s="210" t="s">
        <v>21</v>
      </c>
      <c r="D736" s="211" t="s">
        <v>792</v>
      </c>
      <c r="E736" s="219" t="s">
        <v>1</v>
      </c>
    </row>
    <row r="737" spans="2:5">
      <c r="B737" s="218" t="s">
        <v>688</v>
      </c>
      <c r="C737" s="210" t="s">
        <v>21</v>
      </c>
      <c r="D737" s="211" t="s">
        <v>793</v>
      </c>
      <c r="E737" s="219" t="s">
        <v>1</v>
      </c>
    </row>
    <row r="738" spans="2:5">
      <c r="B738" s="218" t="s">
        <v>688</v>
      </c>
      <c r="C738" s="210" t="s">
        <v>21</v>
      </c>
      <c r="D738" s="211" t="s">
        <v>794</v>
      </c>
      <c r="E738" s="219" t="s">
        <v>1</v>
      </c>
    </row>
    <row r="739" spans="2:5">
      <c r="B739" s="218" t="s">
        <v>688</v>
      </c>
      <c r="C739" s="210" t="s">
        <v>21</v>
      </c>
      <c r="D739" s="211" t="s">
        <v>795</v>
      </c>
      <c r="E739" s="219" t="s">
        <v>1</v>
      </c>
    </row>
    <row r="740" spans="2:5">
      <c r="B740" s="218" t="s">
        <v>688</v>
      </c>
      <c r="C740" s="210" t="s">
        <v>21</v>
      </c>
      <c r="D740" s="211" t="s">
        <v>796</v>
      </c>
      <c r="E740" s="219" t="s">
        <v>1</v>
      </c>
    </row>
    <row r="741" spans="2:5">
      <c r="B741" s="218" t="s">
        <v>688</v>
      </c>
      <c r="C741" s="210" t="s">
        <v>21</v>
      </c>
      <c r="D741" s="211" t="s">
        <v>797</v>
      </c>
      <c r="E741" s="219" t="s">
        <v>1</v>
      </c>
    </row>
    <row r="742" spans="2:5">
      <c r="B742" s="218" t="s">
        <v>688</v>
      </c>
      <c r="C742" s="210" t="s">
        <v>21</v>
      </c>
      <c r="D742" s="211" t="s">
        <v>798</v>
      </c>
      <c r="E742" s="219" t="s">
        <v>1</v>
      </c>
    </row>
    <row r="743" spans="2:5">
      <c r="B743" s="218" t="s">
        <v>688</v>
      </c>
      <c r="C743" s="210" t="s">
        <v>21</v>
      </c>
      <c r="D743" s="211" t="s">
        <v>799</v>
      </c>
      <c r="E743" s="219" t="s">
        <v>1</v>
      </c>
    </row>
    <row r="744" spans="2:5">
      <c r="B744" s="218" t="s">
        <v>688</v>
      </c>
      <c r="C744" s="210" t="s">
        <v>21</v>
      </c>
      <c r="D744" s="211" t="s">
        <v>800</v>
      </c>
      <c r="E744" s="219" t="s">
        <v>1</v>
      </c>
    </row>
    <row r="745" spans="2:5">
      <c r="B745" s="218" t="s">
        <v>688</v>
      </c>
      <c r="C745" s="210" t="s">
        <v>21</v>
      </c>
      <c r="D745" s="211" t="s">
        <v>801</v>
      </c>
      <c r="E745" s="219" t="s">
        <v>1</v>
      </c>
    </row>
    <row r="746" spans="2:5">
      <c r="B746" s="218" t="s">
        <v>688</v>
      </c>
      <c r="C746" s="210" t="s">
        <v>21</v>
      </c>
      <c r="D746" s="211" t="s">
        <v>802</v>
      </c>
      <c r="E746" s="219" t="s">
        <v>1</v>
      </c>
    </row>
    <row r="747" spans="2:5">
      <c r="B747" s="218" t="s">
        <v>688</v>
      </c>
      <c r="C747" s="210" t="s">
        <v>21</v>
      </c>
      <c r="D747" s="211" t="s">
        <v>803</v>
      </c>
      <c r="E747" s="219" t="s">
        <v>1</v>
      </c>
    </row>
    <row r="748" spans="2:5">
      <c r="B748" s="218" t="s">
        <v>688</v>
      </c>
      <c r="C748" s="210" t="s">
        <v>21</v>
      </c>
      <c r="D748" s="211" t="s">
        <v>804</v>
      </c>
      <c r="E748" s="219" t="s">
        <v>1</v>
      </c>
    </row>
    <row r="749" spans="2:5">
      <c r="B749" s="218" t="s">
        <v>688</v>
      </c>
      <c r="C749" s="210" t="s">
        <v>21</v>
      </c>
      <c r="D749" s="211" t="s">
        <v>805</v>
      </c>
      <c r="E749" s="219" t="s">
        <v>1</v>
      </c>
    </row>
    <row r="750" spans="2:5">
      <c r="B750" s="218" t="s">
        <v>688</v>
      </c>
      <c r="C750" s="210" t="s">
        <v>21</v>
      </c>
      <c r="D750" s="211" t="s">
        <v>806</v>
      </c>
      <c r="E750" s="219" t="s">
        <v>1</v>
      </c>
    </row>
    <row r="751" spans="2:5">
      <c r="B751" s="218" t="s">
        <v>688</v>
      </c>
      <c r="C751" s="210" t="s">
        <v>21</v>
      </c>
      <c r="D751" s="211" t="s">
        <v>807</v>
      </c>
      <c r="E751" s="219" t="s">
        <v>1</v>
      </c>
    </row>
    <row r="752" spans="2:5">
      <c r="B752" s="218" t="s">
        <v>688</v>
      </c>
      <c r="C752" s="210" t="s">
        <v>21</v>
      </c>
      <c r="D752" s="211" t="s">
        <v>808</v>
      </c>
      <c r="E752" s="219" t="s">
        <v>1</v>
      </c>
    </row>
    <row r="753" spans="2:5">
      <c r="B753" s="218" t="s">
        <v>688</v>
      </c>
      <c r="C753" s="210" t="s">
        <v>21</v>
      </c>
      <c r="D753" s="211" t="s">
        <v>809</v>
      </c>
      <c r="E753" s="219" t="s">
        <v>1</v>
      </c>
    </row>
    <row r="754" spans="2:5">
      <c r="B754" s="218" t="s">
        <v>688</v>
      </c>
      <c r="C754" s="210" t="s">
        <v>21</v>
      </c>
      <c r="D754" s="211" t="s">
        <v>810</v>
      </c>
      <c r="E754" s="219" t="s">
        <v>1</v>
      </c>
    </row>
    <row r="755" spans="2:5">
      <c r="B755" s="218" t="s">
        <v>688</v>
      </c>
      <c r="C755" s="210" t="s">
        <v>21</v>
      </c>
      <c r="D755" s="211" t="s">
        <v>811</v>
      </c>
      <c r="E755" s="219" t="s">
        <v>1</v>
      </c>
    </row>
    <row r="756" spans="2:5">
      <c r="B756" s="218" t="s">
        <v>688</v>
      </c>
      <c r="C756" s="210" t="s">
        <v>21</v>
      </c>
      <c r="D756" s="211" t="s">
        <v>812</v>
      </c>
      <c r="E756" s="219" t="s">
        <v>1</v>
      </c>
    </row>
    <row r="757" spans="2:5">
      <c r="B757" s="218" t="s">
        <v>688</v>
      </c>
      <c r="C757" s="210" t="s">
        <v>21</v>
      </c>
      <c r="D757" s="211" t="s">
        <v>813</v>
      </c>
      <c r="E757" s="219" t="s">
        <v>1</v>
      </c>
    </row>
    <row r="758" spans="2:5">
      <c r="B758" s="218" t="s">
        <v>688</v>
      </c>
      <c r="C758" s="210" t="s">
        <v>21</v>
      </c>
      <c r="D758" s="211" t="s">
        <v>814</v>
      </c>
      <c r="E758" s="219" t="s">
        <v>1</v>
      </c>
    </row>
    <row r="759" spans="2:5">
      <c r="B759" s="218" t="s">
        <v>688</v>
      </c>
      <c r="C759" s="210" t="s">
        <v>21</v>
      </c>
      <c r="D759" s="211" t="s">
        <v>815</v>
      </c>
      <c r="E759" s="219" t="s">
        <v>1</v>
      </c>
    </row>
    <row r="760" spans="2:5">
      <c r="B760" s="218" t="s">
        <v>688</v>
      </c>
      <c r="C760" s="210" t="s">
        <v>21</v>
      </c>
      <c r="D760" s="211" t="s">
        <v>816</v>
      </c>
      <c r="E760" s="219" t="s">
        <v>1</v>
      </c>
    </row>
    <row r="761" spans="2:5">
      <c r="B761" s="218" t="s">
        <v>688</v>
      </c>
      <c r="C761" s="210" t="s">
        <v>21</v>
      </c>
      <c r="D761" s="211" t="s">
        <v>817</v>
      </c>
      <c r="E761" s="219" t="s">
        <v>1</v>
      </c>
    </row>
    <row r="762" spans="2:5">
      <c r="B762" s="218" t="s">
        <v>688</v>
      </c>
      <c r="C762" s="210" t="s">
        <v>21</v>
      </c>
      <c r="D762" s="211" t="s">
        <v>818</v>
      </c>
      <c r="E762" s="219" t="s">
        <v>1</v>
      </c>
    </row>
    <row r="763" spans="2:5">
      <c r="B763" s="218" t="s">
        <v>688</v>
      </c>
      <c r="C763" s="210" t="s">
        <v>21</v>
      </c>
      <c r="D763" s="211" t="s">
        <v>819</v>
      </c>
      <c r="E763" s="219" t="s">
        <v>1</v>
      </c>
    </row>
    <row r="764" spans="2:5">
      <c r="B764" s="218" t="s">
        <v>688</v>
      </c>
      <c r="C764" s="210" t="s">
        <v>21</v>
      </c>
      <c r="D764" s="211" t="s">
        <v>820</v>
      </c>
      <c r="E764" s="219" t="s">
        <v>1</v>
      </c>
    </row>
    <row r="765" spans="2:5">
      <c r="B765" s="218" t="s">
        <v>688</v>
      </c>
      <c r="C765" s="210" t="s">
        <v>21</v>
      </c>
      <c r="D765" s="211" t="s">
        <v>821</v>
      </c>
      <c r="E765" s="219" t="s">
        <v>1</v>
      </c>
    </row>
    <row r="766" spans="2:5">
      <c r="B766" s="218" t="s">
        <v>688</v>
      </c>
      <c r="C766" s="210" t="s">
        <v>21</v>
      </c>
      <c r="D766" s="211" t="s">
        <v>822</v>
      </c>
      <c r="E766" s="219" t="s">
        <v>1</v>
      </c>
    </row>
    <row r="767" spans="2:5">
      <c r="B767" s="218" t="s">
        <v>688</v>
      </c>
      <c r="C767" s="210" t="s">
        <v>21</v>
      </c>
      <c r="D767" s="211" t="s">
        <v>823</v>
      </c>
      <c r="E767" s="219" t="s">
        <v>1</v>
      </c>
    </row>
    <row r="768" spans="2:5">
      <c r="B768" s="218" t="s">
        <v>688</v>
      </c>
      <c r="C768" s="210" t="s">
        <v>21</v>
      </c>
      <c r="D768" s="211" t="s">
        <v>824</v>
      </c>
      <c r="E768" s="219" t="s">
        <v>1</v>
      </c>
    </row>
    <row r="769" spans="2:5">
      <c r="B769" s="218" t="s">
        <v>688</v>
      </c>
      <c r="C769" s="210" t="s">
        <v>21</v>
      </c>
      <c r="D769" s="211" t="s">
        <v>825</v>
      </c>
      <c r="E769" s="219" t="s">
        <v>1</v>
      </c>
    </row>
    <row r="770" spans="2:5">
      <c r="B770" s="218" t="s">
        <v>688</v>
      </c>
      <c r="C770" s="210" t="s">
        <v>21</v>
      </c>
      <c r="D770" s="211" t="s">
        <v>826</v>
      </c>
      <c r="E770" s="219" t="s">
        <v>1</v>
      </c>
    </row>
    <row r="771" spans="2:5">
      <c r="B771" s="218" t="s">
        <v>688</v>
      </c>
      <c r="C771" s="210" t="s">
        <v>21</v>
      </c>
      <c r="D771" s="211" t="s">
        <v>827</v>
      </c>
      <c r="E771" s="219" t="s">
        <v>1</v>
      </c>
    </row>
    <row r="772" spans="2:5">
      <c r="B772" s="218" t="s">
        <v>688</v>
      </c>
      <c r="C772" s="210" t="s">
        <v>21</v>
      </c>
      <c r="D772" s="211" t="s">
        <v>828</v>
      </c>
      <c r="E772" s="219" t="s">
        <v>1</v>
      </c>
    </row>
    <row r="773" spans="2:5">
      <c r="B773" s="218" t="s">
        <v>688</v>
      </c>
      <c r="C773" s="210" t="s">
        <v>21</v>
      </c>
      <c r="D773" s="211" t="s">
        <v>829</v>
      </c>
      <c r="E773" s="219" t="s">
        <v>1</v>
      </c>
    </row>
    <row r="774" spans="2:5">
      <c r="B774" s="218" t="s">
        <v>688</v>
      </c>
      <c r="C774" s="210" t="s">
        <v>21</v>
      </c>
      <c r="D774" s="211" t="s">
        <v>830</v>
      </c>
      <c r="E774" s="219" t="s">
        <v>1</v>
      </c>
    </row>
    <row r="775" spans="2:5">
      <c r="B775" s="218" t="s">
        <v>688</v>
      </c>
      <c r="C775" s="210" t="s">
        <v>21</v>
      </c>
      <c r="D775" s="211" t="s">
        <v>831</v>
      </c>
      <c r="E775" s="219" t="s">
        <v>1</v>
      </c>
    </row>
    <row r="776" spans="2:5">
      <c r="B776" s="218" t="s">
        <v>688</v>
      </c>
      <c r="C776" s="210" t="s">
        <v>21</v>
      </c>
      <c r="D776" s="211" t="s">
        <v>832</v>
      </c>
      <c r="E776" s="219" t="s">
        <v>1</v>
      </c>
    </row>
    <row r="777" spans="2:5">
      <c r="B777" s="218" t="s">
        <v>688</v>
      </c>
      <c r="C777" s="210" t="s">
        <v>21</v>
      </c>
      <c r="D777" s="211" t="s">
        <v>833</v>
      </c>
      <c r="E777" s="219" t="s">
        <v>1</v>
      </c>
    </row>
    <row r="778" spans="2:5">
      <c r="B778" s="218" t="s">
        <v>688</v>
      </c>
      <c r="C778" s="210" t="s">
        <v>21</v>
      </c>
      <c r="D778" s="211" t="s">
        <v>834</v>
      </c>
      <c r="E778" s="219" t="s">
        <v>1</v>
      </c>
    </row>
    <row r="779" spans="2:5">
      <c r="B779" s="218" t="s">
        <v>688</v>
      </c>
      <c r="C779" s="210" t="s">
        <v>21</v>
      </c>
      <c r="D779" s="211" t="s">
        <v>835</v>
      </c>
      <c r="E779" s="219" t="s">
        <v>1</v>
      </c>
    </row>
    <row r="780" spans="2:5">
      <c r="B780" s="218" t="s">
        <v>688</v>
      </c>
      <c r="C780" s="210" t="s">
        <v>21</v>
      </c>
      <c r="D780" s="211" t="s">
        <v>836</v>
      </c>
      <c r="E780" s="219" t="s">
        <v>1</v>
      </c>
    </row>
    <row r="781" spans="2:5">
      <c r="B781" s="218" t="s">
        <v>688</v>
      </c>
      <c r="C781" s="210" t="s">
        <v>21</v>
      </c>
      <c r="D781" s="211" t="s">
        <v>837</v>
      </c>
      <c r="E781" s="219" t="s">
        <v>1</v>
      </c>
    </row>
    <row r="782" spans="2:5">
      <c r="B782" s="218" t="s">
        <v>688</v>
      </c>
      <c r="C782" s="210" t="s">
        <v>21</v>
      </c>
      <c r="D782" s="211" t="s">
        <v>838</v>
      </c>
      <c r="E782" s="219" t="s">
        <v>1</v>
      </c>
    </row>
    <row r="783" spans="2:5">
      <c r="B783" s="218" t="s">
        <v>688</v>
      </c>
      <c r="C783" s="210" t="s">
        <v>21</v>
      </c>
      <c r="D783" s="211" t="s">
        <v>839</v>
      </c>
      <c r="E783" s="219" t="s">
        <v>1</v>
      </c>
    </row>
    <row r="784" spans="2:5">
      <c r="B784" s="218" t="s">
        <v>688</v>
      </c>
      <c r="C784" s="210" t="s">
        <v>21</v>
      </c>
      <c r="D784" s="211" t="s">
        <v>840</v>
      </c>
      <c r="E784" s="219" t="s">
        <v>1</v>
      </c>
    </row>
    <row r="785" spans="2:5">
      <c r="B785" s="218" t="s">
        <v>688</v>
      </c>
      <c r="C785" s="210" t="s">
        <v>21</v>
      </c>
      <c r="D785" s="211" t="s">
        <v>841</v>
      </c>
      <c r="E785" s="219" t="s">
        <v>1</v>
      </c>
    </row>
    <row r="786" spans="2:5">
      <c r="B786" s="218" t="s">
        <v>688</v>
      </c>
      <c r="C786" s="210" t="s">
        <v>21</v>
      </c>
      <c r="D786" s="211" t="s">
        <v>842</v>
      </c>
      <c r="E786" s="219" t="s">
        <v>1</v>
      </c>
    </row>
    <row r="787" spans="2:5">
      <c r="B787" s="218" t="s">
        <v>688</v>
      </c>
      <c r="C787" s="210" t="s">
        <v>21</v>
      </c>
      <c r="D787" s="211" t="s">
        <v>843</v>
      </c>
      <c r="E787" s="219" t="s">
        <v>1</v>
      </c>
    </row>
    <row r="788" spans="2:5">
      <c r="B788" s="218" t="s">
        <v>688</v>
      </c>
      <c r="C788" s="210" t="s">
        <v>21</v>
      </c>
      <c r="D788" s="211" t="s">
        <v>844</v>
      </c>
      <c r="E788" s="219" t="s">
        <v>1</v>
      </c>
    </row>
    <row r="789" spans="2:5">
      <c r="B789" s="218" t="s">
        <v>688</v>
      </c>
      <c r="C789" s="210" t="s">
        <v>21</v>
      </c>
      <c r="D789" s="211" t="s">
        <v>845</v>
      </c>
      <c r="E789" s="219" t="s">
        <v>1</v>
      </c>
    </row>
    <row r="790" spans="2:5">
      <c r="B790" s="218" t="s">
        <v>688</v>
      </c>
      <c r="C790" s="210" t="s">
        <v>21</v>
      </c>
      <c r="D790" s="211" t="s">
        <v>846</v>
      </c>
      <c r="E790" s="219" t="s">
        <v>1</v>
      </c>
    </row>
    <row r="791" spans="2:5">
      <c r="B791" s="218" t="s">
        <v>688</v>
      </c>
      <c r="C791" s="210" t="s">
        <v>21</v>
      </c>
      <c r="D791" s="211" t="s">
        <v>847</v>
      </c>
      <c r="E791" s="219" t="s">
        <v>1</v>
      </c>
    </row>
    <row r="792" spans="2:5">
      <c r="B792" s="218" t="s">
        <v>688</v>
      </c>
      <c r="C792" s="210" t="s">
        <v>21</v>
      </c>
      <c r="D792" s="211" t="s">
        <v>848</v>
      </c>
      <c r="E792" s="219" t="s">
        <v>1</v>
      </c>
    </row>
    <row r="793" spans="2:5">
      <c r="B793" s="218" t="s">
        <v>688</v>
      </c>
      <c r="C793" s="210" t="s">
        <v>21</v>
      </c>
      <c r="D793" s="211" t="s">
        <v>849</v>
      </c>
      <c r="E793" s="219" t="s">
        <v>1</v>
      </c>
    </row>
    <row r="794" spans="2:5">
      <c r="B794" s="218" t="s">
        <v>688</v>
      </c>
      <c r="C794" s="210" t="s">
        <v>21</v>
      </c>
      <c r="D794" s="211" t="s">
        <v>850</v>
      </c>
      <c r="E794" s="219" t="s">
        <v>1</v>
      </c>
    </row>
    <row r="795" spans="2:5">
      <c r="B795" s="218" t="s">
        <v>688</v>
      </c>
      <c r="C795" s="210" t="s">
        <v>21</v>
      </c>
      <c r="D795" s="211" t="s">
        <v>851</v>
      </c>
      <c r="E795" s="219" t="s">
        <v>1</v>
      </c>
    </row>
    <row r="796" spans="2:5">
      <c r="B796" s="218" t="s">
        <v>688</v>
      </c>
      <c r="C796" s="210" t="s">
        <v>21</v>
      </c>
      <c r="D796" s="211" t="s">
        <v>852</v>
      </c>
      <c r="E796" s="219" t="s">
        <v>1</v>
      </c>
    </row>
    <row r="797" spans="2:5">
      <c r="B797" s="218" t="s">
        <v>688</v>
      </c>
      <c r="C797" s="210" t="s">
        <v>21</v>
      </c>
      <c r="D797" s="211" t="s">
        <v>853</v>
      </c>
      <c r="E797" s="219" t="s">
        <v>1</v>
      </c>
    </row>
    <row r="798" spans="2:5">
      <c r="B798" s="218" t="s">
        <v>688</v>
      </c>
      <c r="C798" s="210" t="s">
        <v>21</v>
      </c>
      <c r="D798" s="211" t="s">
        <v>854</v>
      </c>
      <c r="E798" s="219" t="s">
        <v>1</v>
      </c>
    </row>
    <row r="799" spans="2:5">
      <c r="B799" s="218" t="s">
        <v>688</v>
      </c>
      <c r="C799" s="210" t="s">
        <v>21</v>
      </c>
      <c r="D799" s="211" t="s">
        <v>20</v>
      </c>
      <c r="E799" s="219" t="s">
        <v>1</v>
      </c>
    </row>
    <row r="800" spans="2:5">
      <c r="B800" s="218" t="s">
        <v>688</v>
      </c>
      <c r="C800" s="210" t="s">
        <v>21</v>
      </c>
      <c r="D800" s="211" t="s">
        <v>855</v>
      </c>
      <c r="E800" s="219" t="s">
        <v>1</v>
      </c>
    </row>
    <row r="801" spans="2:5">
      <c r="B801" s="218" t="s">
        <v>688</v>
      </c>
      <c r="C801" s="210" t="s">
        <v>21</v>
      </c>
      <c r="D801" s="211" t="s">
        <v>856</v>
      </c>
      <c r="E801" s="219" t="s">
        <v>1</v>
      </c>
    </row>
    <row r="802" spans="2:5">
      <c r="B802" s="218" t="s">
        <v>688</v>
      </c>
      <c r="C802" s="210" t="s">
        <v>21</v>
      </c>
      <c r="D802" s="211" t="s">
        <v>857</v>
      </c>
      <c r="E802" s="219" t="s">
        <v>1</v>
      </c>
    </row>
    <row r="803" spans="2:5">
      <c r="B803" s="218" t="s">
        <v>688</v>
      </c>
      <c r="C803" s="210" t="s">
        <v>21</v>
      </c>
      <c r="D803" s="211" t="s">
        <v>858</v>
      </c>
      <c r="E803" s="219" t="s">
        <v>1738</v>
      </c>
    </row>
    <row r="804" spans="2:5">
      <c r="B804" s="218" t="s">
        <v>688</v>
      </c>
      <c r="C804" s="210" t="s">
        <v>21</v>
      </c>
      <c r="D804" s="211" t="s">
        <v>859</v>
      </c>
      <c r="E804" s="219" t="s">
        <v>1738</v>
      </c>
    </row>
    <row r="805" spans="2:5">
      <c r="B805" s="218" t="s">
        <v>688</v>
      </c>
      <c r="C805" s="210" t="s">
        <v>21</v>
      </c>
      <c r="D805" s="211" t="s">
        <v>860</v>
      </c>
      <c r="E805" s="219" t="s">
        <v>1738</v>
      </c>
    </row>
    <row r="806" spans="2:5">
      <c r="B806" s="218" t="s">
        <v>688</v>
      </c>
      <c r="C806" s="210" t="s">
        <v>21</v>
      </c>
      <c r="D806" s="211" t="s">
        <v>861</v>
      </c>
      <c r="E806" s="219" t="s">
        <v>1</v>
      </c>
    </row>
    <row r="807" spans="2:5">
      <c r="B807" s="218" t="s">
        <v>688</v>
      </c>
      <c r="C807" s="210" t="s">
        <v>21</v>
      </c>
      <c r="D807" s="211" t="s">
        <v>862</v>
      </c>
      <c r="E807" s="219" t="s">
        <v>1</v>
      </c>
    </row>
    <row r="808" spans="2:5">
      <c r="B808" s="218" t="s">
        <v>688</v>
      </c>
      <c r="C808" s="210" t="s">
        <v>21</v>
      </c>
      <c r="D808" s="211" t="s">
        <v>863</v>
      </c>
      <c r="E808" s="219" t="s">
        <v>1</v>
      </c>
    </row>
    <row r="809" spans="2:5">
      <c r="B809" s="218" t="s">
        <v>688</v>
      </c>
      <c r="C809" s="210" t="s">
        <v>21</v>
      </c>
      <c r="D809" s="211" t="s">
        <v>864</v>
      </c>
      <c r="E809" s="219" t="s">
        <v>1</v>
      </c>
    </row>
    <row r="810" spans="2:5">
      <c r="B810" s="218" t="s">
        <v>688</v>
      </c>
      <c r="C810" s="210" t="s">
        <v>21</v>
      </c>
      <c r="D810" s="211" t="s">
        <v>865</v>
      </c>
      <c r="E810" s="219" t="s">
        <v>1</v>
      </c>
    </row>
    <row r="811" spans="2:5">
      <c r="B811" s="218" t="s">
        <v>688</v>
      </c>
      <c r="C811" s="210" t="s">
        <v>21</v>
      </c>
      <c r="D811" s="211" t="s">
        <v>866</v>
      </c>
      <c r="E811" s="219" t="s">
        <v>1</v>
      </c>
    </row>
    <row r="812" spans="2:5">
      <c r="B812" s="218" t="s">
        <v>688</v>
      </c>
      <c r="C812" s="210" t="s">
        <v>21</v>
      </c>
      <c r="D812" s="211" t="s">
        <v>867</v>
      </c>
      <c r="E812" s="219" t="s">
        <v>1</v>
      </c>
    </row>
    <row r="813" spans="2:5">
      <c r="B813" s="218" t="s">
        <v>688</v>
      </c>
      <c r="C813" s="210" t="s">
        <v>21</v>
      </c>
      <c r="D813" s="211" t="s">
        <v>868</v>
      </c>
      <c r="E813" s="219" t="s">
        <v>1</v>
      </c>
    </row>
    <row r="814" spans="2:5">
      <c r="B814" s="218" t="s">
        <v>688</v>
      </c>
      <c r="C814" s="210" t="s">
        <v>21</v>
      </c>
      <c r="D814" s="211" t="s">
        <v>869</v>
      </c>
      <c r="E814" s="219" t="s">
        <v>1</v>
      </c>
    </row>
    <row r="815" spans="2:5">
      <c r="B815" s="218" t="s">
        <v>688</v>
      </c>
      <c r="C815" s="210" t="s">
        <v>21</v>
      </c>
      <c r="D815" s="211" t="s">
        <v>870</v>
      </c>
      <c r="E815" s="219" t="s">
        <v>1</v>
      </c>
    </row>
    <row r="816" spans="2:5">
      <c r="B816" s="218" t="s">
        <v>688</v>
      </c>
      <c r="C816" s="210" t="s">
        <v>21</v>
      </c>
      <c r="D816" s="211" t="s">
        <v>871</v>
      </c>
      <c r="E816" s="219" t="s">
        <v>1</v>
      </c>
    </row>
    <row r="817" spans="2:5">
      <c r="B817" s="218" t="s">
        <v>688</v>
      </c>
      <c r="C817" s="210" t="s">
        <v>21</v>
      </c>
      <c r="D817" s="211" t="s">
        <v>872</v>
      </c>
      <c r="E817" s="219" t="s">
        <v>1</v>
      </c>
    </row>
    <row r="818" spans="2:5">
      <c r="B818" s="218" t="s">
        <v>688</v>
      </c>
      <c r="C818" s="210" t="s">
        <v>21</v>
      </c>
      <c r="D818" s="211" t="s">
        <v>873</v>
      </c>
      <c r="E818" s="219" t="s">
        <v>1</v>
      </c>
    </row>
    <row r="819" spans="2:5">
      <c r="B819" s="218" t="s">
        <v>688</v>
      </c>
      <c r="C819" s="210" t="s">
        <v>21</v>
      </c>
      <c r="D819" s="211" t="s">
        <v>874</v>
      </c>
      <c r="E819" s="219" t="s">
        <v>1</v>
      </c>
    </row>
    <row r="820" spans="2:5">
      <c r="B820" s="218" t="s">
        <v>688</v>
      </c>
      <c r="C820" s="210" t="s">
        <v>21</v>
      </c>
      <c r="D820" s="211" t="s">
        <v>875</v>
      </c>
      <c r="E820" s="219" t="s">
        <v>1</v>
      </c>
    </row>
    <row r="821" spans="2:5">
      <c r="B821" s="218" t="s">
        <v>688</v>
      </c>
      <c r="C821" s="210" t="s">
        <v>21</v>
      </c>
      <c r="D821" s="211" t="s">
        <v>876</v>
      </c>
      <c r="E821" s="219" t="s">
        <v>1</v>
      </c>
    </row>
    <row r="822" spans="2:5">
      <c r="B822" s="218" t="s">
        <v>688</v>
      </c>
      <c r="C822" s="210" t="s">
        <v>21</v>
      </c>
      <c r="D822" s="211" t="s">
        <v>877</v>
      </c>
      <c r="E822" s="219" t="s">
        <v>1</v>
      </c>
    </row>
    <row r="823" spans="2:5">
      <c r="B823" s="218" t="s">
        <v>688</v>
      </c>
      <c r="C823" s="210" t="s">
        <v>21</v>
      </c>
      <c r="D823" s="211" t="s">
        <v>878</v>
      </c>
      <c r="E823" s="219" t="s">
        <v>1</v>
      </c>
    </row>
    <row r="824" spans="2:5">
      <c r="B824" s="218" t="s">
        <v>688</v>
      </c>
      <c r="C824" s="210" t="s">
        <v>21</v>
      </c>
      <c r="D824" s="211" t="s">
        <v>879</v>
      </c>
      <c r="E824" s="219" t="s">
        <v>1</v>
      </c>
    </row>
    <row r="825" spans="2:5">
      <c r="B825" s="218" t="s">
        <v>688</v>
      </c>
      <c r="C825" s="210" t="s">
        <v>21</v>
      </c>
      <c r="D825" s="211" t="s">
        <v>880</v>
      </c>
      <c r="E825" s="219" t="s">
        <v>1</v>
      </c>
    </row>
    <row r="826" spans="2:5">
      <c r="B826" s="218" t="s">
        <v>688</v>
      </c>
      <c r="C826" s="210" t="s">
        <v>21</v>
      </c>
      <c r="D826" s="211" t="s">
        <v>881</v>
      </c>
      <c r="E826" s="219" t="s">
        <v>1</v>
      </c>
    </row>
    <row r="827" spans="2:5">
      <c r="B827" s="218" t="s">
        <v>688</v>
      </c>
      <c r="C827" s="210" t="s">
        <v>21</v>
      </c>
      <c r="D827" s="211" t="s">
        <v>882</v>
      </c>
      <c r="E827" s="219" t="s">
        <v>1</v>
      </c>
    </row>
    <row r="828" spans="2:5">
      <c r="B828" s="218" t="s">
        <v>688</v>
      </c>
      <c r="C828" s="210" t="s">
        <v>21</v>
      </c>
      <c r="D828" s="211" t="s">
        <v>883</v>
      </c>
      <c r="E828" s="219" t="s">
        <v>1</v>
      </c>
    </row>
    <row r="829" spans="2:5">
      <c r="B829" s="218" t="s">
        <v>688</v>
      </c>
      <c r="C829" s="210" t="s">
        <v>21</v>
      </c>
      <c r="D829" s="211" t="s">
        <v>884</v>
      </c>
      <c r="E829" s="219" t="s">
        <v>1</v>
      </c>
    </row>
    <row r="830" spans="2:5">
      <c r="B830" s="218" t="s">
        <v>688</v>
      </c>
      <c r="C830" s="210" t="s">
        <v>21</v>
      </c>
      <c r="D830" s="211" t="s">
        <v>885</v>
      </c>
      <c r="E830" s="219" t="s">
        <v>1</v>
      </c>
    </row>
    <row r="831" spans="2:5">
      <c r="B831" s="218" t="s">
        <v>688</v>
      </c>
      <c r="C831" s="210" t="s">
        <v>21</v>
      </c>
      <c r="D831" s="211" t="s">
        <v>886</v>
      </c>
      <c r="E831" s="219" t="s">
        <v>1</v>
      </c>
    </row>
    <row r="832" spans="2:5">
      <c r="B832" s="218" t="s">
        <v>688</v>
      </c>
      <c r="C832" s="210" t="s">
        <v>21</v>
      </c>
      <c r="D832" s="211" t="s">
        <v>887</v>
      </c>
      <c r="E832" s="219" t="s">
        <v>1</v>
      </c>
    </row>
    <row r="833" spans="2:5">
      <c r="B833" s="218" t="s">
        <v>688</v>
      </c>
      <c r="C833" s="210" t="s">
        <v>21</v>
      </c>
      <c r="D833" s="211" t="s">
        <v>888</v>
      </c>
      <c r="E833" s="219" t="s">
        <v>1</v>
      </c>
    </row>
    <row r="834" spans="2:5">
      <c r="B834" s="218" t="s">
        <v>688</v>
      </c>
      <c r="C834" s="210" t="s">
        <v>21</v>
      </c>
      <c r="D834" s="211" t="s">
        <v>889</v>
      </c>
      <c r="E834" s="219" t="s">
        <v>1</v>
      </c>
    </row>
    <row r="835" spans="2:5">
      <c r="B835" s="218" t="s">
        <v>688</v>
      </c>
      <c r="C835" s="210" t="s">
        <v>21</v>
      </c>
      <c r="D835" s="211" t="s">
        <v>890</v>
      </c>
      <c r="E835" s="219" t="s">
        <v>1</v>
      </c>
    </row>
    <row r="836" spans="2:5">
      <c r="B836" s="218" t="s">
        <v>688</v>
      </c>
      <c r="C836" s="210" t="s">
        <v>21</v>
      </c>
      <c r="D836" s="211" t="s">
        <v>891</v>
      </c>
      <c r="E836" s="219" t="s">
        <v>1</v>
      </c>
    </row>
    <row r="837" spans="2:5">
      <c r="B837" s="218" t="s">
        <v>688</v>
      </c>
      <c r="C837" s="210" t="s">
        <v>21</v>
      </c>
      <c r="D837" s="211" t="s">
        <v>892</v>
      </c>
      <c r="E837" s="219" t="s">
        <v>1</v>
      </c>
    </row>
    <row r="838" spans="2:5">
      <c r="B838" s="218" t="s">
        <v>688</v>
      </c>
      <c r="C838" s="210" t="s">
        <v>21</v>
      </c>
      <c r="D838" s="211" t="s">
        <v>893</v>
      </c>
      <c r="E838" s="219" t="s">
        <v>1</v>
      </c>
    </row>
    <row r="839" spans="2:5">
      <c r="B839" s="218" t="s">
        <v>688</v>
      </c>
      <c r="C839" s="210" t="s">
        <v>21</v>
      </c>
      <c r="D839" s="211" t="s">
        <v>894</v>
      </c>
      <c r="E839" s="219" t="s">
        <v>1</v>
      </c>
    </row>
    <row r="840" spans="2:5">
      <c r="B840" s="218" t="s">
        <v>688</v>
      </c>
      <c r="C840" s="210" t="s">
        <v>21</v>
      </c>
      <c r="D840" s="211" t="s">
        <v>895</v>
      </c>
      <c r="E840" s="219" t="s">
        <v>1</v>
      </c>
    </row>
    <row r="841" spans="2:5">
      <c r="B841" s="218" t="s">
        <v>688</v>
      </c>
      <c r="C841" s="210" t="s">
        <v>21</v>
      </c>
      <c r="D841" s="211" t="s">
        <v>896</v>
      </c>
      <c r="E841" s="219" t="s">
        <v>1</v>
      </c>
    </row>
    <row r="842" spans="2:5">
      <c r="B842" s="218" t="s">
        <v>688</v>
      </c>
      <c r="C842" s="210" t="s">
        <v>21</v>
      </c>
      <c r="D842" s="211" t="s">
        <v>897</v>
      </c>
      <c r="E842" s="219" t="s">
        <v>1</v>
      </c>
    </row>
    <row r="843" spans="2:5">
      <c r="B843" s="218" t="s">
        <v>688</v>
      </c>
      <c r="C843" s="210" t="s">
        <v>21</v>
      </c>
      <c r="D843" s="211" t="s">
        <v>898</v>
      </c>
      <c r="E843" s="219" t="s">
        <v>1</v>
      </c>
    </row>
    <row r="844" spans="2:5">
      <c r="B844" s="218" t="s">
        <v>688</v>
      </c>
      <c r="C844" s="210" t="s">
        <v>21</v>
      </c>
      <c r="D844" s="211" t="s">
        <v>899</v>
      </c>
      <c r="E844" s="219" t="s">
        <v>1</v>
      </c>
    </row>
    <row r="845" spans="2:5">
      <c r="B845" s="218" t="s">
        <v>688</v>
      </c>
      <c r="C845" s="210" t="s">
        <v>21</v>
      </c>
      <c r="D845" s="211" t="s">
        <v>900</v>
      </c>
      <c r="E845" s="219" t="s">
        <v>1</v>
      </c>
    </row>
    <row r="846" spans="2:5">
      <c r="B846" s="218" t="s">
        <v>688</v>
      </c>
      <c r="C846" s="210" t="s">
        <v>21</v>
      </c>
      <c r="D846" s="211" t="s">
        <v>901</v>
      </c>
      <c r="E846" s="219" t="s">
        <v>1</v>
      </c>
    </row>
    <row r="847" spans="2:5">
      <c r="B847" s="218" t="s">
        <v>688</v>
      </c>
      <c r="C847" s="210" t="s">
        <v>21</v>
      </c>
      <c r="D847" s="211" t="s">
        <v>902</v>
      </c>
      <c r="E847" s="219" t="s">
        <v>1</v>
      </c>
    </row>
    <row r="848" spans="2:5">
      <c r="B848" s="218" t="s">
        <v>688</v>
      </c>
      <c r="C848" s="210" t="s">
        <v>21</v>
      </c>
      <c r="D848" s="211" t="s">
        <v>903</v>
      </c>
      <c r="E848" s="219" t="s">
        <v>1</v>
      </c>
    </row>
    <row r="849" spans="2:5">
      <c r="B849" s="218" t="s">
        <v>688</v>
      </c>
      <c r="C849" s="210" t="s">
        <v>21</v>
      </c>
      <c r="D849" s="211" t="s">
        <v>904</v>
      </c>
      <c r="E849" s="219" t="s">
        <v>1</v>
      </c>
    </row>
    <row r="850" spans="2:5">
      <c r="B850" s="218" t="s">
        <v>688</v>
      </c>
      <c r="C850" s="210" t="s">
        <v>21</v>
      </c>
      <c r="D850" s="211" t="s">
        <v>905</v>
      </c>
      <c r="E850" s="219" t="s">
        <v>1</v>
      </c>
    </row>
    <row r="851" spans="2:5">
      <c r="B851" s="218" t="s">
        <v>688</v>
      </c>
      <c r="C851" s="210" t="s">
        <v>21</v>
      </c>
      <c r="D851" s="211" t="s">
        <v>906</v>
      </c>
      <c r="E851" s="219" t="s">
        <v>1</v>
      </c>
    </row>
    <row r="852" spans="2:5">
      <c r="B852" s="218" t="s">
        <v>688</v>
      </c>
      <c r="C852" s="210" t="s">
        <v>21</v>
      </c>
      <c r="D852" s="211" t="s">
        <v>907</v>
      </c>
      <c r="E852" s="219" t="s">
        <v>1</v>
      </c>
    </row>
    <row r="853" spans="2:5">
      <c r="B853" s="218" t="s">
        <v>688</v>
      </c>
      <c r="C853" s="210" t="s">
        <v>21</v>
      </c>
      <c r="D853" s="211" t="s">
        <v>908</v>
      </c>
      <c r="E853" s="219" t="s">
        <v>1</v>
      </c>
    </row>
    <row r="854" spans="2:5">
      <c r="B854" s="218" t="s">
        <v>688</v>
      </c>
      <c r="C854" s="210" t="s">
        <v>21</v>
      </c>
      <c r="D854" s="211" t="s">
        <v>909</v>
      </c>
      <c r="E854" s="219" t="s">
        <v>1</v>
      </c>
    </row>
    <row r="855" spans="2:5">
      <c r="B855" s="218" t="s">
        <v>688</v>
      </c>
      <c r="C855" s="210" t="s">
        <v>21</v>
      </c>
      <c r="D855" s="211" t="s">
        <v>910</v>
      </c>
      <c r="E855" s="219" t="s">
        <v>1</v>
      </c>
    </row>
    <row r="856" spans="2:5">
      <c r="B856" s="218" t="s">
        <v>688</v>
      </c>
      <c r="C856" s="210" t="s">
        <v>21</v>
      </c>
      <c r="D856" s="211" t="s">
        <v>911</v>
      </c>
      <c r="E856" s="219" t="s">
        <v>1</v>
      </c>
    </row>
    <row r="857" spans="2:5">
      <c r="B857" s="218" t="s">
        <v>688</v>
      </c>
      <c r="C857" s="210" t="s">
        <v>21</v>
      </c>
      <c r="D857" s="211" t="s">
        <v>912</v>
      </c>
      <c r="E857" s="219" t="s">
        <v>1</v>
      </c>
    </row>
    <row r="858" spans="2:5">
      <c r="B858" s="218" t="s">
        <v>688</v>
      </c>
      <c r="C858" s="210" t="s">
        <v>21</v>
      </c>
      <c r="D858" s="211" t="s">
        <v>913</v>
      </c>
      <c r="E858" s="219" t="s">
        <v>1</v>
      </c>
    </row>
    <row r="859" spans="2:5">
      <c r="B859" s="218" t="s">
        <v>688</v>
      </c>
      <c r="C859" s="210" t="s">
        <v>21</v>
      </c>
      <c r="D859" s="211" t="s">
        <v>914</v>
      </c>
      <c r="E859" s="219" t="s">
        <v>1</v>
      </c>
    </row>
    <row r="860" spans="2:5">
      <c r="B860" s="218" t="s">
        <v>688</v>
      </c>
      <c r="C860" s="210" t="s">
        <v>21</v>
      </c>
      <c r="D860" s="211" t="s">
        <v>915</v>
      </c>
      <c r="E860" s="219" t="s">
        <v>1</v>
      </c>
    </row>
    <row r="861" spans="2:5">
      <c r="B861" s="218" t="s">
        <v>688</v>
      </c>
      <c r="C861" s="210" t="s">
        <v>21</v>
      </c>
      <c r="D861" s="211" t="s">
        <v>916</v>
      </c>
      <c r="E861" s="219" t="s">
        <v>1</v>
      </c>
    </row>
    <row r="862" spans="2:5">
      <c r="B862" s="218" t="s">
        <v>688</v>
      </c>
      <c r="C862" s="210" t="s">
        <v>21</v>
      </c>
      <c r="D862" s="211" t="s">
        <v>917</v>
      </c>
      <c r="E862" s="219" t="s">
        <v>1</v>
      </c>
    </row>
    <row r="863" spans="2:5">
      <c r="B863" s="218" t="s">
        <v>688</v>
      </c>
      <c r="C863" s="210" t="s">
        <v>21</v>
      </c>
      <c r="D863" s="211" t="s">
        <v>918</v>
      </c>
      <c r="E863" s="219" t="s">
        <v>1</v>
      </c>
    </row>
    <row r="864" spans="2:5">
      <c r="B864" s="218" t="s">
        <v>688</v>
      </c>
      <c r="C864" s="210" t="s">
        <v>21</v>
      </c>
      <c r="D864" s="211" t="s">
        <v>919</v>
      </c>
      <c r="E864" s="219" t="s">
        <v>1</v>
      </c>
    </row>
    <row r="865" spans="2:5">
      <c r="B865" s="218" t="s">
        <v>688</v>
      </c>
      <c r="C865" s="210" t="s">
        <v>21</v>
      </c>
      <c r="D865" s="211" t="s">
        <v>920</v>
      </c>
      <c r="E865" s="219" t="s">
        <v>1</v>
      </c>
    </row>
    <row r="866" spans="2:5">
      <c r="B866" s="218" t="s">
        <v>688</v>
      </c>
      <c r="C866" s="210" t="s">
        <v>21</v>
      </c>
      <c r="D866" s="211" t="s">
        <v>921</v>
      </c>
      <c r="E866" s="219" t="s">
        <v>1</v>
      </c>
    </row>
    <row r="867" spans="2:5">
      <c r="B867" s="218" t="s">
        <v>688</v>
      </c>
      <c r="C867" s="210" t="s">
        <v>21</v>
      </c>
      <c r="D867" s="211" t="s">
        <v>922</v>
      </c>
      <c r="E867" s="219" t="s">
        <v>1</v>
      </c>
    </row>
    <row r="868" spans="2:5">
      <c r="B868" s="218" t="s">
        <v>688</v>
      </c>
      <c r="C868" s="210" t="s">
        <v>21</v>
      </c>
      <c r="D868" s="211" t="s">
        <v>923</v>
      </c>
      <c r="E868" s="219" t="s">
        <v>1</v>
      </c>
    </row>
    <row r="869" spans="2:5">
      <c r="B869" s="218" t="s">
        <v>688</v>
      </c>
      <c r="C869" s="210" t="s">
        <v>21</v>
      </c>
      <c r="D869" s="211" t="s">
        <v>924</v>
      </c>
      <c r="E869" s="219" t="s">
        <v>1</v>
      </c>
    </row>
    <row r="870" spans="2:5">
      <c r="B870" s="218" t="s">
        <v>688</v>
      </c>
      <c r="C870" s="210" t="s">
        <v>21</v>
      </c>
      <c r="D870" s="211" t="s">
        <v>925</v>
      </c>
      <c r="E870" s="219" t="s">
        <v>1</v>
      </c>
    </row>
    <row r="871" spans="2:5">
      <c r="B871" s="218" t="s">
        <v>688</v>
      </c>
      <c r="C871" s="210" t="s">
        <v>21</v>
      </c>
      <c r="D871" s="211" t="s">
        <v>926</v>
      </c>
      <c r="E871" s="219" t="s">
        <v>1</v>
      </c>
    </row>
    <row r="872" spans="2:5">
      <c r="B872" s="218" t="s">
        <v>688</v>
      </c>
      <c r="C872" s="210" t="s">
        <v>21</v>
      </c>
      <c r="D872" s="211" t="s">
        <v>927</v>
      </c>
      <c r="E872" s="219" t="s">
        <v>1</v>
      </c>
    </row>
    <row r="873" spans="2:5">
      <c r="B873" s="218" t="s">
        <v>688</v>
      </c>
      <c r="C873" s="210" t="s">
        <v>21</v>
      </c>
      <c r="D873" s="211" t="s">
        <v>928</v>
      </c>
      <c r="E873" s="219" t="s">
        <v>1</v>
      </c>
    </row>
    <row r="874" spans="2:5">
      <c r="B874" s="218" t="s">
        <v>688</v>
      </c>
      <c r="C874" s="210" t="s">
        <v>21</v>
      </c>
      <c r="D874" s="211" t="s">
        <v>929</v>
      </c>
      <c r="E874" s="219" t="s">
        <v>1</v>
      </c>
    </row>
    <row r="875" spans="2:5">
      <c r="B875" s="218" t="s">
        <v>688</v>
      </c>
      <c r="C875" s="210" t="s">
        <v>21</v>
      </c>
      <c r="D875" s="211" t="s">
        <v>930</v>
      </c>
      <c r="E875" s="219" t="s">
        <v>1</v>
      </c>
    </row>
    <row r="876" spans="2:5">
      <c r="B876" s="218" t="s">
        <v>688</v>
      </c>
      <c r="C876" s="210" t="s">
        <v>21</v>
      </c>
      <c r="D876" s="211" t="s">
        <v>931</v>
      </c>
      <c r="E876" s="219" t="s">
        <v>1</v>
      </c>
    </row>
    <row r="877" spans="2:5">
      <c r="B877" s="218" t="s">
        <v>688</v>
      </c>
      <c r="C877" s="210" t="s">
        <v>21</v>
      </c>
      <c r="D877" s="211" t="s">
        <v>932</v>
      </c>
      <c r="E877" s="219" t="s">
        <v>1</v>
      </c>
    </row>
    <row r="878" spans="2:5">
      <c r="B878" s="218" t="s">
        <v>688</v>
      </c>
      <c r="C878" s="210" t="s">
        <v>21</v>
      </c>
      <c r="D878" s="211" t="s">
        <v>933</v>
      </c>
      <c r="E878" s="219" t="s">
        <v>1</v>
      </c>
    </row>
    <row r="879" spans="2:5">
      <c r="B879" s="218" t="s">
        <v>688</v>
      </c>
      <c r="C879" s="210" t="s">
        <v>21</v>
      </c>
      <c r="D879" s="211" t="s">
        <v>934</v>
      </c>
      <c r="E879" s="219" t="s">
        <v>1</v>
      </c>
    </row>
    <row r="880" spans="2:5">
      <c r="B880" s="218" t="s">
        <v>688</v>
      </c>
      <c r="C880" s="210" t="s">
        <v>21</v>
      </c>
      <c r="D880" s="211" t="s">
        <v>935</v>
      </c>
      <c r="E880" s="219" t="s">
        <v>1</v>
      </c>
    </row>
    <row r="881" spans="2:5">
      <c r="B881" s="218" t="s">
        <v>688</v>
      </c>
      <c r="C881" s="210" t="s">
        <v>21</v>
      </c>
      <c r="D881" s="211" t="s">
        <v>936</v>
      </c>
      <c r="E881" s="219" t="s">
        <v>1</v>
      </c>
    </row>
    <row r="882" spans="2:5">
      <c r="B882" s="218" t="s">
        <v>688</v>
      </c>
      <c r="C882" s="210" t="s">
        <v>21</v>
      </c>
      <c r="D882" s="211" t="s">
        <v>937</v>
      </c>
      <c r="E882" s="219" t="s">
        <v>1</v>
      </c>
    </row>
    <row r="883" spans="2:5">
      <c r="B883" s="218" t="s">
        <v>688</v>
      </c>
      <c r="C883" s="210" t="s">
        <v>21</v>
      </c>
      <c r="D883" s="211" t="s">
        <v>938</v>
      </c>
      <c r="E883" s="219" t="s">
        <v>1</v>
      </c>
    </row>
    <row r="884" spans="2:5">
      <c r="B884" s="218" t="s">
        <v>688</v>
      </c>
      <c r="C884" s="210" t="s">
        <v>21</v>
      </c>
      <c r="D884" s="211" t="s">
        <v>939</v>
      </c>
      <c r="E884" s="219" t="s">
        <v>1</v>
      </c>
    </row>
    <row r="885" spans="2:5">
      <c r="B885" s="218" t="s">
        <v>688</v>
      </c>
      <c r="C885" s="210" t="s">
        <v>21</v>
      </c>
      <c r="D885" s="211" t="s">
        <v>940</v>
      </c>
      <c r="E885" s="219" t="s">
        <v>1</v>
      </c>
    </row>
    <row r="886" spans="2:5">
      <c r="B886" s="218" t="s">
        <v>688</v>
      </c>
      <c r="C886" s="210" t="s">
        <v>21</v>
      </c>
      <c r="D886" s="211" t="s">
        <v>941</v>
      </c>
      <c r="E886" s="219" t="s">
        <v>1</v>
      </c>
    </row>
    <row r="887" spans="2:5">
      <c r="B887" s="218" t="s">
        <v>688</v>
      </c>
      <c r="C887" s="210" t="s">
        <v>21</v>
      </c>
      <c r="D887" s="211" t="s">
        <v>942</v>
      </c>
      <c r="E887" s="219" t="s">
        <v>1</v>
      </c>
    </row>
    <row r="888" spans="2:5">
      <c r="B888" s="218" t="s">
        <v>688</v>
      </c>
      <c r="C888" s="210" t="s">
        <v>21</v>
      </c>
      <c r="D888" s="211" t="s">
        <v>943</v>
      </c>
      <c r="E888" s="219" t="s">
        <v>1</v>
      </c>
    </row>
    <row r="889" spans="2:5">
      <c r="B889" s="218" t="s">
        <v>944</v>
      </c>
      <c r="C889" s="210" t="s">
        <v>23</v>
      </c>
      <c r="D889" s="211" t="s">
        <v>945</v>
      </c>
      <c r="E889" s="219" t="s">
        <v>1</v>
      </c>
    </row>
    <row r="890" spans="2:5">
      <c r="B890" s="218" t="s">
        <v>944</v>
      </c>
      <c r="C890" s="210" t="s">
        <v>23</v>
      </c>
      <c r="D890" s="211" t="s">
        <v>946</v>
      </c>
      <c r="E890" s="219" t="s">
        <v>1</v>
      </c>
    </row>
    <row r="891" spans="2:5">
      <c r="B891" s="218" t="s">
        <v>944</v>
      </c>
      <c r="C891" s="210" t="s">
        <v>23</v>
      </c>
      <c r="D891" s="211" t="s">
        <v>947</v>
      </c>
      <c r="E891" s="219" t="s">
        <v>1</v>
      </c>
    </row>
    <row r="892" spans="2:5">
      <c r="B892" s="218" t="s">
        <v>944</v>
      </c>
      <c r="C892" s="210" t="s">
        <v>23</v>
      </c>
      <c r="D892" s="211" t="s">
        <v>948</v>
      </c>
      <c r="E892" s="219" t="s">
        <v>1</v>
      </c>
    </row>
    <row r="893" spans="2:5">
      <c r="B893" s="218" t="s">
        <v>944</v>
      </c>
      <c r="C893" s="210" t="s">
        <v>23</v>
      </c>
      <c r="D893" s="211" t="s">
        <v>949</v>
      </c>
      <c r="E893" s="219" t="s">
        <v>1</v>
      </c>
    </row>
    <row r="894" spans="2:5">
      <c r="B894" s="218" t="s">
        <v>944</v>
      </c>
      <c r="C894" s="210" t="s">
        <v>23</v>
      </c>
      <c r="D894" s="211" t="s">
        <v>950</v>
      </c>
      <c r="E894" s="219" t="s">
        <v>1</v>
      </c>
    </row>
    <row r="895" spans="2:5">
      <c r="B895" s="218" t="s">
        <v>944</v>
      </c>
      <c r="C895" s="210" t="s">
        <v>23</v>
      </c>
      <c r="D895" s="211" t="s">
        <v>951</v>
      </c>
      <c r="E895" s="219" t="s">
        <v>1</v>
      </c>
    </row>
    <row r="896" spans="2:5">
      <c r="B896" s="218" t="s">
        <v>944</v>
      </c>
      <c r="C896" s="210" t="s">
        <v>23</v>
      </c>
      <c r="D896" s="211" t="s">
        <v>952</v>
      </c>
      <c r="E896" s="219" t="s">
        <v>1</v>
      </c>
    </row>
    <row r="897" spans="2:5">
      <c r="B897" s="218" t="s">
        <v>944</v>
      </c>
      <c r="C897" s="210" t="s">
        <v>23</v>
      </c>
      <c r="D897" s="211" t="s">
        <v>953</v>
      </c>
      <c r="E897" s="219" t="s">
        <v>1</v>
      </c>
    </row>
    <row r="898" spans="2:5">
      <c r="B898" s="218" t="s">
        <v>944</v>
      </c>
      <c r="C898" s="210" t="s">
        <v>23</v>
      </c>
      <c r="D898" s="211" t="s">
        <v>954</v>
      </c>
      <c r="E898" s="219" t="s">
        <v>1</v>
      </c>
    </row>
    <row r="899" spans="2:5">
      <c r="B899" s="218" t="s">
        <v>944</v>
      </c>
      <c r="C899" s="210" t="s">
        <v>23</v>
      </c>
      <c r="D899" s="211" t="s">
        <v>955</v>
      </c>
      <c r="E899" s="219" t="s">
        <v>1</v>
      </c>
    </row>
    <row r="900" spans="2:5">
      <c r="B900" s="218" t="s">
        <v>944</v>
      </c>
      <c r="C900" s="210" t="s">
        <v>23</v>
      </c>
      <c r="D900" s="211" t="s">
        <v>956</v>
      </c>
      <c r="E900" s="219" t="s">
        <v>1</v>
      </c>
    </row>
    <row r="901" spans="2:5">
      <c r="B901" s="218" t="s">
        <v>944</v>
      </c>
      <c r="C901" s="210" t="s">
        <v>23</v>
      </c>
      <c r="D901" s="211" t="s">
        <v>957</v>
      </c>
      <c r="E901" s="219" t="s">
        <v>1</v>
      </c>
    </row>
    <row r="902" spans="2:5">
      <c r="B902" s="218" t="s">
        <v>944</v>
      </c>
      <c r="C902" s="210" t="s">
        <v>23</v>
      </c>
      <c r="D902" s="211" t="s">
        <v>958</v>
      </c>
      <c r="E902" s="219" t="s">
        <v>1</v>
      </c>
    </row>
    <row r="903" spans="2:5">
      <c r="B903" s="218" t="s">
        <v>944</v>
      </c>
      <c r="C903" s="210" t="s">
        <v>23</v>
      </c>
      <c r="D903" s="211" t="s">
        <v>959</v>
      </c>
      <c r="E903" s="219" t="s">
        <v>1</v>
      </c>
    </row>
    <row r="904" spans="2:5">
      <c r="B904" s="218" t="s">
        <v>944</v>
      </c>
      <c r="C904" s="210" t="s">
        <v>23</v>
      </c>
      <c r="D904" s="211" t="s">
        <v>960</v>
      </c>
      <c r="E904" s="219" t="s">
        <v>1</v>
      </c>
    </row>
    <row r="905" spans="2:5">
      <c r="B905" s="218" t="s">
        <v>944</v>
      </c>
      <c r="C905" s="210" t="s">
        <v>23</v>
      </c>
      <c r="D905" s="211" t="s">
        <v>961</v>
      </c>
      <c r="E905" s="219" t="s">
        <v>1</v>
      </c>
    </row>
    <row r="906" spans="2:5">
      <c r="B906" s="218" t="s">
        <v>944</v>
      </c>
      <c r="C906" s="210" t="s">
        <v>23</v>
      </c>
      <c r="D906" s="211" t="s">
        <v>962</v>
      </c>
      <c r="E906" s="219" t="s">
        <v>1</v>
      </c>
    </row>
    <row r="907" spans="2:5">
      <c r="B907" s="218" t="s">
        <v>944</v>
      </c>
      <c r="C907" s="210" t="s">
        <v>23</v>
      </c>
      <c r="D907" s="211" t="s">
        <v>963</v>
      </c>
      <c r="E907" s="219" t="s">
        <v>1</v>
      </c>
    </row>
    <row r="908" spans="2:5">
      <c r="B908" s="218" t="s">
        <v>944</v>
      </c>
      <c r="C908" s="210" t="s">
        <v>23</v>
      </c>
      <c r="D908" s="211" t="s">
        <v>964</v>
      </c>
      <c r="E908" s="219" t="s">
        <v>1</v>
      </c>
    </row>
    <row r="909" spans="2:5">
      <c r="B909" s="218" t="s">
        <v>944</v>
      </c>
      <c r="C909" s="210" t="s">
        <v>23</v>
      </c>
      <c r="D909" s="211" t="s">
        <v>965</v>
      </c>
      <c r="E909" s="219" t="s">
        <v>1</v>
      </c>
    </row>
    <row r="910" spans="2:5">
      <c r="B910" s="218" t="s">
        <v>944</v>
      </c>
      <c r="C910" s="210" t="s">
        <v>23</v>
      </c>
      <c r="D910" s="211" t="s">
        <v>966</v>
      </c>
      <c r="E910" s="219" t="s">
        <v>1</v>
      </c>
    </row>
    <row r="911" spans="2:5">
      <c r="B911" s="218" t="s">
        <v>944</v>
      </c>
      <c r="C911" s="210" t="s">
        <v>23</v>
      </c>
      <c r="D911" s="211" t="s">
        <v>967</v>
      </c>
      <c r="E911" s="219" t="s">
        <v>1</v>
      </c>
    </row>
    <row r="912" spans="2:5">
      <c r="B912" s="218" t="s">
        <v>944</v>
      </c>
      <c r="C912" s="210" t="s">
        <v>23</v>
      </c>
      <c r="D912" s="211" t="s">
        <v>968</v>
      </c>
      <c r="E912" s="219" t="s">
        <v>1</v>
      </c>
    </row>
    <row r="913" spans="2:5">
      <c r="B913" s="218" t="s">
        <v>944</v>
      </c>
      <c r="C913" s="210" t="s">
        <v>23</v>
      </c>
      <c r="D913" s="211" t="s">
        <v>969</v>
      </c>
      <c r="E913" s="219" t="s">
        <v>1</v>
      </c>
    </row>
    <row r="914" spans="2:5">
      <c r="B914" s="218" t="s">
        <v>944</v>
      </c>
      <c r="C914" s="210" t="s">
        <v>23</v>
      </c>
      <c r="D914" s="211" t="s">
        <v>970</v>
      </c>
      <c r="E914" s="219" t="s">
        <v>1</v>
      </c>
    </row>
    <row r="915" spans="2:5">
      <c r="B915" s="218" t="s">
        <v>944</v>
      </c>
      <c r="C915" s="210" t="s">
        <v>23</v>
      </c>
      <c r="D915" s="211" t="s">
        <v>971</v>
      </c>
      <c r="E915" s="219" t="s">
        <v>1</v>
      </c>
    </row>
    <row r="916" spans="2:5">
      <c r="B916" s="218" t="s">
        <v>944</v>
      </c>
      <c r="C916" s="210" t="s">
        <v>23</v>
      </c>
      <c r="D916" s="211" t="s">
        <v>972</v>
      </c>
      <c r="E916" s="219" t="s">
        <v>1</v>
      </c>
    </row>
    <row r="917" spans="2:5">
      <c r="B917" s="218" t="s">
        <v>944</v>
      </c>
      <c r="C917" s="210" t="s">
        <v>23</v>
      </c>
      <c r="D917" s="211" t="s">
        <v>973</v>
      </c>
      <c r="E917" s="219" t="s">
        <v>1</v>
      </c>
    </row>
    <row r="918" spans="2:5">
      <c r="B918" s="218" t="s">
        <v>944</v>
      </c>
      <c r="C918" s="210" t="s">
        <v>23</v>
      </c>
      <c r="D918" s="211" t="s">
        <v>974</v>
      </c>
      <c r="E918" s="219" t="s">
        <v>1</v>
      </c>
    </row>
    <row r="919" spans="2:5">
      <c r="B919" s="218" t="s">
        <v>944</v>
      </c>
      <c r="C919" s="210" t="s">
        <v>23</v>
      </c>
      <c r="D919" s="211" t="s">
        <v>975</v>
      </c>
      <c r="E919" s="219" t="s">
        <v>1</v>
      </c>
    </row>
    <row r="920" spans="2:5">
      <c r="B920" s="218" t="s">
        <v>944</v>
      </c>
      <c r="C920" s="210" t="s">
        <v>23</v>
      </c>
      <c r="D920" s="211" t="s">
        <v>976</v>
      </c>
      <c r="E920" s="219" t="s">
        <v>1</v>
      </c>
    </row>
    <row r="921" spans="2:5">
      <c r="B921" s="218" t="s">
        <v>944</v>
      </c>
      <c r="C921" s="210" t="s">
        <v>23</v>
      </c>
      <c r="D921" s="211" t="s">
        <v>977</v>
      </c>
      <c r="E921" s="219" t="s">
        <v>1</v>
      </c>
    </row>
    <row r="922" spans="2:5">
      <c r="B922" s="218" t="s">
        <v>944</v>
      </c>
      <c r="C922" s="210" t="s">
        <v>23</v>
      </c>
      <c r="D922" s="211" t="s">
        <v>978</v>
      </c>
      <c r="E922" s="219" t="s">
        <v>1</v>
      </c>
    </row>
    <row r="923" spans="2:5">
      <c r="B923" s="218" t="s">
        <v>944</v>
      </c>
      <c r="C923" s="210" t="s">
        <v>23</v>
      </c>
      <c r="D923" s="211" t="s">
        <v>22</v>
      </c>
      <c r="E923" s="219" t="s">
        <v>1</v>
      </c>
    </row>
    <row r="924" spans="2:5">
      <c r="B924" s="218" t="s">
        <v>944</v>
      </c>
      <c r="C924" s="210" t="s">
        <v>23</v>
      </c>
      <c r="D924" s="211" t="s">
        <v>979</v>
      </c>
      <c r="E924" s="219" t="s">
        <v>1</v>
      </c>
    </row>
    <row r="925" spans="2:5">
      <c r="B925" s="218" t="s">
        <v>944</v>
      </c>
      <c r="C925" s="210" t="s">
        <v>23</v>
      </c>
      <c r="D925" s="211" t="s">
        <v>980</v>
      </c>
      <c r="E925" s="219" t="s">
        <v>1</v>
      </c>
    </row>
    <row r="926" spans="2:5">
      <c r="B926" s="218" t="s">
        <v>944</v>
      </c>
      <c r="C926" s="210" t="s">
        <v>23</v>
      </c>
      <c r="D926" s="211" t="s">
        <v>981</v>
      </c>
      <c r="E926" s="219" t="s">
        <v>1</v>
      </c>
    </row>
    <row r="927" spans="2:5">
      <c r="B927" s="218" t="s">
        <v>944</v>
      </c>
      <c r="C927" s="210" t="s">
        <v>23</v>
      </c>
      <c r="D927" s="211" t="s">
        <v>982</v>
      </c>
      <c r="E927" s="219" t="s">
        <v>1</v>
      </c>
    </row>
    <row r="928" spans="2:5">
      <c r="B928" s="218" t="s">
        <v>944</v>
      </c>
      <c r="C928" s="210" t="s">
        <v>23</v>
      </c>
      <c r="D928" s="211" t="s">
        <v>983</v>
      </c>
      <c r="E928" s="219" t="s">
        <v>1</v>
      </c>
    </row>
    <row r="929" spans="2:5">
      <c r="B929" s="218" t="s">
        <v>944</v>
      </c>
      <c r="C929" s="210" t="s">
        <v>23</v>
      </c>
      <c r="D929" s="211" t="s">
        <v>984</v>
      </c>
      <c r="E929" s="219" t="s">
        <v>1</v>
      </c>
    </row>
    <row r="930" spans="2:5">
      <c r="B930" s="218" t="s">
        <v>944</v>
      </c>
      <c r="C930" s="210" t="s">
        <v>23</v>
      </c>
      <c r="D930" s="211" t="s">
        <v>985</v>
      </c>
      <c r="E930" s="219" t="s">
        <v>1</v>
      </c>
    </row>
    <row r="931" spans="2:5">
      <c r="B931" s="218" t="s">
        <v>944</v>
      </c>
      <c r="C931" s="210" t="s">
        <v>23</v>
      </c>
      <c r="D931" s="211" t="s">
        <v>986</v>
      </c>
      <c r="E931" s="219" t="s">
        <v>1</v>
      </c>
    </row>
    <row r="932" spans="2:5">
      <c r="B932" s="218" t="s">
        <v>944</v>
      </c>
      <c r="C932" s="210" t="s">
        <v>23</v>
      </c>
      <c r="D932" s="211" t="s">
        <v>987</v>
      </c>
      <c r="E932" s="219" t="s">
        <v>1</v>
      </c>
    </row>
    <row r="933" spans="2:5">
      <c r="B933" s="218" t="s">
        <v>944</v>
      </c>
      <c r="C933" s="210" t="s">
        <v>23</v>
      </c>
      <c r="D933" s="211" t="s">
        <v>988</v>
      </c>
      <c r="E933" s="219" t="s">
        <v>1</v>
      </c>
    </row>
    <row r="934" spans="2:5">
      <c r="B934" s="218" t="s">
        <v>944</v>
      </c>
      <c r="C934" s="210" t="s">
        <v>23</v>
      </c>
      <c r="D934" s="211" t="s">
        <v>989</v>
      </c>
      <c r="E934" s="219" t="s">
        <v>1</v>
      </c>
    </row>
    <row r="935" spans="2:5">
      <c r="B935" s="218" t="s">
        <v>944</v>
      </c>
      <c r="C935" s="210" t="s">
        <v>23</v>
      </c>
      <c r="D935" s="211" t="s">
        <v>990</v>
      </c>
      <c r="E935" s="219" t="s">
        <v>1</v>
      </c>
    </row>
    <row r="936" spans="2:5">
      <c r="B936" s="218" t="s">
        <v>944</v>
      </c>
      <c r="C936" s="210" t="s">
        <v>23</v>
      </c>
      <c r="D936" s="211" t="s">
        <v>991</v>
      </c>
      <c r="E936" s="219" t="s">
        <v>1</v>
      </c>
    </row>
    <row r="937" spans="2:5">
      <c r="B937" s="218" t="s">
        <v>944</v>
      </c>
      <c r="C937" s="210" t="s">
        <v>23</v>
      </c>
      <c r="D937" s="211" t="s">
        <v>992</v>
      </c>
      <c r="E937" s="219" t="s">
        <v>1</v>
      </c>
    </row>
    <row r="938" spans="2:5">
      <c r="B938" s="218" t="s">
        <v>944</v>
      </c>
      <c r="C938" s="210" t="s">
        <v>23</v>
      </c>
      <c r="D938" s="211" t="s">
        <v>993</v>
      </c>
      <c r="E938" s="219" t="s">
        <v>1</v>
      </c>
    </row>
    <row r="939" spans="2:5">
      <c r="B939" s="218" t="s">
        <v>944</v>
      </c>
      <c r="C939" s="210" t="s">
        <v>23</v>
      </c>
      <c r="D939" s="211" t="s">
        <v>994</v>
      </c>
      <c r="E939" s="219" t="s">
        <v>1</v>
      </c>
    </row>
    <row r="940" spans="2:5">
      <c r="B940" s="218" t="s">
        <v>944</v>
      </c>
      <c r="C940" s="210" t="s">
        <v>23</v>
      </c>
      <c r="D940" s="211" t="s">
        <v>995</v>
      </c>
      <c r="E940" s="219" t="s">
        <v>1</v>
      </c>
    </row>
    <row r="941" spans="2:5">
      <c r="B941" s="218" t="s">
        <v>944</v>
      </c>
      <c r="C941" s="210" t="s">
        <v>23</v>
      </c>
      <c r="D941" s="211" t="s">
        <v>996</v>
      </c>
      <c r="E941" s="219" t="s">
        <v>1</v>
      </c>
    </row>
    <row r="942" spans="2:5">
      <c r="B942" s="218" t="s">
        <v>944</v>
      </c>
      <c r="C942" s="210" t="s">
        <v>23</v>
      </c>
      <c r="D942" s="211" t="s">
        <v>997</v>
      </c>
      <c r="E942" s="219" t="s">
        <v>1</v>
      </c>
    </row>
    <row r="943" spans="2:5">
      <c r="B943" s="218" t="s">
        <v>944</v>
      </c>
      <c r="C943" s="210" t="s">
        <v>23</v>
      </c>
      <c r="D943" s="211" t="s">
        <v>998</v>
      </c>
      <c r="E943" s="219" t="s">
        <v>1</v>
      </c>
    </row>
    <row r="944" spans="2:5">
      <c r="B944" s="218" t="s">
        <v>944</v>
      </c>
      <c r="C944" s="210" t="s">
        <v>23</v>
      </c>
      <c r="D944" s="211" t="s">
        <v>999</v>
      </c>
      <c r="E944" s="219" t="s">
        <v>1</v>
      </c>
    </row>
    <row r="945" spans="2:5">
      <c r="B945" s="218" t="s">
        <v>944</v>
      </c>
      <c r="C945" s="210" t="s">
        <v>23</v>
      </c>
      <c r="D945" s="211" t="s">
        <v>1000</v>
      </c>
      <c r="E945" s="219" t="s">
        <v>1</v>
      </c>
    </row>
    <row r="946" spans="2:5">
      <c r="B946" s="218" t="s">
        <v>944</v>
      </c>
      <c r="C946" s="210" t="s">
        <v>23</v>
      </c>
      <c r="D946" s="211" t="s">
        <v>1001</v>
      </c>
      <c r="E946" s="219" t="s">
        <v>1</v>
      </c>
    </row>
    <row r="947" spans="2:5">
      <c r="B947" s="218" t="s">
        <v>944</v>
      </c>
      <c r="C947" s="210" t="s">
        <v>23</v>
      </c>
      <c r="D947" s="211" t="s">
        <v>1002</v>
      </c>
      <c r="E947" s="219" t="s">
        <v>1</v>
      </c>
    </row>
    <row r="948" spans="2:5">
      <c r="B948" s="218" t="s">
        <v>944</v>
      </c>
      <c r="C948" s="210" t="s">
        <v>23</v>
      </c>
      <c r="D948" s="211" t="s">
        <v>1003</v>
      </c>
      <c r="E948" s="219" t="s">
        <v>1</v>
      </c>
    </row>
    <row r="949" spans="2:5">
      <c r="B949" s="218" t="s">
        <v>944</v>
      </c>
      <c r="C949" s="210" t="s">
        <v>23</v>
      </c>
      <c r="D949" s="211" t="s">
        <v>1004</v>
      </c>
      <c r="E949" s="219" t="s">
        <v>1</v>
      </c>
    </row>
    <row r="950" spans="2:5">
      <c r="B950" s="218" t="s">
        <v>944</v>
      </c>
      <c r="C950" s="210" t="s">
        <v>23</v>
      </c>
      <c r="D950" s="211" t="s">
        <v>1005</v>
      </c>
      <c r="E950" s="219" t="s">
        <v>1</v>
      </c>
    </row>
    <row r="951" spans="2:5">
      <c r="B951" s="218" t="s">
        <v>944</v>
      </c>
      <c r="C951" s="210" t="s">
        <v>23</v>
      </c>
      <c r="D951" s="211" t="s">
        <v>1006</v>
      </c>
      <c r="E951" s="219" t="s">
        <v>1</v>
      </c>
    </row>
    <row r="952" spans="2:5">
      <c r="B952" s="218" t="s">
        <v>944</v>
      </c>
      <c r="C952" s="210" t="s">
        <v>23</v>
      </c>
      <c r="D952" s="211" t="s">
        <v>1007</v>
      </c>
      <c r="E952" s="219" t="s">
        <v>1</v>
      </c>
    </row>
    <row r="953" spans="2:5">
      <c r="B953" s="218" t="s">
        <v>944</v>
      </c>
      <c r="C953" s="210" t="s">
        <v>23</v>
      </c>
      <c r="D953" s="211" t="s">
        <v>1008</v>
      </c>
      <c r="E953" s="219" t="s">
        <v>1</v>
      </c>
    </row>
    <row r="954" spans="2:5">
      <c r="B954" s="218" t="s">
        <v>944</v>
      </c>
      <c r="C954" s="210" t="s">
        <v>23</v>
      </c>
      <c r="D954" s="211" t="s">
        <v>1009</v>
      </c>
      <c r="E954" s="219" t="s">
        <v>1</v>
      </c>
    </row>
    <row r="955" spans="2:5">
      <c r="B955" s="218" t="s">
        <v>944</v>
      </c>
      <c r="C955" s="210" t="s">
        <v>23</v>
      </c>
      <c r="D955" s="211" t="s">
        <v>1010</v>
      </c>
      <c r="E955" s="219" t="s">
        <v>1</v>
      </c>
    </row>
    <row r="956" spans="2:5">
      <c r="B956" s="218" t="s">
        <v>944</v>
      </c>
      <c r="C956" s="210" t="s">
        <v>23</v>
      </c>
      <c r="D956" s="211" t="s">
        <v>1011</v>
      </c>
      <c r="E956" s="219" t="s">
        <v>1</v>
      </c>
    </row>
    <row r="957" spans="2:5">
      <c r="B957" s="218" t="s">
        <v>944</v>
      </c>
      <c r="C957" s="210" t="s">
        <v>23</v>
      </c>
      <c r="D957" s="211" t="s">
        <v>1012</v>
      </c>
      <c r="E957" s="219" t="s">
        <v>1</v>
      </c>
    </row>
    <row r="958" spans="2:5">
      <c r="B958" s="218" t="s">
        <v>944</v>
      </c>
      <c r="C958" s="210" t="s">
        <v>23</v>
      </c>
      <c r="D958" s="211" t="s">
        <v>1013</v>
      </c>
      <c r="E958" s="219" t="s">
        <v>1</v>
      </c>
    </row>
    <row r="959" spans="2:5">
      <c r="B959" s="218" t="s">
        <v>944</v>
      </c>
      <c r="C959" s="210" t="s">
        <v>23</v>
      </c>
      <c r="D959" s="211" t="s">
        <v>1014</v>
      </c>
      <c r="E959" s="219" t="s">
        <v>1</v>
      </c>
    </row>
    <row r="960" spans="2:5">
      <c r="B960" s="218" t="s">
        <v>944</v>
      </c>
      <c r="C960" s="210" t="s">
        <v>23</v>
      </c>
      <c r="D960" s="211" t="s">
        <v>1015</v>
      </c>
      <c r="E960" s="219" t="s">
        <v>1</v>
      </c>
    </row>
    <row r="961" spans="2:5">
      <c r="B961" s="218" t="s">
        <v>944</v>
      </c>
      <c r="C961" s="210" t="s">
        <v>23</v>
      </c>
      <c r="D961" s="211" t="s">
        <v>1016</v>
      </c>
      <c r="E961" s="219" t="s">
        <v>1</v>
      </c>
    </row>
    <row r="962" spans="2:5">
      <c r="B962" s="218" t="s">
        <v>944</v>
      </c>
      <c r="C962" s="210" t="s">
        <v>23</v>
      </c>
      <c r="D962" s="211" t="s">
        <v>1017</v>
      </c>
      <c r="E962" s="219" t="s">
        <v>1</v>
      </c>
    </row>
    <row r="963" spans="2:5">
      <c r="B963" s="218" t="s">
        <v>944</v>
      </c>
      <c r="C963" s="210" t="s">
        <v>23</v>
      </c>
      <c r="D963" s="211" t="s">
        <v>1018</v>
      </c>
      <c r="E963" s="219" t="s">
        <v>1</v>
      </c>
    </row>
    <row r="964" spans="2:5">
      <c r="B964" s="218" t="s">
        <v>944</v>
      </c>
      <c r="C964" s="210" t="s">
        <v>23</v>
      </c>
      <c r="D964" s="211" t="s">
        <v>1019</v>
      </c>
      <c r="E964" s="219" t="s">
        <v>1</v>
      </c>
    </row>
    <row r="965" spans="2:5">
      <c r="B965" s="218" t="s">
        <v>944</v>
      </c>
      <c r="C965" s="210" t="s">
        <v>23</v>
      </c>
      <c r="D965" s="211" t="s">
        <v>1020</v>
      </c>
      <c r="E965" s="219" t="s">
        <v>1</v>
      </c>
    </row>
    <row r="966" spans="2:5">
      <c r="B966" s="218" t="s">
        <v>944</v>
      </c>
      <c r="C966" s="210" t="s">
        <v>23</v>
      </c>
      <c r="D966" s="211" t="s">
        <v>1021</v>
      </c>
      <c r="E966" s="219" t="s">
        <v>1</v>
      </c>
    </row>
    <row r="967" spans="2:5">
      <c r="B967" s="218" t="s">
        <v>944</v>
      </c>
      <c r="C967" s="210" t="s">
        <v>23</v>
      </c>
      <c r="D967" s="211" t="s">
        <v>1022</v>
      </c>
      <c r="E967" s="219" t="s">
        <v>1</v>
      </c>
    </row>
    <row r="968" spans="2:5">
      <c r="B968" s="218" t="s">
        <v>944</v>
      </c>
      <c r="C968" s="210" t="s">
        <v>23</v>
      </c>
      <c r="D968" s="211" t="s">
        <v>1023</v>
      </c>
      <c r="E968" s="219" t="s">
        <v>1</v>
      </c>
    </row>
    <row r="969" spans="2:5">
      <c r="B969" s="218" t="s">
        <v>944</v>
      </c>
      <c r="C969" s="210" t="s">
        <v>23</v>
      </c>
      <c r="D969" s="211" t="s">
        <v>1024</v>
      </c>
      <c r="E969" s="219" t="s">
        <v>1</v>
      </c>
    </row>
    <row r="970" spans="2:5">
      <c r="B970" s="218" t="s">
        <v>944</v>
      </c>
      <c r="C970" s="210" t="s">
        <v>23</v>
      </c>
      <c r="D970" s="211" t="s">
        <v>1025</v>
      </c>
      <c r="E970" s="219" t="s">
        <v>1</v>
      </c>
    </row>
    <row r="971" spans="2:5">
      <c r="B971" s="218" t="s">
        <v>944</v>
      </c>
      <c r="C971" s="210" t="s">
        <v>23</v>
      </c>
      <c r="D971" s="211" t="s">
        <v>1026</v>
      </c>
      <c r="E971" s="219" t="s">
        <v>1</v>
      </c>
    </row>
    <row r="972" spans="2:5">
      <c r="B972" s="218" t="s">
        <v>944</v>
      </c>
      <c r="C972" s="210" t="s">
        <v>23</v>
      </c>
      <c r="D972" s="211" t="s">
        <v>1027</v>
      </c>
      <c r="E972" s="219" t="s">
        <v>1</v>
      </c>
    </row>
    <row r="973" spans="2:5">
      <c r="B973" s="218" t="s">
        <v>944</v>
      </c>
      <c r="C973" s="210" t="s">
        <v>23</v>
      </c>
      <c r="D973" s="211" t="s">
        <v>1028</v>
      </c>
      <c r="E973" s="219" t="s">
        <v>1</v>
      </c>
    </row>
    <row r="974" spans="2:5">
      <c r="B974" s="218" t="s">
        <v>944</v>
      </c>
      <c r="C974" s="210" t="s">
        <v>23</v>
      </c>
      <c r="D974" s="211" t="s">
        <v>1029</v>
      </c>
      <c r="E974" s="219" t="s">
        <v>1</v>
      </c>
    </row>
    <row r="975" spans="2:5">
      <c r="B975" s="218" t="s">
        <v>944</v>
      </c>
      <c r="C975" s="210" t="s">
        <v>23</v>
      </c>
      <c r="D975" s="211" t="s">
        <v>1030</v>
      </c>
      <c r="E975" s="219" t="s">
        <v>1</v>
      </c>
    </row>
    <row r="976" spans="2:5">
      <c r="B976" s="218" t="s">
        <v>944</v>
      </c>
      <c r="C976" s="210" t="s">
        <v>23</v>
      </c>
      <c r="D976" s="211" t="s">
        <v>1031</v>
      </c>
      <c r="E976" s="219" t="s">
        <v>1</v>
      </c>
    </row>
    <row r="977" spans="2:5">
      <c r="B977" s="218" t="s">
        <v>944</v>
      </c>
      <c r="C977" s="210" t="s">
        <v>23</v>
      </c>
      <c r="D977" s="211" t="s">
        <v>1032</v>
      </c>
      <c r="E977" s="219" t="s">
        <v>1</v>
      </c>
    </row>
    <row r="978" spans="2:5">
      <c r="B978" s="218" t="s">
        <v>944</v>
      </c>
      <c r="C978" s="210" t="s">
        <v>23</v>
      </c>
      <c r="D978" s="211" t="s">
        <v>1033</v>
      </c>
      <c r="E978" s="219" t="s">
        <v>1</v>
      </c>
    </row>
    <row r="979" spans="2:5">
      <c r="B979" s="218" t="s">
        <v>944</v>
      </c>
      <c r="C979" s="210" t="s">
        <v>23</v>
      </c>
      <c r="D979" s="211" t="s">
        <v>1034</v>
      </c>
      <c r="E979" s="219" t="s">
        <v>1</v>
      </c>
    </row>
    <row r="980" spans="2:5">
      <c r="B980" s="218" t="s">
        <v>944</v>
      </c>
      <c r="C980" s="210" t="s">
        <v>23</v>
      </c>
      <c r="D980" s="211" t="s">
        <v>1035</v>
      </c>
      <c r="E980" s="219" t="s">
        <v>1</v>
      </c>
    </row>
    <row r="981" spans="2:5">
      <c r="B981" s="218" t="s">
        <v>944</v>
      </c>
      <c r="C981" s="210" t="s">
        <v>23</v>
      </c>
      <c r="D981" s="211" t="s">
        <v>1036</v>
      </c>
      <c r="E981" s="219" t="s">
        <v>1</v>
      </c>
    </row>
    <row r="982" spans="2:5">
      <c r="B982" s="218" t="s">
        <v>944</v>
      </c>
      <c r="C982" s="210" t="s">
        <v>23</v>
      </c>
      <c r="D982" s="211" t="s">
        <v>1037</v>
      </c>
      <c r="E982" s="219" t="s">
        <v>1</v>
      </c>
    </row>
    <row r="983" spans="2:5">
      <c r="B983" s="218" t="s">
        <v>944</v>
      </c>
      <c r="C983" s="210" t="s">
        <v>23</v>
      </c>
      <c r="D983" s="211" t="s">
        <v>1038</v>
      </c>
      <c r="E983" s="219" t="s">
        <v>1</v>
      </c>
    </row>
    <row r="984" spans="2:5">
      <c r="B984" s="218" t="s">
        <v>944</v>
      </c>
      <c r="C984" s="210" t="s">
        <v>23</v>
      </c>
      <c r="D984" s="211" t="s">
        <v>1039</v>
      </c>
      <c r="E984" s="219" t="s">
        <v>1</v>
      </c>
    </row>
    <row r="985" spans="2:5">
      <c r="B985" s="218" t="s">
        <v>944</v>
      </c>
      <c r="C985" s="210" t="s">
        <v>23</v>
      </c>
      <c r="D985" s="211" t="s">
        <v>1040</v>
      </c>
      <c r="E985" s="219" t="s">
        <v>1</v>
      </c>
    </row>
    <row r="986" spans="2:5">
      <c r="B986" s="218" t="s">
        <v>944</v>
      </c>
      <c r="C986" s="210" t="s">
        <v>23</v>
      </c>
      <c r="D986" s="211" t="s">
        <v>1041</v>
      </c>
      <c r="E986" s="219" t="s">
        <v>1</v>
      </c>
    </row>
    <row r="987" spans="2:5">
      <c r="B987" s="218" t="s">
        <v>944</v>
      </c>
      <c r="C987" s="210" t="s">
        <v>23</v>
      </c>
      <c r="D987" s="211" t="s">
        <v>1042</v>
      </c>
      <c r="E987" s="219" t="s">
        <v>1</v>
      </c>
    </row>
    <row r="988" spans="2:5">
      <c r="B988" s="218" t="s">
        <v>944</v>
      </c>
      <c r="C988" s="210" t="s">
        <v>23</v>
      </c>
      <c r="D988" s="211" t="s">
        <v>1043</v>
      </c>
      <c r="E988" s="219" t="s">
        <v>1</v>
      </c>
    </row>
    <row r="989" spans="2:5">
      <c r="B989" s="218" t="s">
        <v>944</v>
      </c>
      <c r="C989" s="210" t="s">
        <v>23</v>
      </c>
      <c r="D989" s="211" t="s">
        <v>1044</v>
      </c>
      <c r="E989" s="219" t="s">
        <v>1</v>
      </c>
    </row>
    <row r="990" spans="2:5">
      <c r="B990" s="218" t="s">
        <v>944</v>
      </c>
      <c r="C990" s="210" t="s">
        <v>23</v>
      </c>
      <c r="D990" s="211" t="s">
        <v>1045</v>
      </c>
      <c r="E990" s="219" t="s">
        <v>1</v>
      </c>
    </row>
    <row r="991" spans="2:5">
      <c r="B991" s="218" t="s">
        <v>944</v>
      </c>
      <c r="C991" s="210" t="s">
        <v>23</v>
      </c>
      <c r="D991" s="211" t="s">
        <v>1046</v>
      </c>
      <c r="E991" s="219" t="s">
        <v>1</v>
      </c>
    </row>
    <row r="992" spans="2:5">
      <c r="B992" s="218" t="s">
        <v>944</v>
      </c>
      <c r="C992" s="210" t="s">
        <v>23</v>
      </c>
      <c r="D992" s="211" t="s">
        <v>1047</v>
      </c>
      <c r="E992" s="219" t="s">
        <v>1</v>
      </c>
    </row>
    <row r="993" spans="2:5">
      <c r="B993" s="218" t="s">
        <v>944</v>
      </c>
      <c r="C993" s="210" t="s">
        <v>23</v>
      </c>
      <c r="D993" s="211" t="s">
        <v>1048</v>
      </c>
      <c r="E993" s="219" t="s">
        <v>1</v>
      </c>
    </row>
    <row r="994" spans="2:5">
      <c r="B994" s="218" t="s">
        <v>944</v>
      </c>
      <c r="C994" s="210" t="s">
        <v>23</v>
      </c>
      <c r="D994" s="211" t="s">
        <v>1049</v>
      </c>
      <c r="E994" s="219" t="s">
        <v>1</v>
      </c>
    </row>
    <row r="995" spans="2:5">
      <c r="B995" s="218" t="s">
        <v>944</v>
      </c>
      <c r="C995" s="210" t="s">
        <v>23</v>
      </c>
      <c r="D995" s="211" t="s">
        <v>1050</v>
      </c>
      <c r="E995" s="219" t="s">
        <v>1</v>
      </c>
    </row>
    <row r="996" spans="2:5">
      <c r="B996" s="218" t="s">
        <v>944</v>
      </c>
      <c r="C996" s="210" t="s">
        <v>23</v>
      </c>
      <c r="D996" s="211" t="s">
        <v>1051</v>
      </c>
      <c r="E996" s="219" t="s">
        <v>1</v>
      </c>
    </row>
    <row r="997" spans="2:5">
      <c r="B997" s="218" t="s">
        <v>944</v>
      </c>
      <c r="C997" s="210" t="s">
        <v>23</v>
      </c>
      <c r="D997" s="211" t="s">
        <v>1052</v>
      </c>
      <c r="E997" s="219" t="s">
        <v>1</v>
      </c>
    </row>
    <row r="998" spans="2:5">
      <c r="B998" s="218" t="s">
        <v>944</v>
      </c>
      <c r="C998" s="210" t="s">
        <v>23</v>
      </c>
      <c r="D998" s="211" t="s">
        <v>1053</v>
      </c>
      <c r="E998" s="219" t="s">
        <v>1</v>
      </c>
    </row>
    <row r="999" spans="2:5">
      <c r="B999" s="218" t="s">
        <v>944</v>
      </c>
      <c r="C999" s="210" t="s">
        <v>23</v>
      </c>
      <c r="D999" s="211" t="s">
        <v>1054</v>
      </c>
      <c r="E999" s="219" t="s">
        <v>1</v>
      </c>
    </row>
    <row r="1000" spans="2:5">
      <c r="B1000" s="218" t="s">
        <v>944</v>
      </c>
      <c r="C1000" s="210" t="s">
        <v>23</v>
      </c>
      <c r="D1000" s="211" t="s">
        <v>1055</v>
      </c>
      <c r="E1000" s="219" t="s">
        <v>1</v>
      </c>
    </row>
    <row r="1001" spans="2:5">
      <c r="B1001" s="218" t="s">
        <v>944</v>
      </c>
      <c r="C1001" s="210" t="s">
        <v>23</v>
      </c>
      <c r="D1001" s="211" t="s">
        <v>1056</v>
      </c>
      <c r="E1001" s="219" t="s">
        <v>1</v>
      </c>
    </row>
    <row r="1002" spans="2:5">
      <c r="B1002" s="218" t="s">
        <v>944</v>
      </c>
      <c r="C1002" s="210" t="s">
        <v>23</v>
      </c>
      <c r="D1002" s="211" t="s">
        <v>1057</v>
      </c>
      <c r="E1002" s="219" t="s">
        <v>1</v>
      </c>
    </row>
    <row r="1003" spans="2:5">
      <c r="B1003" s="218" t="s">
        <v>944</v>
      </c>
      <c r="C1003" s="210" t="s">
        <v>23</v>
      </c>
      <c r="D1003" s="211" t="s">
        <v>1058</v>
      </c>
      <c r="E1003" s="219" t="s">
        <v>1</v>
      </c>
    </row>
    <row r="1004" spans="2:5">
      <c r="B1004" s="218" t="s">
        <v>944</v>
      </c>
      <c r="C1004" s="210" t="s">
        <v>23</v>
      </c>
      <c r="D1004" s="211" t="s">
        <v>1059</v>
      </c>
      <c r="E1004" s="219" t="s">
        <v>1</v>
      </c>
    </row>
    <row r="1005" spans="2:5">
      <c r="B1005" s="218" t="s">
        <v>944</v>
      </c>
      <c r="C1005" s="210" t="s">
        <v>23</v>
      </c>
      <c r="D1005" s="211" t="s">
        <v>1060</v>
      </c>
      <c r="E1005" s="219" t="s">
        <v>1</v>
      </c>
    </row>
    <row r="1006" spans="2:5">
      <c r="B1006" s="218" t="s">
        <v>944</v>
      </c>
      <c r="C1006" s="210" t="s">
        <v>23</v>
      </c>
      <c r="D1006" s="211" t="s">
        <v>1061</v>
      </c>
      <c r="E1006" s="219" t="s">
        <v>1</v>
      </c>
    </row>
    <row r="1007" spans="2:5">
      <c r="B1007" s="218" t="s">
        <v>944</v>
      </c>
      <c r="C1007" s="210" t="s">
        <v>23</v>
      </c>
      <c r="D1007" s="211" t="s">
        <v>1062</v>
      </c>
      <c r="E1007" s="219" t="s">
        <v>1</v>
      </c>
    </row>
    <row r="1008" spans="2:5">
      <c r="B1008" s="218" t="s">
        <v>944</v>
      </c>
      <c r="C1008" s="210" t="s">
        <v>23</v>
      </c>
      <c r="D1008" s="211" t="s">
        <v>1063</v>
      </c>
      <c r="E1008" s="219" t="s">
        <v>1</v>
      </c>
    </row>
    <row r="1009" spans="2:5">
      <c r="B1009" s="218" t="s">
        <v>944</v>
      </c>
      <c r="C1009" s="210" t="s">
        <v>23</v>
      </c>
      <c r="D1009" s="211" t="s">
        <v>1064</v>
      </c>
      <c r="E1009" s="219" t="s">
        <v>1</v>
      </c>
    </row>
    <row r="1010" spans="2:5">
      <c r="B1010" s="218" t="s">
        <v>944</v>
      </c>
      <c r="C1010" s="210" t="s">
        <v>23</v>
      </c>
      <c r="D1010" s="211" t="s">
        <v>1065</v>
      </c>
      <c r="E1010" s="219" t="s">
        <v>1</v>
      </c>
    </row>
    <row r="1011" spans="2:5">
      <c r="B1011" s="218" t="s">
        <v>944</v>
      </c>
      <c r="C1011" s="210" t="s">
        <v>23</v>
      </c>
      <c r="D1011" s="211" t="s">
        <v>1066</v>
      </c>
      <c r="E1011" s="219" t="s">
        <v>1</v>
      </c>
    </row>
    <row r="1012" spans="2:5">
      <c r="B1012" s="218" t="s">
        <v>944</v>
      </c>
      <c r="C1012" s="210" t="s">
        <v>23</v>
      </c>
      <c r="D1012" s="211" t="s">
        <v>1067</v>
      </c>
      <c r="E1012" s="219" t="s">
        <v>1</v>
      </c>
    </row>
    <row r="1013" spans="2:5">
      <c r="B1013" s="218" t="s">
        <v>944</v>
      </c>
      <c r="C1013" s="210" t="s">
        <v>23</v>
      </c>
      <c r="D1013" s="211" t="s">
        <v>1068</v>
      </c>
      <c r="E1013" s="219" t="s">
        <v>1</v>
      </c>
    </row>
    <row r="1014" spans="2:5">
      <c r="B1014" s="218" t="s">
        <v>944</v>
      </c>
      <c r="C1014" s="210" t="s">
        <v>23</v>
      </c>
      <c r="D1014" s="211" t="s">
        <v>1069</v>
      </c>
      <c r="E1014" s="219" t="s">
        <v>1</v>
      </c>
    </row>
    <row r="1015" spans="2:5">
      <c r="B1015" s="218" t="s">
        <v>944</v>
      </c>
      <c r="C1015" s="210" t="s">
        <v>23</v>
      </c>
      <c r="D1015" s="211" t="s">
        <v>1070</v>
      </c>
      <c r="E1015" s="219" t="s">
        <v>1</v>
      </c>
    </row>
    <row r="1016" spans="2:5">
      <c r="B1016" s="218" t="s">
        <v>944</v>
      </c>
      <c r="C1016" s="210" t="s">
        <v>23</v>
      </c>
      <c r="D1016" s="211" t="s">
        <v>1071</v>
      </c>
      <c r="E1016" s="219" t="s">
        <v>1</v>
      </c>
    </row>
    <row r="1017" spans="2:5">
      <c r="B1017" s="218" t="s">
        <v>944</v>
      </c>
      <c r="C1017" s="210" t="s">
        <v>23</v>
      </c>
      <c r="D1017" s="211" t="s">
        <v>1072</v>
      </c>
      <c r="E1017" s="219" t="s">
        <v>1</v>
      </c>
    </row>
    <row r="1018" spans="2:5">
      <c r="B1018" s="218" t="s">
        <v>944</v>
      </c>
      <c r="C1018" s="210" t="s">
        <v>23</v>
      </c>
      <c r="D1018" s="211" t="s">
        <v>1073</v>
      </c>
      <c r="E1018" s="219" t="s">
        <v>1</v>
      </c>
    </row>
    <row r="1019" spans="2:5">
      <c r="B1019" s="218" t="s">
        <v>944</v>
      </c>
      <c r="C1019" s="210" t="s">
        <v>23</v>
      </c>
      <c r="D1019" s="211" t="s">
        <v>1074</v>
      </c>
      <c r="E1019" s="219" t="s">
        <v>1</v>
      </c>
    </row>
    <row r="1020" spans="2:5">
      <c r="B1020" s="218" t="s">
        <v>944</v>
      </c>
      <c r="C1020" s="210" t="s">
        <v>23</v>
      </c>
      <c r="D1020" s="211" t="s">
        <v>1075</v>
      </c>
      <c r="E1020" s="219" t="s">
        <v>1</v>
      </c>
    </row>
    <row r="1021" spans="2:5">
      <c r="B1021" s="218" t="s">
        <v>944</v>
      </c>
      <c r="C1021" s="210" t="s">
        <v>23</v>
      </c>
      <c r="D1021" s="211" t="s">
        <v>1076</v>
      </c>
      <c r="E1021" s="219" t="s">
        <v>1</v>
      </c>
    </row>
    <row r="1022" spans="2:5">
      <c r="B1022" s="218" t="s">
        <v>944</v>
      </c>
      <c r="C1022" s="210" t="s">
        <v>23</v>
      </c>
      <c r="D1022" s="211" t="s">
        <v>1077</v>
      </c>
      <c r="E1022" s="219" t="s">
        <v>1</v>
      </c>
    </row>
    <row r="1023" spans="2:5">
      <c r="B1023" s="218" t="s">
        <v>944</v>
      </c>
      <c r="C1023" s="210" t="s">
        <v>23</v>
      </c>
      <c r="D1023" s="211" t="s">
        <v>1078</v>
      </c>
      <c r="E1023" s="219" t="s">
        <v>1</v>
      </c>
    </row>
    <row r="1024" spans="2:5">
      <c r="B1024" s="218" t="s">
        <v>944</v>
      </c>
      <c r="C1024" s="210" t="s">
        <v>23</v>
      </c>
      <c r="D1024" s="211" t="s">
        <v>1079</v>
      </c>
      <c r="E1024" s="219" t="s">
        <v>1</v>
      </c>
    </row>
    <row r="1025" spans="2:5">
      <c r="B1025" s="218" t="s">
        <v>944</v>
      </c>
      <c r="C1025" s="210" t="s">
        <v>23</v>
      </c>
      <c r="D1025" s="211" t="s">
        <v>1080</v>
      </c>
      <c r="E1025" s="219" t="s">
        <v>1</v>
      </c>
    </row>
    <row r="1026" spans="2:5">
      <c r="B1026" s="218" t="s">
        <v>944</v>
      </c>
      <c r="C1026" s="210" t="s">
        <v>23</v>
      </c>
      <c r="D1026" s="211" t="s">
        <v>1081</v>
      </c>
      <c r="E1026" s="219" t="s">
        <v>1</v>
      </c>
    </row>
    <row r="1027" spans="2:5">
      <c r="B1027" s="218" t="s">
        <v>944</v>
      </c>
      <c r="C1027" s="210" t="s">
        <v>23</v>
      </c>
      <c r="D1027" s="211" t="s">
        <v>1082</v>
      </c>
      <c r="E1027" s="219" t="s">
        <v>1</v>
      </c>
    </row>
    <row r="1028" spans="2:5">
      <c r="B1028" s="218" t="s">
        <v>944</v>
      </c>
      <c r="C1028" s="210" t="s">
        <v>23</v>
      </c>
      <c r="D1028" s="211" t="s">
        <v>1083</v>
      </c>
      <c r="E1028" s="219" t="s">
        <v>1</v>
      </c>
    </row>
    <row r="1029" spans="2:5">
      <c r="B1029" s="218" t="s">
        <v>944</v>
      </c>
      <c r="C1029" s="210" t="s">
        <v>23</v>
      </c>
      <c r="D1029" s="211" t="s">
        <v>1084</v>
      </c>
      <c r="E1029" s="219" t="s">
        <v>1</v>
      </c>
    </row>
    <row r="1030" spans="2:5">
      <c r="B1030" s="218" t="s">
        <v>944</v>
      </c>
      <c r="C1030" s="210" t="s">
        <v>23</v>
      </c>
      <c r="D1030" s="211" t="s">
        <v>1085</v>
      </c>
      <c r="E1030" s="219" t="s">
        <v>1</v>
      </c>
    </row>
    <row r="1031" spans="2:5">
      <c r="B1031" s="218" t="s">
        <v>944</v>
      </c>
      <c r="C1031" s="210" t="s">
        <v>23</v>
      </c>
      <c r="D1031" s="211" t="s">
        <v>1086</v>
      </c>
      <c r="E1031" s="219" t="s">
        <v>1</v>
      </c>
    </row>
    <row r="1032" spans="2:5">
      <c r="B1032" s="218" t="s">
        <v>944</v>
      </c>
      <c r="C1032" s="210" t="s">
        <v>23</v>
      </c>
      <c r="D1032" s="211" t="s">
        <v>1087</v>
      </c>
      <c r="E1032" s="219" t="s">
        <v>1</v>
      </c>
    </row>
    <row r="1033" spans="2:5">
      <c r="B1033" s="218" t="s">
        <v>944</v>
      </c>
      <c r="C1033" s="210" t="s">
        <v>23</v>
      </c>
      <c r="D1033" s="211" t="s">
        <v>1088</v>
      </c>
      <c r="E1033" s="219" t="s">
        <v>1</v>
      </c>
    </row>
    <row r="1034" spans="2:5">
      <c r="B1034" s="218" t="s">
        <v>944</v>
      </c>
      <c r="C1034" s="210" t="s">
        <v>23</v>
      </c>
      <c r="D1034" s="211" t="s">
        <v>1089</v>
      </c>
      <c r="E1034" s="219" t="s">
        <v>1</v>
      </c>
    </row>
    <row r="1035" spans="2:5">
      <c r="B1035" s="218" t="s">
        <v>944</v>
      </c>
      <c r="C1035" s="210" t="s">
        <v>23</v>
      </c>
      <c r="D1035" s="211" t="s">
        <v>1090</v>
      </c>
      <c r="E1035" s="219" t="s">
        <v>1</v>
      </c>
    </row>
    <row r="1036" spans="2:5">
      <c r="B1036" s="218" t="s">
        <v>944</v>
      </c>
      <c r="C1036" s="210" t="s">
        <v>23</v>
      </c>
      <c r="D1036" s="211" t="s">
        <v>1091</v>
      </c>
      <c r="E1036" s="219" t="s">
        <v>1</v>
      </c>
    </row>
    <row r="1037" spans="2:5">
      <c r="B1037" s="218" t="s">
        <v>944</v>
      </c>
      <c r="C1037" s="210" t="s">
        <v>23</v>
      </c>
      <c r="D1037" s="211" t="s">
        <v>1092</v>
      </c>
      <c r="E1037" s="219" t="s">
        <v>1</v>
      </c>
    </row>
    <row r="1038" spans="2:5">
      <c r="B1038" s="218" t="s">
        <v>944</v>
      </c>
      <c r="C1038" s="210" t="s">
        <v>23</v>
      </c>
      <c r="D1038" s="211" t="s">
        <v>1093</v>
      </c>
      <c r="E1038" s="219" t="s">
        <v>1</v>
      </c>
    </row>
    <row r="1039" spans="2:5">
      <c r="B1039" s="218" t="s">
        <v>944</v>
      </c>
      <c r="C1039" s="210" t="s">
        <v>23</v>
      </c>
      <c r="D1039" s="211" t="s">
        <v>1094</v>
      </c>
      <c r="E1039" s="219" t="s">
        <v>1</v>
      </c>
    </row>
    <row r="1040" spans="2:5">
      <c r="B1040" s="218" t="s">
        <v>944</v>
      </c>
      <c r="C1040" s="210" t="s">
        <v>23</v>
      </c>
      <c r="D1040" s="211" t="s">
        <v>1095</v>
      </c>
      <c r="E1040" s="219" t="s">
        <v>1</v>
      </c>
    </row>
    <row r="1041" spans="2:5">
      <c r="B1041" s="218" t="s">
        <v>944</v>
      </c>
      <c r="C1041" s="210" t="s">
        <v>23</v>
      </c>
      <c r="D1041" s="211" t="s">
        <v>1096</v>
      </c>
      <c r="E1041" s="219" t="s">
        <v>1</v>
      </c>
    </row>
    <row r="1042" spans="2:5">
      <c r="B1042" s="218" t="s">
        <v>944</v>
      </c>
      <c r="C1042" s="210" t="s">
        <v>23</v>
      </c>
      <c r="D1042" s="211" t="s">
        <v>1097</v>
      </c>
      <c r="E1042" s="219" t="s">
        <v>1</v>
      </c>
    </row>
    <row r="1043" spans="2:5">
      <c r="B1043" s="218" t="s">
        <v>944</v>
      </c>
      <c r="C1043" s="210" t="s">
        <v>23</v>
      </c>
      <c r="D1043" s="211" t="s">
        <v>1098</v>
      </c>
      <c r="E1043" s="219" t="s">
        <v>1</v>
      </c>
    </row>
    <row r="1044" spans="2:5">
      <c r="B1044" s="218" t="s">
        <v>944</v>
      </c>
      <c r="C1044" s="210" t="s">
        <v>23</v>
      </c>
      <c r="D1044" s="211" t="s">
        <v>1099</v>
      </c>
      <c r="E1044" s="219" t="s">
        <v>1</v>
      </c>
    </row>
    <row r="1045" spans="2:5">
      <c r="B1045" s="218" t="s">
        <v>1100</v>
      </c>
      <c r="C1045" s="210" t="s">
        <v>25</v>
      </c>
      <c r="D1045" s="211" t="s">
        <v>1101</v>
      </c>
      <c r="E1045" s="219" t="s">
        <v>1</v>
      </c>
    </row>
    <row r="1046" spans="2:5">
      <c r="B1046" s="218" t="s">
        <v>1100</v>
      </c>
      <c r="C1046" s="210" t="s">
        <v>25</v>
      </c>
      <c r="D1046" s="211" t="s">
        <v>1102</v>
      </c>
      <c r="E1046" s="219" t="s">
        <v>1</v>
      </c>
    </row>
    <row r="1047" spans="2:5">
      <c r="B1047" s="218" t="s">
        <v>1100</v>
      </c>
      <c r="C1047" s="210" t="s">
        <v>25</v>
      </c>
      <c r="D1047" s="211" t="s">
        <v>1103</v>
      </c>
      <c r="E1047" s="219" t="s">
        <v>1</v>
      </c>
    </row>
    <row r="1048" spans="2:5">
      <c r="B1048" s="218" t="s">
        <v>1100</v>
      </c>
      <c r="C1048" s="210" t="s">
        <v>25</v>
      </c>
      <c r="D1048" s="211" t="s">
        <v>1104</v>
      </c>
      <c r="E1048" s="219" t="s">
        <v>1</v>
      </c>
    </row>
    <row r="1049" spans="2:5">
      <c r="B1049" s="218" t="s">
        <v>1100</v>
      </c>
      <c r="C1049" s="210" t="s">
        <v>25</v>
      </c>
      <c r="D1049" s="211" t="s">
        <v>1105</v>
      </c>
      <c r="E1049" s="219" t="s">
        <v>1</v>
      </c>
    </row>
    <row r="1050" spans="2:5">
      <c r="B1050" s="218" t="s">
        <v>1100</v>
      </c>
      <c r="C1050" s="210" t="s">
        <v>25</v>
      </c>
      <c r="D1050" s="211" t="s">
        <v>1106</v>
      </c>
      <c r="E1050" s="219" t="s">
        <v>1</v>
      </c>
    </row>
    <row r="1051" spans="2:5">
      <c r="B1051" s="218" t="s">
        <v>1100</v>
      </c>
      <c r="C1051" s="210" t="s">
        <v>25</v>
      </c>
      <c r="D1051" s="211" t="s">
        <v>1107</v>
      </c>
      <c r="E1051" s="219" t="s">
        <v>1</v>
      </c>
    </row>
    <row r="1052" spans="2:5">
      <c r="B1052" s="218" t="s">
        <v>1100</v>
      </c>
      <c r="C1052" s="210" t="s">
        <v>25</v>
      </c>
      <c r="D1052" s="211" t="s">
        <v>1108</v>
      </c>
      <c r="E1052" s="219" t="s">
        <v>1</v>
      </c>
    </row>
    <row r="1053" spans="2:5">
      <c r="B1053" s="218" t="s">
        <v>1100</v>
      </c>
      <c r="C1053" s="210" t="s">
        <v>25</v>
      </c>
      <c r="D1053" s="211" t="s">
        <v>1109</v>
      </c>
      <c r="E1053" s="219" t="s">
        <v>1</v>
      </c>
    </row>
    <row r="1054" spans="2:5">
      <c r="B1054" s="218" t="s">
        <v>1100</v>
      </c>
      <c r="C1054" s="210" t="s">
        <v>25</v>
      </c>
      <c r="D1054" s="211" t="s">
        <v>1110</v>
      </c>
      <c r="E1054" s="219" t="s">
        <v>1</v>
      </c>
    </row>
    <row r="1055" spans="2:5">
      <c r="B1055" s="218" t="s">
        <v>1100</v>
      </c>
      <c r="C1055" s="210" t="s">
        <v>25</v>
      </c>
      <c r="D1055" s="211" t="s">
        <v>1111</v>
      </c>
      <c r="E1055" s="219" t="s">
        <v>1</v>
      </c>
    </row>
    <row r="1056" spans="2:5">
      <c r="B1056" s="218" t="s">
        <v>1100</v>
      </c>
      <c r="C1056" s="210" t="s">
        <v>25</v>
      </c>
      <c r="D1056" s="211" t="s">
        <v>1112</v>
      </c>
      <c r="E1056" s="219" t="s">
        <v>1</v>
      </c>
    </row>
    <row r="1057" spans="2:5">
      <c r="B1057" s="218" t="s">
        <v>1100</v>
      </c>
      <c r="C1057" s="210" t="s">
        <v>25</v>
      </c>
      <c r="D1057" s="211" t="s">
        <v>1113</v>
      </c>
      <c r="E1057" s="219" t="s">
        <v>1</v>
      </c>
    </row>
    <row r="1058" spans="2:5">
      <c r="B1058" s="218" t="s">
        <v>1100</v>
      </c>
      <c r="C1058" s="210" t="s">
        <v>25</v>
      </c>
      <c r="D1058" s="211" t="s">
        <v>1114</v>
      </c>
      <c r="E1058" s="219" t="s">
        <v>1</v>
      </c>
    </row>
    <row r="1059" spans="2:5">
      <c r="B1059" s="218" t="s">
        <v>1100</v>
      </c>
      <c r="C1059" s="210" t="s">
        <v>25</v>
      </c>
      <c r="D1059" s="211" t="s">
        <v>1115</v>
      </c>
      <c r="E1059" s="219" t="s">
        <v>1</v>
      </c>
    </row>
    <row r="1060" spans="2:5">
      <c r="B1060" s="218" t="s">
        <v>1100</v>
      </c>
      <c r="C1060" s="210" t="s">
        <v>25</v>
      </c>
      <c r="D1060" s="211" t="s">
        <v>1116</v>
      </c>
      <c r="E1060" s="219" t="s">
        <v>1</v>
      </c>
    </row>
    <row r="1061" spans="2:5">
      <c r="B1061" s="218" t="s">
        <v>1100</v>
      </c>
      <c r="C1061" s="210" t="s">
        <v>25</v>
      </c>
      <c r="D1061" s="211" t="s">
        <v>1117</v>
      </c>
      <c r="E1061" s="219" t="s">
        <v>1</v>
      </c>
    </row>
    <row r="1062" spans="2:5">
      <c r="B1062" s="218" t="s">
        <v>1100</v>
      </c>
      <c r="C1062" s="210" t="s">
        <v>25</v>
      </c>
      <c r="D1062" s="211" t="s">
        <v>1118</v>
      </c>
      <c r="E1062" s="219" t="s">
        <v>1</v>
      </c>
    </row>
    <row r="1063" spans="2:5">
      <c r="B1063" s="218" t="s">
        <v>1100</v>
      </c>
      <c r="C1063" s="210" t="s">
        <v>25</v>
      </c>
      <c r="D1063" s="211" t="s">
        <v>1119</v>
      </c>
      <c r="E1063" s="219" t="s">
        <v>1</v>
      </c>
    </row>
    <row r="1064" spans="2:5">
      <c r="B1064" s="218" t="s">
        <v>1100</v>
      </c>
      <c r="C1064" s="210" t="s">
        <v>25</v>
      </c>
      <c r="D1064" s="211" t="s">
        <v>1120</v>
      </c>
      <c r="E1064" s="219" t="s">
        <v>1</v>
      </c>
    </row>
    <row r="1065" spans="2:5">
      <c r="B1065" s="218" t="s">
        <v>1100</v>
      </c>
      <c r="C1065" s="210" t="s">
        <v>25</v>
      </c>
      <c r="D1065" s="211" t="s">
        <v>1121</v>
      </c>
      <c r="E1065" s="219" t="s">
        <v>1</v>
      </c>
    </row>
    <row r="1066" spans="2:5">
      <c r="B1066" s="218" t="s">
        <v>1100</v>
      </c>
      <c r="C1066" s="210" t="s">
        <v>25</v>
      </c>
      <c r="D1066" s="211" t="s">
        <v>1122</v>
      </c>
      <c r="E1066" s="219" t="s">
        <v>1738</v>
      </c>
    </row>
    <row r="1067" spans="2:5">
      <c r="B1067" s="218" t="s">
        <v>1100</v>
      </c>
      <c r="C1067" s="210" t="s">
        <v>25</v>
      </c>
      <c r="D1067" s="211" t="s">
        <v>1123</v>
      </c>
      <c r="E1067" s="219" t="s">
        <v>1738</v>
      </c>
    </row>
    <row r="1068" spans="2:5">
      <c r="B1068" s="218" t="s">
        <v>1100</v>
      </c>
      <c r="C1068" s="210" t="s">
        <v>25</v>
      </c>
      <c r="D1068" s="211" t="s">
        <v>1124</v>
      </c>
      <c r="E1068" s="219" t="s">
        <v>1</v>
      </c>
    </row>
    <row r="1069" spans="2:5">
      <c r="B1069" s="218" t="s">
        <v>1100</v>
      </c>
      <c r="C1069" s="210" t="s">
        <v>25</v>
      </c>
      <c r="D1069" s="211" t="s">
        <v>1125</v>
      </c>
      <c r="E1069" s="219" t="s">
        <v>1</v>
      </c>
    </row>
    <row r="1070" spans="2:5">
      <c r="B1070" s="218" t="s">
        <v>1100</v>
      </c>
      <c r="C1070" s="210" t="s">
        <v>25</v>
      </c>
      <c r="D1070" s="211" t="s">
        <v>1126</v>
      </c>
      <c r="E1070" s="219" t="s">
        <v>1</v>
      </c>
    </row>
    <row r="1071" spans="2:5">
      <c r="B1071" s="218" t="s">
        <v>1100</v>
      </c>
      <c r="C1071" s="210" t="s">
        <v>25</v>
      </c>
      <c r="D1071" s="211" t="s">
        <v>1127</v>
      </c>
      <c r="E1071" s="219" t="s">
        <v>1</v>
      </c>
    </row>
    <row r="1072" spans="2:5">
      <c r="B1072" s="218" t="s">
        <v>1100</v>
      </c>
      <c r="C1072" s="210" t="s">
        <v>25</v>
      </c>
      <c r="D1072" s="211" t="s">
        <v>1128</v>
      </c>
      <c r="E1072" s="219" t="s">
        <v>1</v>
      </c>
    </row>
    <row r="1073" spans="2:5">
      <c r="B1073" s="218" t="s">
        <v>1100</v>
      </c>
      <c r="C1073" s="210" t="s">
        <v>25</v>
      </c>
      <c r="D1073" s="211" t="s">
        <v>1129</v>
      </c>
      <c r="E1073" s="219" t="s">
        <v>1738</v>
      </c>
    </row>
    <row r="1074" spans="2:5">
      <c r="B1074" s="218" t="s">
        <v>1100</v>
      </c>
      <c r="C1074" s="210" t="s">
        <v>25</v>
      </c>
      <c r="D1074" s="211" t="s">
        <v>1130</v>
      </c>
      <c r="E1074" s="219" t="s">
        <v>1738</v>
      </c>
    </row>
    <row r="1075" spans="2:5">
      <c r="B1075" s="218" t="s">
        <v>1100</v>
      </c>
      <c r="C1075" s="210" t="s">
        <v>25</v>
      </c>
      <c r="D1075" s="211" t="s">
        <v>1131</v>
      </c>
      <c r="E1075" s="219" t="s">
        <v>1</v>
      </c>
    </row>
    <row r="1076" spans="2:5">
      <c r="B1076" s="218" t="s">
        <v>1100</v>
      </c>
      <c r="C1076" s="210" t="s">
        <v>25</v>
      </c>
      <c r="D1076" s="211" t="s">
        <v>1132</v>
      </c>
      <c r="E1076" s="219" t="s">
        <v>1</v>
      </c>
    </row>
    <row r="1077" spans="2:5">
      <c r="B1077" s="218" t="s">
        <v>1100</v>
      </c>
      <c r="C1077" s="210" t="s">
        <v>25</v>
      </c>
      <c r="D1077" s="211" t="s">
        <v>1133</v>
      </c>
      <c r="E1077" s="219" t="s">
        <v>1</v>
      </c>
    </row>
    <row r="1078" spans="2:5">
      <c r="B1078" s="218" t="s">
        <v>1100</v>
      </c>
      <c r="C1078" s="210" t="s">
        <v>25</v>
      </c>
      <c r="D1078" s="211" t="s">
        <v>1134</v>
      </c>
      <c r="E1078" s="219" t="s">
        <v>1</v>
      </c>
    </row>
    <row r="1079" spans="2:5">
      <c r="B1079" s="218" t="s">
        <v>1100</v>
      </c>
      <c r="C1079" s="210" t="s">
        <v>25</v>
      </c>
      <c r="D1079" s="211" t="s">
        <v>1135</v>
      </c>
      <c r="E1079" s="219" t="s">
        <v>1738</v>
      </c>
    </row>
    <row r="1080" spans="2:5">
      <c r="B1080" s="218" t="s">
        <v>1100</v>
      </c>
      <c r="C1080" s="210" t="s">
        <v>25</v>
      </c>
      <c r="D1080" s="211" t="s">
        <v>1136</v>
      </c>
      <c r="E1080" s="219" t="s">
        <v>1738</v>
      </c>
    </row>
    <row r="1081" spans="2:5">
      <c r="B1081" s="218" t="s">
        <v>1100</v>
      </c>
      <c r="C1081" s="210" t="s">
        <v>25</v>
      </c>
      <c r="D1081" s="211" t="s">
        <v>1137</v>
      </c>
      <c r="E1081" s="219" t="s">
        <v>1</v>
      </c>
    </row>
    <row r="1082" spans="2:5">
      <c r="B1082" s="218" t="s">
        <v>1100</v>
      </c>
      <c r="C1082" s="210" t="s">
        <v>25</v>
      </c>
      <c r="D1082" s="211" t="s">
        <v>1138</v>
      </c>
      <c r="E1082" s="219" t="s">
        <v>1</v>
      </c>
    </row>
    <row r="1083" spans="2:5">
      <c r="B1083" s="218" t="s">
        <v>1100</v>
      </c>
      <c r="C1083" s="210" t="s">
        <v>25</v>
      </c>
      <c r="D1083" s="211" t="s">
        <v>1139</v>
      </c>
      <c r="E1083" s="219" t="s">
        <v>1</v>
      </c>
    </row>
    <row r="1084" spans="2:5">
      <c r="B1084" s="218" t="s">
        <v>1100</v>
      </c>
      <c r="C1084" s="210" t="s">
        <v>25</v>
      </c>
      <c r="D1084" s="211" t="s">
        <v>1140</v>
      </c>
      <c r="E1084" s="219" t="s">
        <v>1</v>
      </c>
    </row>
    <row r="1085" spans="2:5">
      <c r="B1085" s="218" t="s">
        <v>1100</v>
      </c>
      <c r="C1085" s="210" t="s">
        <v>25</v>
      </c>
      <c r="D1085" s="211" t="s">
        <v>1141</v>
      </c>
      <c r="E1085" s="219" t="s">
        <v>1</v>
      </c>
    </row>
    <row r="1086" spans="2:5">
      <c r="B1086" s="218" t="s">
        <v>1100</v>
      </c>
      <c r="C1086" s="210" t="s">
        <v>25</v>
      </c>
      <c r="D1086" s="211" t="s">
        <v>1142</v>
      </c>
      <c r="E1086" s="219" t="s">
        <v>1738</v>
      </c>
    </row>
    <row r="1087" spans="2:5">
      <c r="B1087" s="218" t="s">
        <v>1100</v>
      </c>
      <c r="C1087" s="210" t="s">
        <v>25</v>
      </c>
      <c r="D1087" s="211" t="s">
        <v>1143</v>
      </c>
      <c r="E1087" s="219" t="s">
        <v>1738</v>
      </c>
    </row>
    <row r="1088" spans="2:5">
      <c r="B1088" s="218" t="s">
        <v>1100</v>
      </c>
      <c r="C1088" s="210" t="s">
        <v>25</v>
      </c>
      <c r="D1088" s="211" t="s">
        <v>1144</v>
      </c>
      <c r="E1088" s="219" t="s">
        <v>1738</v>
      </c>
    </row>
    <row r="1089" spans="2:5">
      <c r="B1089" s="218" t="s">
        <v>1100</v>
      </c>
      <c r="C1089" s="210" t="s">
        <v>25</v>
      </c>
      <c r="D1089" s="211" t="s">
        <v>1145</v>
      </c>
      <c r="E1089" s="219" t="s">
        <v>1</v>
      </c>
    </row>
    <row r="1090" spans="2:5">
      <c r="B1090" s="218" t="s">
        <v>1100</v>
      </c>
      <c r="C1090" s="210" t="s">
        <v>25</v>
      </c>
      <c r="D1090" s="211" t="s">
        <v>1146</v>
      </c>
      <c r="E1090" s="219" t="s">
        <v>1</v>
      </c>
    </row>
    <row r="1091" spans="2:5">
      <c r="B1091" s="218" t="s">
        <v>1100</v>
      </c>
      <c r="C1091" s="210" t="s">
        <v>25</v>
      </c>
      <c r="D1091" s="211" t="s">
        <v>1147</v>
      </c>
      <c r="E1091" s="219" t="s">
        <v>1</v>
      </c>
    </row>
    <row r="1092" spans="2:5">
      <c r="B1092" s="218" t="s">
        <v>1100</v>
      </c>
      <c r="C1092" s="210" t="s">
        <v>25</v>
      </c>
      <c r="D1092" s="211" t="s">
        <v>1148</v>
      </c>
      <c r="E1092" s="219" t="s">
        <v>1</v>
      </c>
    </row>
    <row r="1093" spans="2:5">
      <c r="B1093" s="218" t="s">
        <v>1100</v>
      </c>
      <c r="C1093" s="210" t="s">
        <v>25</v>
      </c>
      <c r="D1093" s="211" t="s">
        <v>1149</v>
      </c>
      <c r="E1093" s="219" t="s">
        <v>1</v>
      </c>
    </row>
    <row r="1094" spans="2:5">
      <c r="B1094" s="218" t="s">
        <v>1100</v>
      </c>
      <c r="C1094" s="210" t="s">
        <v>25</v>
      </c>
      <c r="D1094" s="211" t="s">
        <v>1150</v>
      </c>
      <c r="E1094" s="219" t="s">
        <v>1</v>
      </c>
    </row>
    <row r="1095" spans="2:5">
      <c r="B1095" s="218" t="s">
        <v>1100</v>
      </c>
      <c r="C1095" s="210" t="s">
        <v>25</v>
      </c>
      <c r="D1095" s="211" t="s">
        <v>1151</v>
      </c>
      <c r="E1095" s="219" t="s">
        <v>1</v>
      </c>
    </row>
    <row r="1096" spans="2:5">
      <c r="B1096" s="218" t="s">
        <v>1100</v>
      </c>
      <c r="C1096" s="210" t="s">
        <v>25</v>
      </c>
      <c r="D1096" s="211" t="s">
        <v>1152</v>
      </c>
      <c r="E1096" s="219" t="s">
        <v>1</v>
      </c>
    </row>
    <row r="1097" spans="2:5">
      <c r="B1097" s="218" t="s">
        <v>1100</v>
      </c>
      <c r="C1097" s="210" t="s">
        <v>25</v>
      </c>
      <c r="D1097" s="211" t="s">
        <v>1153</v>
      </c>
      <c r="E1097" s="219" t="s">
        <v>1738</v>
      </c>
    </row>
    <row r="1098" spans="2:5">
      <c r="B1098" s="218" t="s">
        <v>1100</v>
      </c>
      <c r="C1098" s="210" t="s">
        <v>25</v>
      </c>
      <c r="D1098" s="211" t="s">
        <v>1154</v>
      </c>
      <c r="E1098" s="219" t="s">
        <v>1738</v>
      </c>
    </row>
    <row r="1099" spans="2:5">
      <c r="B1099" s="218" t="s">
        <v>1100</v>
      </c>
      <c r="C1099" s="210" t="s">
        <v>25</v>
      </c>
      <c r="D1099" s="211" t="s">
        <v>1155</v>
      </c>
      <c r="E1099" s="219" t="s">
        <v>1738</v>
      </c>
    </row>
    <row r="1100" spans="2:5">
      <c r="B1100" s="218" t="s">
        <v>1100</v>
      </c>
      <c r="C1100" s="210" t="s">
        <v>25</v>
      </c>
      <c r="D1100" s="211" t="s">
        <v>1156</v>
      </c>
      <c r="E1100" s="219" t="s">
        <v>1738</v>
      </c>
    </row>
    <row r="1101" spans="2:5">
      <c r="B1101" s="218" t="s">
        <v>1100</v>
      </c>
      <c r="C1101" s="210" t="s">
        <v>25</v>
      </c>
      <c r="D1101" s="211" t="s">
        <v>1157</v>
      </c>
      <c r="E1101" s="219" t="s">
        <v>1738</v>
      </c>
    </row>
    <row r="1102" spans="2:5">
      <c r="B1102" s="218" t="s">
        <v>1100</v>
      </c>
      <c r="C1102" s="210" t="s">
        <v>25</v>
      </c>
      <c r="D1102" s="211" t="s">
        <v>1158</v>
      </c>
      <c r="E1102" s="219" t="s">
        <v>1738</v>
      </c>
    </row>
    <row r="1103" spans="2:5">
      <c r="B1103" s="218" t="s">
        <v>1100</v>
      </c>
      <c r="C1103" s="210" t="s">
        <v>25</v>
      </c>
      <c r="D1103" s="211" t="s">
        <v>1159</v>
      </c>
      <c r="E1103" s="219" t="s">
        <v>1738</v>
      </c>
    </row>
    <row r="1104" spans="2:5">
      <c r="B1104" s="218" t="s">
        <v>1100</v>
      </c>
      <c r="C1104" s="210" t="s">
        <v>25</v>
      </c>
      <c r="D1104" s="211" t="s">
        <v>1160</v>
      </c>
      <c r="E1104" s="219" t="s">
        <v>1738</v>
      </c>
    </row>
    <row r="1105" spans="2:5">
      <c r="B1105" s="218" t="s">
        <v>1100</v>
      </c>
      <c r="C1105" s="210" t="s">
        <v>25</v>
      </c>
      <c r="D1105" s="211" t="s">
        <v>1161</v>
      </c>
      <c r="E1105" s="219" t="s">
        <v>1738</v>
      </c>
    </row>
    <row r="1106" spans="2:5">
      <c r="B1106" s="218" t="s">
        <v>1100</v>
      </c>
      <c r="C1106" s="210" t="s">
        <v>25</v>
      </c>
      <c r="D1106" s="211" t="s">
        <v>1162</v>
      </c>
      <c r="E1106" s="219" t="s">
        <v>1738</v>
      </c>
    </row>
    <row r="1107" spans="2:5">
      <c r="B1107" s="218" t="s">
        <v>1100</v>
      </c>
      <c r="C1107" s="210" t="s">
        <v>25</v>
      </c>
      <c r="D1107" s="211" t="s">
        <v>1163</v>
      </c>
      <c r="E1107" s="219" t="s">
        <v>1738</v>
      </c>
    </row>
    <row r="1108" spans="2:5">
      <c r="B1108" s="218" t="s">
        <v>1100</v>
      </c>
      <c r="C1108" s="210" t="s">
        <v>25</v>
      </c>
      <c r="D1108" s="211" t="s">
        <v>1164</v>
      </c>
      <c r="E1108" s="219" t="s">
        <v>1</v>
      </c>
    </row>
    <row r="1109" spans="2:5">
      <c r="B1109" s="218" t="s">
        <v>1100</v>
      </c>
      <c r="C1109" s="210" t="s">
        <v>25</v>
      </c>
      <c r="D1109" s="211" t="s">
        <v>1165</v>
      </c>
      <c r="E1109" s="219" t="s">
        <v>1</v>
      </c>
    </row>
    <row r="1110" spans="2:5">
      <c r="B1110" s="218" t="s">
        <v>1100</v>
      </c>
      <c r="C1110" s="210" t="s">
        <v>25</v>
      </c>
      <c r="D1110" s="211" t="s">
        <v>1166</v>
      </c>
      <c r="E1110" s="219" t="s">
        <v>1</v>
      </c>
    </row>
    <row r="1111" spans="2:5">
      <c r="B1111" s="218" t="s">
        <v>1100</v>
      </c>
      <c r="C1111" s="210" t="s">
        <v>25</v>
      </c>
      <c r="D1111" s="211" t="s">
        <v>1167</v>
      </c>
      <c r="E1111" s="219" t="s">
        <v>1</v>
      </c>
    </row>
    <row r="1112" spans="2:5">
      <c r="B1112" s="218" t="s">
        <v>1100</v>
      </c>
      <c r="C1112" s="210" t="s">
        <v>25</v>
      </c>
      <c r="D1112" s="211" t="s">
        <v>1168</v>
      </c>
      <c r="E1112" s="219" t="s">
        <v>1</v>
      </c>
    </row>
    <row r="1113" spans="2:5">
      <c r="B1113" s="218" t="s">
        <v>1100</v>
      </c>
      <c r="C1113" s="210" t="s">
        <v>25</v>
      </c>
      <c r="D1113" s="211" t="s">
        <v>1169</v>
      </c>
      <c r="E1113" s="219" t="s">
        <v>1</v>
      </c>
    </row>
    <row r="1114" spans="2:5">
      <c r="B1114" s="218" t="s">
        <v>1100</v>
      </c>
      <c r="C1114" s="210" t="s">
        <v>25</v>
      </c>
      <c r="D1114" s="211" t="s">
        <v>1170</v>
      </c>
      <c r="E1114" s="219" t="s">
        <v>1</v>
      </c>
    </row>
    <row r="1115" spans="2:5">
      <c r="B1115" s="218" t="s">
        <v>1100</v>
      </c>
      <c r="C1115" s="210" t="s">
        <v>25</v>
      </c>
      <c r="D1115" s="211" t="s">
        <v>1171</v>
      </c>
      <c r="E1115" s="219" t="s">
        <v>1</v>
      </c>
    </row>
    <row r="1116" spans="2:5">
      <c r="B1116" s="218" t="s">
        <v>1100</v>
      </c>
      <c r="C1116" s="210" t="s">
        <v>25</v>
      </c>
      <c r="D1116" s="211" t="s">
        <v>1172</v>
      </c>
      <c r="E1116" s="219" t="s">
        <v>1</v>
      </c>
    </row>
    <row r="1117" spans="2:5">
      <c r="B1117" s="218" t="s">
        <v>1100</v>
      </c>
      <c r="C1117" s="210" t="s">
        <v>25</v>
      </c>
      <c r="D1117" s="211" t="s">
        <v>1173</v>
      </c>
      <c r="E1117" s="219" t="s">
        <v>1</v>
      </c>
    </row>
    <row r="1118" spans="2:5">
      <c r="B1118" s="218" t="s">
        <v>1100</v>
      </c>
      <c r="C1118" s="210" t="s">
        <v>25</v>
      </c>
      <c r="D1118" s="211" t="s">
        <v>1174</v>
      </c>
      <c r="E1118" s="219" t="s">
        <v>1</v>
      </c>
    </row>
    <row r="1119" spans="2:5">
      <c r="B1119" s="218" t="s">
        <v>1100</v>
      </c>
      <c r="C1119" s="210" t="s">
        <v>25</v>
      </c>
      <c r="D1119" s="211" t="s">
        <v>1175</v>
      </c>
      <c r="E1119" s="219" t="s">
        <v>1738</v>
      </c>
    </row>
    <row r="1120" spans="2:5">
      <c r="B1120" s="218" t="s">
        <v>1100</v>
      </c>
      <c r="C1120" s="210" t="s">
        <v>25</v>
      </c>
      <c r="D1120" s="211" t="s">
        <v>1176</v>
      </c>
      <c r="E1120" s="219" t="s">
        <v>1</v>
      </c>
    </row>
    <row r="1121" spans="2:5">
      <c r="B1121" s="218" t="s">
        <v>1100</v>
      </c>
      <c r="C1121" s="210" t="s">
        <v>25</v>
      </c>
      <c r="D1121" s="211" t="s">
        <v>1177</v>
      </c>
      <c r="E1121" s="219" t="s">
        <v>1</v>
      </c>
    </row>
    <row r="1122" spans="2:5">
      <c r="B1122" s="218" t="s">
        <v>1100</v>
      </c>
      <c r="C1122" s="210" t="s">
        <v>25</v>
      </c>
      <c r="D1122" s="211" t="s">
        <v>1178</v>
      </c>
      <c r="E1122" s="219" t="s">
        <v>1</v>
      </c>
    </row>
    <row r="1123" spans="2:5">
      <c r="B1123" s="218" t="s">
        <v>1100</v>
      </c>
      <c r="C1123" s="210" t="s">
        <v>25</v>
      </c>
      <c r="D1123" s="211" t="s">
        <v>1179</v>
      </c>
      <c r="E1123" s="219" t="s">
        <v>1</v>
      </c>
    </row>
    <row r="1124" spans="2:5">
      <c r="B1124" s="218" t="s">
        <v>1100</v>
      </c>
      <c r="C1124" s="210" t="s">
        <v>25</v>
      </c>
      <c r="D1124" s="211" t="s">
        <v>1180</v>
      </c>
      <c r="E1124" s="219" t="s">
        <v>1</v>
      </c>
    </row>
    <row r="1125" spans="2:5">
      <c r="B1125" s="218" t="s">
        <v>1100</v>
      </c>
      <c r="C1125" s="210" t="s">
        <v>25</v>
      </c>
      <c r="D1125" s="211" t="s">
        <v>1181</v>
      </c>
      <c r="E1125" s="219" t="s">
        <v>1738</v>
      </c>
    </row>
    <row r="1126" spans="2:5">
      <c r="B1126" s="218" t="s">
        <v>1100</v>
      </c>
      <c r="C1126" s="210" t="s">
        <v>25</v>
      </c>
      <c r="D1126" s="211" t="s">
        <v>1182</v>
      </c>
      <c r="E1126" s="219" t="s">
        <v>1738</v>
      </c>
    </row>
    <row r="1127" spans="2:5">
      <c r="B1127" s="218" t="s">
        <v>1100</v>
      </c>
      <c r="C1127" s="210" t="s">
        <v>25</v>
      </c>
      <c r="D1127" s="211" t="s">
        <v>1183</v>
      </c>
      <c r="E1127" s="219" t="s">
        <v>1738</v>
      </c>
    </row>
    <row r="1128" spans="2:5">
      <c r="B1128" s="218" t="s">
        <v>1100</v>
      </c>
      <c r="C1128" s="210" t="s">
        <v>25</v>
      </c>
      <c r="D1128" s="211" t="s">
        <v>1184</v>
      </c>
      <c r="E1128" s="219" t="s">
        <v>1</v>
      </c>
    </row>
    <row r="1129" spans="2:5">
      <c r="B1129" s="218" t="s">
        <v>1100</v>
      </c>
      <c r="C1129" s="210" t="s">
        <v>25</v>
      </c>
      <c r="D1129" s="211" t="s">
        <v>1185</v>
      </c>
      <c r="E1129" s="219" t="s">
        <v>1</v>
      </c>
    </row>
    <row r="1130" spans="2:5">
      <c r="B1130" s="218" t="s">
        <v>1100</v>
      </c>
      <c r="C1130" s="210" t="s">
        <v>25</v>
      </c>
      <c r="D1130" s="211" t="s">
        <v>1186</v>
      </c>
      <c r="E1130" s="219" t="s">
        <v>1</v>
      </c>
    </row>
    <row r="1131" spans="2:5">
      <c r="B1131" s="218" t="s">
        <v>1100</v>
      </c>
      <c r="C1131" s="210" t="s">
        <v>25</v>
      </c>
      <c r="D1131" s="211" t="s">
        <v>1187</v>
      </c>
      <c r="E1131" s="219" t="s">
        <v>1</v>
      </c>
    </row>
    <row r="1132" spans="2:5">
      <c r="B1132" s="218" t="s">
        <v>1100</v>
      </c>
      <c r="C1132" s="210" t="s">
        <v>25</v>
      </c>
      <c r="D1132" s="211" t="s">
        <v>1188</v>
      </c>
      <c r="E1132" s="219" t="s">
        <v>1738</v>
      </c>
    </row>
    <row r="1133" spans="2:5">
      <c r="B1133" s="218" t="s">
        <v>1100</v>
      </c>
      <c r="C1133" s="210" t="s">
        <v>25</v>
      </c>
      <c r="D1133" s="211" t="s">
        <v>1189</v>
      </c>
      <c r="E1133" s="219" t="s">
        <v>1</v>
      </c>
    </row>
    <row r="1134" spans="2:5">
      <c r="B1134" s="218" t="s">
        <v>1100</v>
      </c>
      <c r="C1134" s="210" t="s">
        <v>25</v>
      </c>
      <c r="D1134" s="211" t="s">
        <v>1190</v>
      </c>
      <c r="E1134" s="219" t="s">
        <v>1738</v>
      </c>
    </row>
    <row r="1135" spans="2:5">
      <c r="B1135" s="218" t="s">
        <v>1100</v>
      </c>
      <c r="C1135" s="210" t="s">
        <v>25</v>
      </c>
      <c r="D1135" s="211" t="s">
        <v>1191</v>
      </c>
      <c r="E1135" s="219" t="s">
        <v>1</v>
      </c>
    </row>
    <row r="1136" spans="2:5">
      <c r="B1136" s="218" t="s">
        <v>1100</v>
      </c>
      <c r="C1136" s="210" t="s">
        <v>25</v>
      </c>
      <c r="D1136" s="211" t="s">
        <v>1192</v>
      </c>
      <c r="E1136" s="219" t="s">
        <v>1</v>
      </c>
    </row>
    <row r="1137" spans="2:5">
      <c r="B1137" s="218" t="s">
        <v>1100</v>
      </c>
      <c r="C1137" s="210" t="s">
        <v>25</v>
      </c>
      <c r="D1137" s="211" t="s">
        <v>1193</v>
      </c>
      <c r="E1137" s="219" t="s">
        <v>1</v>
      </c>
    </row>
    <row r="1138" spans="2:5">
      <c r="B1138" s="218" t="s">
        <v>1100</v>
      </c>
      <c r="C1138" s="210" t="s">
        <v>25</v>
      </c>
      <c r="D1138" s="211" t="s">
        <v>1194</v>
      </c>
      <c r="E1138" s="219" t="s">
        <v>1</v>
      </c>
    </row>
    <row r="1139" spans="2:5">
      <c r="B1139" s="218" t="s">
        <v>1100</v>
      </c>
      <c r="C1139" s="210" t="s">
        <v>25</v>
      </c>
      <c r="D1139" s="211" t="s">
        <v>1195</v>
      </c>
      <c r="E1139" s="219" t="s">
        <v>1738</v>
      </c>
    </row>
    <row r="1140" spans="2:5">
      <c r="B1140" s="218" t="s">
        <v>1100</v>
      </c>
      <c r="C1140" s="210" t="s">
        <v>25</v>
      </c>
      <c r="D1140" s="211" t="s">
        <v>1196</v>
      </c>
      <c r="E1140" s="219" t="s">
        <v>1</v>
      </c>
    </row>
    <row r="1141" spans="2:5">
      <c r="B1141" s="218" t="s">
        <v>1100</v>
      </c>
      <c r="C1141" s="210" t="s">
        <v>25</v>
      </c>
      <c r="D1141" s="211" t="s">
        <v>1197</v>
      </c>
      <c r="E1141" s="219" t="s">
        <v>1738</v>
      </c>
    </row>
    <row r="1142" spans="2:5">
      <c r="B1142" s="218" t="s">
        <v>1100</v>
      </c>
      <c r="C1142" s="210" t="s">
        <v>25</v>
      </c>
      <c r="D1142" s="211" t="s">
        <v>1198</v>
      </c>
      <c r="E1142" s="219" t="s">
        <v>1</v>
      </c>
    </row>
    <row r="1143" spans="2:5">
      <c r="B1143" s="218" t="s">
        <v>1100</v>
      </c>
      <c r="C1143" s="210" t="s">
        <v>25</v>
      </c>
      <c r="D1143" s="211" t="s">
        <v>1199</v>
      </c>
      <c r="E1143" s="219" t="s">
        <v>1</v>
      </c>
    </row>
    <row r="1144" spans="2:5">
      <c r="B1144" s="218" t="s">
        <v>1100</v>
      </c>
      <c r="C1144" s="210" t="s">
        <v>25</v>
      </c>
      <c r="D1144" s="211" t="s">
        <v>1200</v>
      </c>
      <c r="E1144" s="219" t="s">
        <v>1</v>
      </c>
    </row>
    <row r="1145" spans="2:5">
      <c r="B1145" s="218" t="s">
        <v>1100</v>
      </c>
      <c r="C1145" s="210" t="s">
        <v>25</v>
      </c>
      <c r="D1145" s="211" t="s">
        <v>1201</v>
      </c>
      <c r="E1145" s="219" t="s">
        <v>1</v>
      </c>
    </row>
    <row r="1146" spans="2:5">
      <c r="B1146" s="218" t="s">
        <v>1100</v>
      </c>
      <c r="C1146" s="210" t="s">
        <v>25</v>
      </c>
      <c r="D1146" s="211" t="s">
        <v>1202</v>
      </c>
      <c r="E1146" s="219" t="s">
        <v>1</v>
      </c>
    </row>
    <row r="1147" spans="2:5">
      <c r="B1147" s="218" t="s">
        <v>1100</v>
      </c>
      <c r="C1147" s="210" t="s">
        <v>25</v>
      </c>
      <c r="D1147" s="211" t="s">
        <v>1203</v>
      </c>
      <c r="E1147" s="219" t="s">
        <v>1738</v>
      </c>
    </row>
    <row r="1148" spans="2:5">
      <c r="B1148" s="218" t="s">
        <v>1100</v>
      </c>
      <c r="C1148" s="210" t="s">
        <v>25</v>
      </c>
      <c r="D1148" s="211" t="s">
        <v>1204</v>
      </c>
      <c r="E1148" s="219" t="s">
        <v>1</v>
      </c>
    </row>
    <row r="1149" spans="2:5">
      <c r="B1149" s="218" t="s">
        <v>1100</v>
      </c>
      <c r="C1149" s="210" t="s">
        <v>25</v>
      </c>
      <c r="D1149" s="211" t="s">
        <v>1205</v>
      </c>
      <c r="E1149" s="219" t="s">
        <v>1</v>
      </c>
    </row>
    <row r="1150" spans="2:5">
      <c r="B1150" s="218" t="s">
        <v>1100</v>
      </c>
      <c r="C1150" s="210" t="s">
        <v>25</v>
      </c>
      <c r="D1150" s="211" t="s">
        <v>1206</v>
      </c>
      <c r="E1150" s="219" t="s">
        <v>1</v>
      </c>
    </row>
    <row r="1151" spans="2:5">
      <c r="B1151" s="218" t="s">
        <v>1100</v>
      </c>
      <c r="C1151" s="210" t="s">
        <v>25</v>
      </c>
      <c r="D1151" s="211" t="s">
        <v>1207</v>
      </c>
      <c r="E1151" s="219" t="s">
        <v>1738</v>
      </c>
    </row>
    <row r="1152" spans="2:5">
      <c r="B1152" s="218" t="s">
        <v>1100</v>
      </c>
      <c r="C1152" s="210" t="s">
        <v>25</v>
      </c>
      <c r="D1152" s="211" t="s">
        <v>1208</v>
      </c>
      <c r="E1152" s="219" t="s">
        <v>1738</v>
      </c>
    </row>
    <row r="1153" spans="2:5">
      <c r="B1153" s="218" t="s">
        <v>1100</v>
      </c>
      <c r="C1153" s="210" t="s">
        <v>25</v>
      </c>
      <c r="D1153" s="211" t="s">
        <v>1209</v>
      </c>
      <c r="E1153" s="219" t="s">
        <v>1738</v>
      </c>
    </row>
    <row r="1154" spans="2:5">
      <c r="B1154" s="218" t="s">
        <v>1100</v>
      </c>
      <c r="C1154" s="210" t="s">
        <v>25</v>
      </c>
      <c r="D1154" s="211" t="s">
        <v>1210</v>
      </c>
      <c r="E1154" s="219" t="s">
        <v>1738</v>
      </c>
    </row>
    <row r="1155" spans="2:5">
      <c r="B1155" s="218" t="s">
        <v>1100</v>
      </c>
      <c r="C1155" s="210" t="s">
        <v>25</v>
      </c>
      <c r="D1155" s="211" t="s">
        <v>1211</v>
      </c>
      <c r="E1155" s="219" t="s">
        <v>1738</v>
      </c>
    </row>
    <row r="1156" spans="2:5">
      <c r="B1156" s="218" t="s">
        <v>1100</v>
      </c>
      <c r="C1156" s="210" t="s">
        <v>25</v>
      </c>
      <c r="D1156" s="211" t="s">
        <v>1212</v>
      </c>
      <c r="E1156" s="219" t="s">
        <v>1738</v>
      </c>
    </row>
    <row r="1157" spans="2:5">
      <c r="B1157" s="218" t="s">
        <v>1100</v>
      </c>
      <c r="C1157" s="210" t="s">
        <v>25</v>
      </c>
      <c r="D1157" s="211" t="s">
        <v>1213</v>
      </c>
      <c r="E1157" s="219" t="s">
        <v>1738</v>
      </c>
    </row>
    <row r="1158" spans="2:5">
      <c r="B1158" s="218" t="s">
        <v>1100</v>
      </c>
      <c r="C1158" s="210" t="s">
        <v>25</v>
      </c>
      <c r="D1158" s="211" t="s">
        <v>1214</v>
      </c>
      <c r="E1158" s="219" t="s">
        <v>1738</v>
      </c>
    </row>
    <row r="1159" spans="2:5">
      <c r="B1159" s="218" t="s">
        <v>1100</v>
      </c>
      <c r="C1159" s="210" t="s">
        <v>25</v>
      </c>
      <c r="D1159" s="211" t="s">
        <v>1215</v>
      </c>
      <c r="E1159" s="219" t="s">
        <v>1738</v>
      </c>
    </row>
    <row r="1160" spans="2:5">
      <c r="B1160" s="218" t="s">
        <v>1100</v>
      </c>
      <c r="C1160" s="210" t="s">
        <v>25</v>
      </c>
      <c r="D1160" s="211" t="s">
        <v>1216</v>
      </c>
      <c r="E1160" s="219" t="s">
        <v>1738</v>
      </c>
    </row>
    <row r="1161" spans="2:5">
      <c r="B1161" s="218" t="s">
        <v>1100</v>
      </c>
      <c r="C1161" s="210" t="s">
        <v>25</v>
      </c>
      <c r="D1161" s="211" t="s">
        <v>1217</v>
      </c>
      <c r="E1161" s="219" t="s">
        <v>1738</v>
      </c>
    </row>
    <row r="1162" spans="2:5">
      <c r="B1162" s="218" t="s">
        <v>1100</v>
      </c>
      <c r="C1162" s="210" t="s">
        <v>25</v>
      </c>
      <c r="D1162" s="211" t="s">
        <v>1218</v>
      </c>
      <c r="E1162" s="219" t="s">
        <v>1738</v>
      </c>
    </row>
    <row r="1163" spans="2:5">
      <c r="B1163" s="218" t="s">
        <v>1100</v>
      </c>
      <c r="C1163" s="210" t="s">
        <v>25</v>
      </c>
      <c r="D1163" s="211" t="s">
        <v>1219</v>
      </c>
      <c r="E1163" s="219" t="s">
        <v>1738</v>
      </c>
    </row>
    <row r="1164" spans="2:5">
      <c r="B1164" s="218" t="s">
        <v>1100</v>
      </c>
      <c r="C1164" s="210" t="s">
        <v>25</v>
      </c>
      <c r="D1164" s="211" t="s">
        <v>1220</v>
      </c>
      <c r="E1164" s="219" t="s">
        <v>1738</v>
      </c>
    </row>
    <row r="1165" spans="2:5">
      <c r="B1165" s="218" t="s">
        <v>1100</v>
      </c>
      <c r="C1165" s="210" t="s">
        <v>25</v>
      </c>
      <c r="D1165" s="211" t="s">
        <v>1221</v>
      </c>
      <c r="E1165" s="219" t="s">
        <v>1738</v>
      </c>
    </row>
    <row r="1166" spans="2:5">
      <c r="B1166" s="218" t="s">
        <v>1100</v>
      </c>
      <c r="C1166" s="210" t="s">
        <v>25</v>
      </c>
      <c r="D1166" s="211" t="s">
        <v>1222</v>
      </c>
      <c r="E1166" s="219" t="s">
        <v>1738</v>
      </c>
    </row>
    <row r="1167" spans="2:5">
      <c r="B1167" s="218" t="s">
        <v>1100</v>
      </c>
      <c r="C1167" s="210" t="s">
        <v>25</v>
      </c>
      <c r="D1167" s="211" t="s">
        <v>1223</v>
      </c>
      <c r="E1167" s="219" t="s">
        <v>1738</v>
      </c>
    </row>
    <row r="1168" spans="2:5">
      <c r="B1168" s="218" t="s">
        <v>1100</v>
      </c>
      <c r="C1168" s="210" t="s">
        <v>25</v>
      </c>
      <c r="D1168" s="211" t="s">
        <v>1224</v>
      </c>
      <c r="E1168" s="219" t="s">
        <v>1738</v>
      </c>
    </row>
    <row r="1169" spans="2:5">
      <c r="B1169" s="218" t="s">
        <v>1100</v>
      </c>
      <c r="C1169" s="210" t="s">
        <v>25</v>
      </c>
      <c r="D1169" s="211" t="s">
        <v>1225</v>
      </c>
      <c r="E1169" s="219" t="s">
        <v>1738</v>
      </c>
    </row>
    <row r="1170" spans="2:5">
      <c r="B1170" s="218" t="s">
        <v>1100</v>
      </c>
      <c r="C1170" s="210" t="s">
        <v>25</v>
      </c>
      <c r="D1170" s="211" t="s">
        <v>1226</v>
      </c>
      <c r="E1170" s="219" t="s">
        <v>1738</v>
      </c>
    </row>
    <row r="1171" spans="2:5">
      <c r="B1171" s="218" t="s">
        <v>1100</v>
      </c>
      <c r="C1171" s="210" t="s">
        <v>25</v>
      </c>
      <c r="D1171" s="211" t="s">
        <v>1227</v>
      </c>
      <c r="E1171" s="219" t="s">
        <v>1738</v>
      </c>
    </row>
    <row r="1172" spans="2:5">
      <c r="B1172" s="218" t="s">
        <v>1100</v>
      </c>
      <c r="C1172" s="210" t="s">
        <v>25</v>
      </c>
      <c r="D1172" s="211" t="s">
        <v>1228</v>
      </c>
      <c r="E1172" s="219" t="s">
        <v>1738</v>
      </c>
    </row>
    <row r="1173" spans="2:5">
      <c r="B1173" s="218" t="s">
        <v>1100</v>
      </c>
      <c r="C1173" s="210" t="s">
        <v>25</v>
      </c>
      <c r="D1173" s="211" t="s">
        <v>1229</v>
      </c>
      <c r="E1173" s="219" t="s">
        <v>1738</v>
      </c>
    </row>
    <row r="1174" spans="2:5">
      <c r="B1174" s="218" t="s">
        <v>1100</v>
      </c>
      <c r="C1174" s="210" t="s">
        <v>25</v>
      </c>
      <c r="D1174" s="211" t="s">
        <v>1230</v>
      </c>
      <c r="E1174" s="219" t="s">
        <v>1</v>
      </c>
    </row>
    <row r="1175" spans="2:5">
      <c r="B1175" s="218" t="s">
        <v>1100</v>
      </c>
      <c r="C1175" s="210" t="s">
        <v>25</v>
      </c>
      <c r="D1175" s="211" t="s">
        <v>1231</v>
      </c>
      <c r="E1175" s="219" t="s">
        <v>1738</v>
      </c>
    </row>
    <row r="1176" spans="2:5">
      <c r="B1176" s="218" t="s">
        <v>1100</v>
      </c>
      <c r="C1176" s="210" t="s">
        <v>25</v>
      </c>
      <c r="D1176" s="211" t="s">
        <v>1232</v>
      </c>
      <c r="E1176" s="219" t="s">
        <v>1</v>
      </c>
    </row>
    <row r="1177" spans="2:5">
      <c r="B1177" s="218" t="s">
        <v>1100</v>
      </c>
      <c r="C1177" s="210" t="s">
        <v>25</v>
      </c>
      <c r="D1177" s="211" t="s">
        <v>1233</v>
      </c>
      <c r="E1177" s="219" t="s">
        <v>1</v>
      </c>
    </row>
    <row r="1178" spans="2:5">
      <c r="B1178" s="218" t="s">
        <v>1100</v>
      </c>
      <c r="C1178" s="210" t="s">
        <v>25</v>
      </c>
      <c r="D1178" s="211" t="s">
        <v>1234</v>
      </c>
      <c r="E1178" s="219" t="s">
        <v>1738</v>
      </c>
    </row>
    <row r="1179" spans="2:5">
      <c r="B1179" s="218" t="s">
        <v>1100</v>
      </c>
      <c r="C1179" s="210" t="s">
        <v>25</v>
      </c>
      <c r="D1179" s="211" t="s">
        <v>1235</v>
      </c>
      <c r="E1179" s="219" t="s">
        <v>1</v>
      </c>
    </row>
    <row r="1180" spans="2:5">
      <c r="B1180" s="218" t="s">
        <v>1100</v>
      </c>
      <c r="C1180" s="210" t="s">
        <v>25</v>
      </c>
      <c r="D1180" s="211" t="s">
        <v>1236</v>
      </c>
      <c r="E1180" s="219" t="s">
        <v>1</v>
      </c>
    </row>
    <row r="1181" spans="2:5">
      <c r="B1181" s="218" t="s">
        <v>1100</v>
      </c>
      <c r="C1181" s="210" t="s">
        <v>25</v>
      </c>
      <c r="D1181" s="211" t="s">
        <v>1237</v>
      </c>
      <c r="E1181" s="219" t="s">
        <v>1</v>
      </c>
    </row>
    <row r="1182" spans="2:5">
      <c r="B1182" s="218" t="s">
        <v>1100</v>
      </c>
      <c r="C1182" s="210" t="s">
        <v>25</v>
      </c>
      <c r="D1182" s="211" t="s">
        <v>1238</v>
      </c>
      <c r="E1182" s="219" t="s">
        <v>1</v>
      </c>
    </row>
    <row r="1183" spans="2:5">
      <c r="B1183" s="218" t="s">
        <v>1100</v>
      </c>
      <c r="C1183" s="210" t="s">
        <v>25</v>
      </c>
      <c r="D1183" s="211" t="s">
        <v>1239</v>
      </c>
      <c r="E1183" s="219" t="s">
        <v>1738</v>
      </c>
    </row>
    <row r="1184" spans="2:5">
      <c r="B1184" s="218" t="s">
        <v>1100</v>
      </c>
      <c r="C1184" s="210" t="s">
        <v>25</v>
      </c>
      <c r="D1184" s="211" t="s">
        <v>1240</v>
      </c>
      <c r="E1184" s="219" t="s">
        <v>1738</v>
      </c>
    </row>
    <row r="1185" spans="2:5">
      <c r="B1185" s="218" t="s">
        <v>1100</v>
      </c>
      <c r="C1185" s="210" t="s">
        <v>25</v>
      </c>
      <c r="D1185" s="211" t="s">
        <v>1241</v>
      </c>
      <c r="E1185" s="219" t="s">
        <v>1738</v>
      </c>
    </row>
    <row r="1186" spans="2:5">
      <c r="B1186" s="218" t="s">
        <v>1100</v>
      </c>
      <c r="C1186" s="210" t="s">
        <v>25</v>
      </c>
      <c r="D1186" s="211" t="s">
        <v>1242</v>
      </c>
      <c r="E1186" s="219" t="s">
        <v>1738</v>
      </c>
    </row>
    <row r="1187" spans="2:5">
      <c r="B1187" s="218" t="s">
        <v>1100</v>
      </c>
      <c r="C1187" s="210" t="s">
        <v>25</v>
      </c>
      <c r="D1187" s="211" t="s">
        <v>1243</v>
      </c>
      <c r="E1187" s="219" t="s">
        <v>1738</v>
      </c>
    </row>
    <row r="1188" spans="2:5">
      <c r="B1188" s="218" t="s">
        <v>1100</v>
      </c>
      <c r="C1188" s="210" t="s">
        <v>25</v>
      </c>
      <c r="D1188" s="211" t="s">
        <v>1244</v>
      </c>
      <c r="E1188" s="219" t="s">
        <v>1738</v>
      </c>
    </row>
    <row r="1189" spans="2:5">
      <c r="B1189" s="218" t="s">
        <v>1100</v>
      </c>
      <c r="C1189" s="210" t="s">
        <v>25</v>
      </c>
      <c r="D1189" s="211" t="s">
        <v>1245</v>
      </c>
      <c r="E1189" s="219" t="s">
        <v>1738</v>
      </c>
    </row>
    <row r="1190" spans="2:5">
      <c r="B1190" s="218" t="s">
        <v>1100</v>
      </c>
      <c r="C1190" s="210" t="s">
        <v>25</v>
      </c>
      <c r="D1190" s="211" t="s">
        <v>1246</v>
      </c>
      <c r="E1190" s="219" t="s">
        <v>1</v>
      </c>
    </row>
    <row r="1191" spans="2:5">
      <c r="B1191" s="218" t="s">
        <v>1100</v>
      </c>
      <c r="C1191" s="210" t="s">
        <v>25</v>
      </c>
      <c r="D1191" s="211" t="s">
        <v>1247</v>
      </c>
      <c r="E1191" s="219" t="s">
        <v>1</v>
      </c>
    </row>
    <row r="1192" spans="2:5">
      <c r="B1192" s="218" t="s">
        <v>1100</v>
      </c>
      <c r="C1192" s="210" t="s">
        <v>25</v>
      </c>
      <c r="D1192" s="211" t="s">
        <v>1248</v>
      </c>
      <c r="E1192" s="219" t="s">
        <v>1</v>
      </c>
    </row>
    <row r="1193" spans="2:5">
      <c r="B1193" s="218" t="s">
        <v>1100</v>
      </c>
      <c r="C1193" s="210" t="s">
        <v>25</v>
      </c>
      <c r="D1193" s="211" t="s">
        <v>1249</v>
      </c>
      <c r="E1193" s="219" t="s">
        <v>1</v>
      </c>
    </row>
    <row r="1194" spans="2:5">
      <c r="B1194" s="218" t="s">
        <v>1100</v>
      </c>
      <c r="C1194" s="210" t="s">
        <v>25</v>
      </c>
      <c r="D1194" s="211" t="s">
        <v>1250</v>
      </c>
      <c r="E1194" s="219" t="s">
        <v>1</v>
      </c>
    </row>
    <row r="1195" spans="2:5">
      <c r="B1195" s="218" t="s">
        <v>1100</v>
      </c>
      <c r="C1195" s="210" t="s">
        <v>25</v>
      </c>
      <c r="D1195" s="211" t="s">
        <v>1251</v>
      </c>
      <c r="E1195" s="219" t="s">
        <v>1</v>
      </c>
    </row>
    <row r="1196" spans="2:5">
      <c r="B1196" s="218" t="s">
        <v>1100</v>
      </c>
      <c r="C1196" s="210" t="s">
        <v>25</v>
      </c>
      <c r="D1196" s="211" t="s">
        <v>1252</v>
      </c>
      <c r="E1196" s="219" t="s">
        <v>1</v>
      </c>
    </row>
    <row r="1197" spans="2:5">
      <c r="B1197" s="218" t="s">
        <v>1100</v>
      </c>
      <c r="C1197" s="210" t="s">
        <v>25</v>
      </c>
      <c r="D1197" s="211" t="s">
        <v>1253</v>
      </c>
      <c r="E1197" s="219" t="s">
        <v>1</v>
      </c>
    </row>
    <row r="1198" spans="2:5">
      <c r="B1198" s="218" t="s">
        <v>1100</v>
      </c>
      <c r="C1198" s="210" t="s">
        <v>25</v>
      </c>
      <c r="D1198" s="211" t="s">
        <v>1254</v>
      </c>
      <c r="E1198" s="219" t="s">
        <v>1</v>
      </c>
    </row>
    <row r="1199" spans="2:5">
      <c r="B1199" s="218" t="s">
        <v>1100</v>
      </c>
      <c r="C1199" s="210" t="s">
        <v>25</v>
      </c>
      <c r="D1199" s="211" t="s">
        <v>1255</v>
      </c>
      <c r="E1199" s="219" t="s">
        <v>1</v>
      </c>
    </row>
    <row r="1200" spans="2:5">
      <c r="B1200" s="218" t="s">
        <v>1100</v>
      </c>
      <c r="C1200" s="210" t="s">
        <v>25</v>
      </c>
      <c r="D1200" s="211" t="s">
        <v>1256</v>
      </c>
      <c r="E1200" s="219" t="s">
        <v>1738</v>
      </c>
    </row>
    <row r="1201" spans="2:5">
      <c r="B1201" s="218" t="s">
        <v>1100</v>
      </c>
      <c r="C1201" s="210" t="s">
        <v>25</v>
      </c>
      <c r="D1201" s="211" t="s">
        <v>1257</v>
      </c>
      <c r="E1201" s="219" t="s">
        <v>1738</v>
      </c>
    </row>
    <row r="1202" spans="2:5">
      <c r="B1202" s="218" t="s">
        <v>1100</v>
      </c>
      <c r="C1202" s="210" t="s">
        <v>25</v>
      </c>
      <c r="D1202" s="211" t="s">
        <v>1258</v>
      </c>
      <c r="E1202" s="219" t="s">
        <v>1738</v>
      </c>
    </row>
    <row r="1203" spans="2:5">
      <c r="B1203" s="218" t="s">
        <v>1100</v>
      </c>
      <c r="C1203" s="210" t="s">
        <v>25</v>
      </c>
      <c r="D1203" s="211" t="s">
        <v>1259</v>
      </c>
      <c r="E1203" s="219" t="s">
        <v>1738</v>
      </c>
    </row>
    <row r="1204" spans="2:5">
      <c r="B1204" s="218" t="s">
        <v>1100</v>
      </c>
      <c r="C1204" s="210" t="s">
        <v>25</v>
      </c>
      <c r="D1204" s="211" t="s">
        <v>1260</v>
      </c>
      <c r="E1204" s="219" t="s">
        <v>1738</v>
      </c>
    </row>
    <row r="1205" spans="2:5">
      <c r="B1205" s="218" t="s">
        <v>1100</v>
      </c>
      <c r="C1205" s="210" t="s">
        <v>25</v>
      </c>
      <c r="D1205" s="211" t="s">
        <v>1261</v>
      </c>
      <c r="E1205" s="219" t="s">
        <v>1738</v>
      </c>
    </row>
    <row r="1206" spans="2:5">
      <c r="B1206" s="218" t="s">
        <v>1100</v>
      </c>
      <c r="C1206" s="210" t="s">
        <v>25</v>
      </c>
      <c r="D1206" s="211" t="s">
        <v>1262</v>
      </c>
      <c r="E1206" s="219" t="s">
        <v>1738</v>
      </c>
    </row>
    <row r="1207" spans="2:5">
      <c r="B1207" s="218" t="s">
        <v>1100</v>
      </c>
      <c r="C1207" s="210" t="s">
        <v>25</v>
      </c>
      <c r="D1207" s="211" t="s">
        <v>1263</v>
      </c>
      <c r="E1207" s="219" t="s">
        <v>1738</v>
      </c>
    </row>
    <row r="1208" spans="2:5">
      <c r="B1208" s="218" t="s">
        <v>1100</v>
      </c>
      <c r="C1208" s="210" t="s">
        <v>25</v>
      </c>
      <c r="D1208" s="211" t="s">
        <v>1264</v>
      </c>
      <c r="E1208" s="219" t="s">
        <v>1</v>
      </c>
    </row>
    <row r="1209" spans="2:5">
      <c r="B1209" s="218" t="s">
        <v>1100</v>
      </c>
      <c r="C1209" s="210" t="s">
        <v>25</v>
      </c>
      <c r="D1209" s="211" t="s">
        <v>1265</v>
      </c>
      <c r="E1209" s="219" t="s">
        <v>1738</v>
      </c>
    </row>
    <row r="1210" spans="2:5">
      <c r="B1210" s="218" t="s">
        <v>1100</v>
      </c>
      <c r="C1210" s="210" t="s">
        <v>25</v>
      </c>
      <c r="D1210" s="211" t="s">
        <v>1266</v>
      </c>
      <c r="E1210" s="219" t="s">
        <v>1738</v>
      </c>
    </row>
    <row r="1211" spans="2:5">
      <c r="B1211" s="218" t="s">
        <v>1100</v>
      </c>
      <c r="C1211" s="210" t="s">
        <v>25</v>
      </c>
      <c r="D1211" s="211" t="s">
        <v>1267</v>
      </c>
      <c r="E1211" s="219" t="s">
        <v>1</v>
      </c>
    </row>
    <row r="1212" spans="2:5">
      <c r="B1212" s="218" t="s">
        <v>1100</v>
      </c>
      <c r="C1212" s="210" t="s">
        <v>25</v>
      </c>
      <c r="D1212" s="211" t="s">
        <v>1268</v>
      </c>
      <c r="E1212" s="219" t="s">
        <v>1738</v>
      </c>
    </row>
    <row r="1213" spans="2:5">
      <c r="B1213" s="218" t="s">
        <v>1100</v>
      </c>
      <c r="C1213" s="210" t="s">
        <v>25</v>
      </c>
      <c r="D1213" s="211" t="s">
        <v>1269</v>
      </c>
      <c r="E1213" s="219" t="s">
        <v>1738</v>
      </c>
    </row>
    <row r="1214" spans="2:5">
      <c r="B1214" s="218" t="s">
        <v>1100</v>
      </c>
      <c r="C1214" s="210" t="s">
        <v>25</v>
      </c>
      <c r="D1214" s="211" t="s">
        <v>1270</v>
      </c>
      <c r="E1214" s="219" t="s">
        <v>1738</v>
      </c>
    </row>
    <row r="1215" spans="2:5">
      <c r="B1215" s="218" t="s">
        <v>1100</v>
      </c>
      <c r="C1215" s="210" t="s">
        <v>25</v>
      </c>
      <c r="D1215" s="211" t="s">
        <v>1271</v>
      </c>
      <c r="E1215" s="219" t="s">
        <v>1738</v>
      </c>
    </row>
    <row r="1216" spans="2:5">
      <c r="B1216" s="218" t="s">
        <v>1100</v>
      </c>
      <c r="C1216" s="210" t="s">
        <v>25</v>
      </c>
      <c r="D1216" s="211" t="s">
        <v>1272</v>
      </c>
      <c r="E1216" s="219" t="s">
        <v>1</v>
      </c>
    </row>
    <row r="1217" spans="2:5">
      <c r="B1217" s="218" t="s">
        <v>1100</v>
      </c>
      <c r="C1217" s="210" t="s">
        <v>25</v>
      </c>
      <c r="D1217" s="211" t="s">
        <v>1273</v>
      </c>
      <c r="E1217" s="219" t="s">
        <v>1738</v>
      </c>
    </row>
    <row r="1218" spans="2:5">
      <c r="B1218" s="218" t="s">
        <v>1100</v>
      </c>
      <c r="C1218" s="210" t="s">
        <v>25</v>
      </c>
      <c r="D1218" s="211" t="s">
        <v>1274</v>
      </c>
      <c r="E1218" s="219" t="s">
        <v>1</v>
      </c>
    </row>
    <row r="1219" spans="2:5">
      <c r="B1219" s="218" t="s">
        <v>1100</v>
      </c>
      <c r="C1219" s="210" t="s">
        <v>25</v>
      </c>
      <c r="D1219" s="211" t="s">
        <v>1275</v>
      </c>
      <c r="E1219" s="219" t="s">
        <v>1738</v>
      </c>
    </row>
    <row r="1220" spans="2:5">
      <c r="B1220" s="218" t="s">
        <v>1100</v>
      </c>
      <c r="C1220" s="210" t="s">
        <v>25</v>
      </c>
      <c r="D1220" s="211" t="s">
        <v>1276</v>
      </c>
      <c r="E1220" s="219" t="s">
        <v>1</v>
      </c>
    </row>
    <row r="1221" spans="2:5">
      <c r="B1221" s="218" t="s">
        <v>1100</v>
      </c>
      <c r="C1221" s="210" t="s">
        <v>25</v>
      </c>
      <c r="D1221" s="211" t="s">
        <v>1277</v>
      </c>
      <c r="E1221" s="219" t="s">
        <v>1738</v>
      </c>
    </row>
    <row r="1222" spans="2:5">
      <c r="B1222" s="218" t="s">
        <v>1100</v>
      </c>
      <c r="C1222" s="210" t="s">
        <v>25</v>
      </c>
      <c r="D1222" s="211" t="s">
        <v>1278</v>
      </c>
      <c r="E1222" s="219" t="s">
        <v>1738</v>
      </c>
    </row>
    <row r="1223" spans="2:5">
      <c r="B1223" s="218" t="s">
        <v>1100</v>
      </c>
      <c r="C1223" s="210" t="s">
        <v>25</v>
      </c>
      <c r="D1223" s="211" t="s">
        <v>1279</v>
      </c>
      <c r="E1223" s="219" t="s">
        <v>1738</v>
      </c>
    </row>
    <row r="1224" spans="2:5">
      <c r="B1224" s="218" t="s">
        <v>1100</v>
      </c>
      <c r="C1224" s="210" t="s">
        <v>25</v>
      </c>
      <c r="D1224" s="211" t="s">
        <v>1280</v>
      </c>
      <c r="E1224" s="219" t="s">
        <v>1738</v>
      </c>
    </row>
    <row r="1225" spans="2:5">
      <c r="B1225" s="218" t="s">
        <v>1100</v>
      </c>
      <c r="C1225" s="210" t="s">
        <v>25</v>
      </c>
      <c r="D1225" s="211" t="s">
        <v>1281</v>
      </c>
      <c r="E1225" s="219" t="s">
        <v>1</v>
      </c>
    </row>
    <row r="1226" spans="2:5">
      <c r="B1226" s="218" t="s">
        <v>1100</v>
      </c>
      <c r="C1226" s="210" t="s">
        <v>25</v>
      </c>
      <c r="D1226" s="211" t="s">
        <v>1282</v>
      </c>
      <c r="E1226" s="219" t="s">
        <v>1738</v>
      </c>
    </row>
    <row r="1227" spans="2:5">
      <c r="B1227" s="218" t="s">
        <v>1100</v>
      </c>
      <c r="C1227" s="210" t="s">
        <v>25</v>
      </c>
      <c r="D1227" s="211" t="s">
        <v>1283</v>
      </c>
      <c r="E1227" s="219" t="s">
        <v>1738</v>
      </c>
    </row>
    <row r="1228" spans="2:5">
      <c r="B1228" s="218" t="s">
        <v>1100</v>
      </c>
      <c r="C1228" s="210" t="s">
        <v>25</v>
      </c>
      <c r="D1228" s="211" t="s">
        <v>1284</v>
      </c>
      <c r="E1228" s="219" t="s">
        <v>1738</v>
      </c>
    </row>
    <row r="1229" spans="2:5">
      <c r="B1229" s="218" t="s">
        <v>1100</v>
      </c>
      <c r="C1229" s="210" t="s">
        <v>25</v>
      </c>
      <c r="D1229" s="211" t="s">
        <v>1285</v>
      </c>
      <c r="E1229" s="219" t="s">
        <v>1738</v>
      </c>
    </row>
    <row r="1230" spans="2:5">
      <c r="B1230" s="218" t="s">
        <v>1100</v>
      </c>
      <c r="C1230" s="210" t="s">
        <v>25</v>
      </c>
      <c r="D1230" s="211" t="s">
        <v>1286</v>
      </c>
      <c r="E1230" s="219" t="s">
        <v>1738</v>
      </c>
    </row>
    <row r="1231" spans="2:5">
      <c r="B1231" s="218" t="s">
        <v>1100</v>
      </c>
      <c r="C1231" s="210" t="s">
        <v>25</v>
      </c>
      <c r="D1231" s="211" t="s">
        <v>1287</v>
      </c>
      <c r="E1231" s="219" t="s">
        <v>1738</v>
      </c>
    </row>
    <row r="1232" spans="2:5">
      <c r="B1232" s="218" t="s">
        <v>1100</v>
      </c>
      <c r="C1232" s="210" t="s">
        <v>25</v>
      </c>
      <c r="D1232" s="211" t="s">
        <v>1288</v>
      </c>
      <c r="E1232" s="219" t="s">
        <v>1738</v>
      </c>
    </row>
    <row r="1233" spans="2:5">
      <c r="B1233" s="218" t="s">
        <v>1100</v>
      </c>
      <c r="C1233" s="210" t="s">
        <v>25</v>
      </c>
      <c r="D1233" s="211" t="s">
        <v>1289</v>
      </c>
      <c r="E1233" s="219" t="s">
        <v>1738</v>
      </c>
    </row>
    <row r="1234" spans="2:5">
      <c r="B1234" s="218" t="s">
        <v>1100</v>
      </c>
      <c r="C1234" s="210" t="s">
        <v>25</v>
      </c>
      <c r="D1234" s="211" t="s">
        <v>1290</v>
      </c>
      <c r="E1234" s="219" t="s">
        <v>1738</v>
      </c>
    </row>
    <row r="1235" spans="2:5">
      <c r="B1235" s="218" t="s">
        <v>1100</v>
      </c>
      <c r="C1235" s="210" t="s">
        <v>25</v>
      </c>
      <c r="D1235" s="211" t="s">
        <v>1291</v>
      </c>
      <c r="E1235" s="219" t="s">
        <v>1738</v>
      </c>
    </row>
    <row r="1236" spans="2:5">
      <c r="B1236" s="218" t="s">
        <v>1100</v>
      </c>
      <c r="C1236" s="210" t="s">
        <v>25</v>
      </c>
      <c r="D1236" s="211" t="s">
        <v>1292</v>
      </c>
      <c r="E1236" s="219" t="s">
        <v>1738</v>
      </c>
    </row>
    <row r="1237" spans="2:5">
      <c r="B1237" s="218" t="s">
        <v>1100</v>
      </c>
      <c r="C1237" s="210" t="s">
        <v>25</v>
      </c>
      <c r="D1237" s="211" t="s">
        <v>1293</v>
      </c>
      <c r="E1237" s="219" t="s">
        <v>1738</v>
      </c>
    </row>
    <row r="1238" spans="2:5">
      <c r="B1238" s="218" t="s">
        <v>1100</v>
      </c>
      <c r="C1238" s="210" t="s">
        <v>25</v>
      </c>
      <c r="D1238" s="211" t="s">
        <v>1294</v>
      </c>
      <c r="E1238" s="219" t="s">
        <v>1738</v>
      </c>
    </row>
    <row r="1239" spans="2:5">
      <c r="B1239" s="218" t="s">
        <v>1100</v>
      </c>
      <c r="C1239" s="210" t="s">
        <v>25</v>
      </c>
      <c r="D1239" s="211" t="s">
        <v>1295</v>
      </c>
      <c r="E1239" s="219" t="s">
        <v>1738</v>
      </c>
    </row>
    <row r="1240" spans="2:5">
      <c r="B1240" s="218" t="s">
        <v>1100</v>
      </c>
      <c r="C1240" s="210" t="s">
        <v>25</v>
      </c>
      <c r="D1240" s="211" t="s">
        <v>1296</v>
      </c>
      <c r="E1240" s="219" t="s">
        <v>1</v>
      </c>
    </row>
    <row r="1241" spans="2:5">
      <c r="B1241" s="218" t="s">
        <v>1100</v>
      </c>
      <c r="C1241" s="210" t="s">
        <v>25</v>
      </c>
      <c r="D1241" s="211" t="s">
        <v>1297</v>
      </c>
      <c r="E1241" s="219" t="s">
        <v>1</v>
      </c>
    </row>
    <row r="1242" spans="2:5">
      <c r="B1242" s="218" t="s">
        <v>1100</v>
      </c>
      <c r="C1242" s="210" t="s">
        <v>25</v>
      </c>
      <c r="D1242" s="211" t="s">
        <v>1298</v>
      </c>
      <c r="E1242" s="219" t="s">
        <v>1</v>
      </c>
    </row>
    <row r="1243" spans="2:5">
      <c r="B1243" s="218" t="s">
        <v>1100</v>
      </c>
      <c r="C1243" s="210" t="s">
        <v>25</v>
      </c>
      <c r="D1243" s="211" t="s">
        <v>1299</v>
      </c>
      <c r="E1243" s="219" t="s">
        <v>1</v>
      </c>
    </row>
    <row r="1244" spans="2:5">
      <c r="B1244" s="218" t="s">
        <v>1100</v>
      </c>
      <c r="C1244" s="210" t="s">
        <v>25</v>
      </c>
      <c r="D1244" s="211" t="s">
        <v>1300</v>
      </c>
      <c r="E1244" s="219" t="s">
        <v>1</v>
      </c>
    </row>
    <row r="1245" spans="2:5">
      <c r="B1245" s="218" t="s">
        <v>1100</v>
      </c>
      <c r="C1245" s="210" t="s">
        <v>25</v>
      </c>
      <c r="D1245" s="211" t="s">
        <v>1301</v>
      </c>
      <c r="E1245" s="219" t="s">
        <v>1</v>
      </c>
    </row>
    <row r="1246" spans="2:5">
      <c r="B1246" s="218" t="s">
        <v>1100</v>
      </c>
      <c r="C1246" s="210" t="s">
        <v>25</v>
      </c>
      <c r="D1246" s="211" t="s">
        <v>1302</v>
      </c>
      <c r="E1246" s="219" t="s">
        <v>1738</v>
      </c>
    </row>
    <row r="1247" spans="2:5">
      <c r="B1247" s="218" t="s">
        <v>1100</v>
      </c>
      <c r="C1247" s="210" t="s">
        <v>25</v>
      </c>
      <c r="D1247" s="211" t="s">
        <v>1303</v>
      </c>
      <c r="E1247" s="219" t="s">
        <v>1738</v>
      </c>
    </row>
    <row r="1248" spans="2:5">
      <c r="B1248" s="218" t="s">
        <v>1100</v>
      </c>
      <c r="C1248" s="210" t="s">
        <v>25</v>
      </c>
      <c r="D1248" s="211" t="s">
        <v>1304</v>
      </c>
      <c r="E1248" s="219" t="s">
        <v>1</v>
      </c>
    </row>
    <row r="1249" spans="2:5">
      <c r="B1249" s="218" t="s">
        <v>1100</v>
      </c>
      <c r="C1249" s="210" t="s">
        <v>25</v>
      </c>
      <c r="D1249" s="211" t="s">
        <v>1305</v>
      </c>
      <c r="E1249" s="219" t="s">
        <v>1</v>
      </c>
    </row>
    <row r="1250" spans="2:5">
      <c r="B1250" s="218" t="s">
        <v>1100</v>
      </c>
      <c r="C1250" s="210" t="s">
        <v>25</v>
      </c>
      <c r="D1250" s="211" t="s">
        <v>1306</v>
      </c>
      <c r="E1250" s="219" t="s">
        <v>1</v>
      </c>
    </row>
    <row r="1251" spans="2:5">
      <c r="B1251" s="218" t="s">
        <v>1100</v>
      </c>
      <c r="C1251" s="210" t="s">
        <v>25</v>
      </c>
      <c r="D1251" s="211" t="s">
        <v>1307</v>
      </c>
      <c r="E1251" s="219" t="s">
        <v>1</v>
      </c>
    </row>
    <row r="1252" spans="2:5">
      <c r="B1252" s="218" t="s">
        <v>1100</v>
      </c>
      <c r="C1252" s="210" t="s">
        <v>25</v>
      </c>
      <c r="D1252" s="211" t="s">
        <v>1308</v>
      </c>
      <c r="E1252" s="219" t="s">
        <v>1738</v>
      </c>
    </row>
    <row r="1253" spans="2:5">
      <c r="B1253" s="218" t="s">
        <v>1100</v>
      </c>
      <c r="C1253" s="210" t="s">
        <v>25</v>
      </c>
      <c r="D1253" s="211" t="s">
        <v>1309</v>
      </c>
      <c r="E1253" s="219" t="s">
        <v>1738</v>
      </c>
    </row>
    <row r="1254" spans="2:5">
      <c r="B1254" s="218" t="s">
        <v>1100</v>
      </c>
      <c r="C1254" s="210" t="s">
        <v>25</v>
      </c>
      <c r="D1254" s="211" t="s">
        <v>1310</v>
      </c>
      <c r="E1254" s="219" t="s">
        <v>1</v>
      </c>
    </row>
    <row r="1255" spans="2:5">
      <c r="B1255" s="218" t="s">
        <v>1100</v>
      </c>
      <c r="C1255" s="210" t="s">
        <v>25</v>
      </c>
      <c r="D1255" s="211" t="s">
        <v>1311</v>
      </c>
      <c r="E1255" s="219" t="s">
        <v>1738</v>
      </c>
    </row>
    <row r="1256" spans="2:5">
      <c r="B1256" s="218" t="s">
        <v>1100</v>
      </c>
      <c r="C1256" s="210" t="s">
        <v>25</v>
      </c>
      <c r="D1256" s="211" t="s">
        <v>1312</v>
      </c>
      <c r="E1256" s="219" t="s">
        <v>1</v>
      </c>
    </row>
    <row r="1257" spans="2:5">
      <c r="B1257" s="218" t="s">
        <v>1100</v>
      </c>
      <c r="C1257" s="210" t="s">
        <v>25</v>
      </c>
      <c r="D1257" s="211" t="s">
        <v>1313</v>
      </c>
      <c r="E1257" s="219" t="s">
        <v>1738</v>
      </c>
    </row>
    <row r="1258" spans="2:5">
      <c r="B1258" s="218" t="s">
        <v>1100</v>
      </c>
      <c r="C1258" s="210" t="s">
        <v>25</v>
      </c>
      <c r="D1258" s="211" t="s">
        <v>1314</v>
      </c>
      <c r="E1258" s="219" t="s">
        <v>1738</v>
      </c>
    </row>
    <row r="1259" spans="2:5">
      <c r="B1259" s="218" t="s">
        <v>1100</v>
      </c>
      <c r="C1259" s="210" t="s">
        <v>25</v>
      </c>
      <c r="D1259" s="211" t="s">
        <v>1315</v>
      </c>
      <c r="E1259" s="219" t="s">
        <v>1</v>
      </c>
    </row>
    <row r="1260" spans="2:5">
      <c r="B1260" s="218" t="s">
        <v>1100</v>
      </c>
      <c r="C1260" s="210" t="s">
        <v>25</v>
      </c>
      <c r="D1260" s="211" t="s">
        <v>1316</v>
      </c>
      <c r="E1260" s="219" t="s">
        <v>1</v>
      </c>
    </row>
    <row r="1261" spans="2:5">
      <c r="B1261" s="218" t="s">
        <v>1100</v>
      </c>
      <c r="C1261" s="210" t="s">
        <v>25</v>
      </c>
      <c r="D1261" s="211" t="s">
        <v>1317</v>
      </c>
      <c r="E1261" s="219" t="s">
        <v>1</v>
      </c>
    </row>
    <row r="1262" spans="2:5">
      <c r="B1262" s="218" t="s">
        <v>1100</v>
      </c>
      <c r="C1262" s="210" t="s">
        <v>25</v>
      </c>
      <c r="D1262" s="211" t="s">
        <v>1318</v>
      </c>
      <c r="E1262" s="219" t="s">
        <v>1</v>
      </c>
    </row>
    <row r="1263" spans="2:5">
      <c r="B1263" s="218" t="s">
        <v>1100</v>
      </c>
      <c r="C1263" s="210" t="s">
        <v>25</v>
      </c>
      <c r="D1263" s="211" t="s">
        <v>1319</v>
      </c>
      <c r="E1263" s="219" t="s">
        <v>1738</v>
      </c>
    </row>
    <row r="1264" spans="2:5">
      <c r="B1264" s="218" t="s">
        <v>1100</v>
      </c>
      <c r="C1264" s="210" t="s">
        <v>25</v>
      </c>
      <c r="D1264" s="211" t="s">
        <v>1320</v>
      </c>
      <c r="E1264" s="219" t="s">
        <v>1738</v>
      </c>
    </row>
    <row r="1265" spans="2:5">
      <c r="B1265" s="218" t="s">
        <v>1100</v>
      </c>
      <c r="C1265" s="210" t="s">
        <v>25</v>
      </c>
      <c r="D1265" s="211" t="s">
        <v>1321</v>
      </c>
      <c r="E1265" s="219" t="s">
        <v>1738</v>
      </c>
    </row>
    <row r="1266" spans="2:5">
      <c r="B1266" s="218" t="s">
        <v>1100</v>
      </c>
      <c r="C1266" s="210" t="s">
        <v>25</v>
      </c>
      <c r="D1266" s="211" t="s">
        <v>1322</v>
      </c>
      <c r="E1266" s="219" t="s">
        <v>1</v>
      </c>
    </row>
    <row r="1267" spans="2:5">
      <c r="B1267" s="218" t="s">
        <v>1100</v>
      </c>
      <c r="C1267" s="210" t="s">
        <v>25</v>
      </c>
      <c r="D1267" s="211" t="s">
        <v>1323</v>
      </c>
      <c r="E1267" s="219" t="s">
        <v>1</v>
      </c>
    </row>
    <row r="1268" spans="2:5">
      <c r="B1268" s="218" t="s">
        <v>1100</v>
      </c>
      <c r="C1268" s="210" t="s">
        <v>25</v>
      </c>
      <c r="D1268" s="211" t="s">
        <v>1324</v>
      </c>
      <c r="E1268" s="219" t="s">
        <v>1</v>
      </c>
    </row>
    <row r="1269" spans="2:5">
      <c r="B1269" s="218" t="s">
        <v>1100</v>
      </c>
      <c r="C1269" s="210" t="s">
        <v>25</v>
      </c>
      <c r="D1269" s="211" t="s">
        <v>1325</v>
      </c>
      <c r="E1269" s="219" t="s">
        <v>1</v>
      </c>
    </row>
    <row r="1270" spans="2:5">
      <c r="B1270" s="218" t="s">
        <v>1100</v>
      </c>
      <c r="C1270" s="210" t="s">
        <v>25</v>
      </c>
      <c r="D1270" s="211" t="s">
        <v>1326</v>
      </c>
      <c r="E1270" s="219" t="s">
        <v>1</v>
      </c>
    </row>
    <row r="1271" spans="2:5">
      <c r="B1271" s="218" t="s">
        <v>1100</v>
      </c>
      <c r="C1271" s="210" t="s">
        <v>25</v>
      </c>
      <c r="D1271" s="211" t="s">
        <v>1327</v>
      </c>
      <c r="E1271" s="219" t="s">
        <v>1</v>
      </c>
    </row>
    <row r="1272" spans="2:5">
      <c r="B1272" s="218" t="s">
        <v>1100</v>
      </c>
      <c r="C1272" s="210" t="s">
        <v>25</v>
      </c>
      <c r="D1272" s="211" t="s">
        <v>1328</v>
      </c>
      <c r="E1272" s="219" t="s">
        <v>1</v>
      </c>
    </row>
    <row r="1273" spans="2:5">
      <c r="B1273" s="218" t="s">
        <v>1100</v>
      </c>
      <c r="C1273" s="210" t="s">
        <v>25</v>
      </c>
      <c r="D1273" s="211" t="s">
        <v>1329</v>
      </c>
      <c r="E1273" s="219" t="s">
        <v>1</v>
      </c>
    </row>
    <row r="1274" spans="2:5">
      <c r="B1274" s="218" t="s">
        <v>1100</v>
      </c>
      <c r="C1274" s="210" t="s">
        <v>25</v>
      </c>
      <c r="D1274" s="211" t="s">
        <v>1330</v>
      </c>
      <c r="E1274" s="219" t="s">
        <v>1</v>
      </c>
    </row>
    <row r="1275" spans="2:5">
      <c r="B1275" s="218" t="s">
        <v>1100</v>
      </c>
      <c r="C1275" s="210" t="s">
        <v>25</v>
      </c>
      <c r="D1275" s="211" t="s">
        <v>1331</v>
      </c>
      <c r="E1275" s="219" t="s">
        <v>1</v>
      </c>
    </row>
    <row r="1276" spans="2:5">
      <c r="B1276" s="218" t="s">
        <v>1100</v>
      </c>
      <c r="C1276" s="210" t="s">
        <v>25</v>
      </c>
      <c r="D1276" s="211" t="s">
        <v>1332</v>
      </c>
      <c r="E1276" s="219" t="s">
        <v>1</v>
      </c>
    </row>
    <row r="1277" spans="2:5">
      <c r="B1277" s="218" t="s">
        <v>1100</v>
      </c>
      <c r="C1277" s="210" t="s">
        <v>25</v>
      </c>
      <c r="D1277" s="211" t="s">
        <v>1333</v>
      </c>
      <c r="E1277" s="219" t="s">
        <v>1</v>
      </c>
    </row>
    <row r="1278" spans="2:5">
      <c r="B1278" s="218" t="s">
        <v>1100</v>
      </c>
      <c r="C1278" s="210" t="s">
        <v>25</v>
      </c>
      <c r="D1278" s="211" t="s">
        <v>1334</v>
      </c>
      <c r="E1278" s="219" t="s">
        <v>1</v>
      </c>
    </row>
    <row r="1279" spans="2:5">
      <c r="B1279" s="218" t="s">
        <v>1100</v>
      </c>
      <c r="C1279" s="210" t="s">
        <v>25</v>
      </c>
      <c r="D1279" s="211" t="s">
        <v>1335</v>
      </c>
      <c r="E1279" s="219" t="s">
        <v>1</v>
      </c>
    </row>
    <row r="1280" spans="2:5">
      <c r="B1280" s="218" t="s">
        <v>1100</v>
      </c>
      <c r="C1280" s="210" t="s">
        <v>25</v>
      </c>
      <c r="D1280" s="211" t="s">
        <v>1336</v>
      </c>
      <c r="E1280" s="219" t="s">
        <v>1738</v>
      </c>
    </row>
    <row r="1281" spans="2:5">
      <c r="B1281" s="218" t="s">
        <v>1100</v>
      </c>
      <c r="C1281" s="210" t="s">
        <v>25</v>
      </c>
      <c r="D1281" s="211" t="s">
        <v>1337</v>
      </c>
      <c r="E1281" s="219" t="s">
        <v>1</v>
      </c>
    </row>
    <row r="1282" spans="2:5">
      <c r="B1282" s="218" t="s">
        <v>1100</v>
      </c>
      <c r="C1282" s="210" t="s">
        <v>25</v>
      </c>
      <c r="D1282" s="211" t="s">
        <v>1338</v>
      </c>
      <c r="E1282" s="219" t="s">
        <v>1</v>
      </c>
    </row>
    <row r="1283" spans="2:5">
      <c r="B1283" s="218" t="s">
        <v>1100</v>
      </c>
      <c r="C1283" s="210" t="s">
        <v>25</v>
      </c>
      <c r="D1283" s="211" t="s">
        <v>1339</v>
      </c>
      <c r="E1283" s="219" t="s">
        <v>1</v>
      </c>
    </row>
    <row r="1284" spans="2:5">
      <c r="B1284" s="218" t="s">
        <v>1100</v>
      </c>
      <c r="C1284" s="210" t="s">
        <v>25</v>
      </c>
      <c r="D1284" s="211" t="s">
        <v>1340</v>
      </c>
      <c r="E1284" s="219" t="s">
        <v>1738</v>
      </c>
    </row>
    <row r="1285" spans="2:5">
      <c r="B1285" s="218" t="s">
        <v>1100</v>
      </c>
      <c r="C1285" s="210" t="s">
        <v>25</v>
      </c>
      <c r="D1285" s="211" t="s">
        <v>1341</v>
      </c>
      <c r="E1285" s="219" t="s">
        <v>1738</v>
      </c>
    </row>
    <row r="1286" spans="2:5">
      <c r="B1286" s="218" t="s">
        <v>1100</v>
      </c>
      <c r="C1286" s="210" t="s">
        <v>25</v>
      </c>
      <c r="D1286" s="211" t="s">
        <v>1342</v>
      </c>
      <c r="E1286" s="219" t="s">
        <v>1738</v>
      </c>
    </row>
    <row r="1287" spans="2:5">
      <c r="B1287" s="218" t="s">
        <v>1100</v>
      </c>
      <c r="C1287" s="210" t="s">
        <v>25</v>
      </c>
      <c r="D1287" s="211" t="s">
        <v>1343</v>
      </c>
      <c r="E1287" s="219" t="s">
        <v>1738</v>
      </c>
    </row>
    <row r="1288" spans="2:5">
      <c r="B1288" s="218" t="s">
        <v>1100</v>
      </c>
      <c r="C1288" s="210" t="s">
        <v>25</v>
      </c>
      <c r="D1288" s="211" t="s">
        <v>1344</v>
      </c>
      <c r="E1288" s="219" t="s">
        <v>1</v>
      </c>
    </row>
    <row r="1289" spans="2:5">
      <c r="B1289" s="218" t="s">
        <v>1100</v>
      </c>
      <c r="C1289" s="210" t="s">
        <v>25</v>
      </c>
      <c r="D1289" s="211" t="s">
        <v>1345</v>
      </c>
      <c r="E1289" s="219" t="s">
        <v>1</v>
      </c>
    </row>
    <row r="1290" spans="2:5">
      <c r="B1290" s="218" t="s">
        <v>1100</v>
      </c>
      <c r="C1290" s="210" t="s">
        <v>25</v>
      </c>
      <c r="D1290" s="211" t="s">
        <v>1346</v>
      </c>
      <c r="E1290" s="219" t="s">
        <v>1738</v>
      </c>
    </row>
    <row r="1291" spans="2:5">
      <c r="B1291" s="218" t="s">
        <v>1100</v>
      </c>
      <c r="C1291" s="210" t="s">
        <v>25</v>
      </c>
      <c r="D1291" s="211" t="s">
        <v>1347</v>
      </c>
      <c r="E1291" s="219" t="s">
        <v>1738</v>
      </c>
    </row>
    <row r="1292" spans="2:5">
      <c r="B1292" s="218" t="s">
        <v>1100</v>
      </c>
      <c r="C1292" s="210" t="s">
        <v>25</v>
      </c>
      <c r="D1292" s="211" t="s">
        <v>1348</v>
      </c>
      <c r="E1292" s="219" t="s">
        <v>1</v>
      </c>
    </row>
    <row r="1293" spans="2:5">
      <c r="B1293" s="218" t="s">
        <v>1100</v>
      </c>
      <c r="C1293" s="210" t="s">
        <v>25</v>
      </c>
      <c r="D1293" s="211" t="s">
        <v>1349</v>
      </c>
      <c r="E1293" s="219" t="s">
        <v>1</v>
      </c>
    </row>
    <row r="1294" spans="2:5">
      <c r="B1294" s="218" t="s">
        <v>1100</v>
      </c>
      <c r="C1294" s="210" t="s">
        <v>25</v>
      </c>
      <c r="D1294" s="211" t="s">
        <v>1350</v>
      </c>
      <c r="E1294" s="219" t="s">
        <v>1</v>
      </c>
    </row>
    <row r="1295" spans="2:5">
      <c r="B1295" s="218" t="s">
        <v>1100</v>
      </c>
      <c r="C1295" s="210" t="s">
        <v>25</v>
      </c>
      <c r="D1295" s="211" t="s">
        <v>1351</v>
      </c>
      <c r="E1295" s="219" t="s">
        <v>1</v>
      </c>
    </row>
    <row r="1296" spans="2:5">
      <c r="B1296" s="218" t="s">
        <v>1100</v>
      </c>
      <c r="C1296" s="210" t="s">
        <v>25</v>
      </c>
      <c r="D1296" s="211" t="s">
        <v>1352</v>
      </c>
      <c r="E1296" s="219" t="s">
        <v>1</v>
      </c>
    </row>
    <row r="1297" spans="2:5">
      <c r="B1297" s="218" t="s">
        <v>1100</v>
      </c>
      <c r="C1297" s="210" t="s">
        <v>25</v>
      </c>
      <c r="D1297" s="211" t="s">
        <v>1353</v>
      </c>
      <c r="E1297" s="219" t="s">
        <v>1</v>
      </c>
    </row>
    <row r="1298" spans="2:5">
      <c r="B1298" s="218" t="s">
        <v>1100</v>
      </c>
      <c r="C1298" s="210" t="s">
        <v>25</v>
      </c>
      <c r="D1298" s="211" t="s">
        <v>1354</v>
      </c>
      <c r="E1298" s="219" t="s">
        <v>1</v>
      </c>
    </row>
    <row r="1299" spans="2:5">
      <c r="B1299" s="218" t="s">
        <v>1100</v>
      </c>
      <c r="C1299" s="210" t="s">
        <v>25</v>
      </c>
      <c r="D1299" s="211" t="s">
        <v>1355</v>
      </c>
      <c r="E1299" s="219" t="s">
        <v>1</v>
      </c>
    </row>
    <row r="1300" spans="2:5">
      <c r="B1300" s="218" t="s">
        <v>1100</v>
      </c>
      <c r="C1300" s="210" t="s">
        <v>25</v>
      </c>
      <c r="D1300" s="211" t="s">
        <v>1356</v>
      </c>
      <c r="E1300" s="219" t="s">
        <v>1</v>
      </c>
    </row>
    <row r="1301" spans="2:5">
      <c r="B1301" s="218" t="s">
        <v>1100</v>
      </c>
      <c r="C1301" s="210" t="s">
        <v>25</v>
      </c>
      <c r="D1301" s="211" t="s">
        <v>1357</v>
      </c>
      <c r="E1301" s="219" t="s">
        <v>1</v>
      </c>
    </row>
    <row r="1302" spans="2:5">
      <c r="B1302" s="218" t="s">
        <v>1100</v>
      </c>
      <c r="C1302" s="210" t="s">
        <v>25</v>
      </c>
      <c r="D1302" s="211" t="s">
        <v>1358</v>
      </c>
      <c r="E1302" s="219" t="s">
        <v>1</v>
      </c>
    </row>
    <row r="1303" spans="2:5">
      <c r="B1303" s="218" t="s">
        <v>1100</v>
      </c>
      <c r="C1303" s="210" t="s">
        <v>25</v>
      </c>
      <c r="D1303" s="211" t="s">
        <v>1359</v>
      </c>
      <c r="E1303" s="219" t="s">
        <v>1</v>
      </c>
    </row>
    <row r="1304" spans="2:5">
      <c r="B1304" s="218" t="s">
        <v>1100</v>
      </c>
      <c r="C1304" s="210" t="s">
        <v>25</v>
      </c>
      <c r="D1304" s="211" t="s">
        <v>1360</v>
      </c>
      <c r="E1304" s="219" t="s">
        <v>1</v>
      </c>
    </row>
    <row r="1305" spans="2:5">
      <c r="B1305" s="218" t="s">
        <v>1100</v>
      </c>
      <c r="C1305" s="210" t="s">
        <v>25</v>
      </c>
      <c r="D1305" s="211" t="s">
        <v>1361</v>
      </c>
      <c r="E1305" s="219" t="s">
        <v>1</v>
      </c>
    </row>
    <row r="1306" spans="2:5">
      <c r="B1306" s="218" t="s">
        <v>1100</v>
      </c>
      <c r="C1306" s="210" t="s">
        <v>25</v>
      </c>
      <c r="D1306" s="211" t="s">
        <v>1362</v>
      </c>
      <c r="E1306" s="219" t="s">
        <v>1</v>
      </c>
    </row>
    <row r="1307" spans="2:5">
      <c r="B1307" s="218" t="s">
        <v>1100</v>
      </c>
      <c r="C1307" s="210" t="s">
        <v>25</v>
      </c>
      <c r="D1307" s="211" t="s">
        <v>1363</v>
      </c>
      <c r="E1307" s="219" t="s">
        <v>1</v>
      </c>
    </row>
    <row r="1308" spans="2:5">
      <c r="B1308" s="218" t="s">
        <v>1100</v>
      </c>
      <c r="C1308" s="210" t="s">
        <v>25</v>
      </c>
      <c r="D1308" s="211" t="s">
        <v>1364</v>
      </c>
      <c r="E1308" s="219" t="s">
        <v>1</v>
      </c>
    </row>
    <row r="1309" spans="2:5">
      <c r="B1309" s="218" t="s">
        <v>1100</v>
      </c>
      <c r="C1309" s="210" t="s">
        <v>25</v>
      </c>
      <c r="D1309" s="211" t="s">
        <v>1365</v>
      </c>
      <c r="E1309" s="219" t="s">
        <v>1</v>
      </c>
    </row>
    <row r="1310" spans="2:5">
      <c r="B1310" s="218" t="s">
        <v>1100</v>
      </c>
      <c r="C1310" s="210" t="s">
        <v>25</v>
      </c>
      <c r="D1310" s="211" t="s">
        <v>1366</v>
      </c>
      <c r="E1310" s="219" t="s">
        <v>1738</v>
      </c>
    </row>
    <row r="1311" spans="2:5">
      <c r="B1311" s="218" t="s">
        <v>1100</v>
      </c>
      <c r="C1311" s="210" t="s">
        <v>25</v>
      </c>
      <c r="D1311" s="211" t="s">
        <v>1367</v>
      </c>
      <c r="E1311" s="219" t="s">
        <v>1</v>
      </c>
    </row>
    <row r="1312" spans="2:5">
      <c r="B1312" s="218" t="s">
        <v>1100</v>
      </c>
      <c r="C1312" s="210" t="s">
        <v>25</v>
      </c>
      <c r="D1312" s="211" t="s">
        <v>1368</v>
      </c>
      <c r="E1312" s="219" t="s">
        <v>1738</v>
      </c>
    </row>
    <row r="1313" spans="2:5">
      <c r="B1313" s="218" t="s">
        <v>1100</v>
      </c>
      <c r="C1313" s="210" t="s">
        <v>25</v>
      </c>
      <c r="D1313" s="211" t="s">
        <v>1369</v>
      </c>
      <c r="E1313" s="219" t="s">
        <v>1</v>
      </c>
    </row>
    <row r="1314" spans="2:5">
      <c r="B1314" s="218" t="s">
        <v>1100</v>
      </c>
      <c r="C1314" s="210" t="s">
        <v>25</v>
      </c>
      <c r="D1314" s="211" t="s">
        <v>1370</v>
      </c>
      <c r="E1314" s="219" t="s">
        <v>1</v>
      </c>
    </row>
    <row r="1315" spans="2:5">
      <c r="B1315" s="218" t="s">
        <v>1100</v>
      </c>
      <c r="C1315" s="210" t="s">
        <v>25</v>
      </c>
      <c r="D1315" s="211" t="s">
        <v>1371</v>
      </c>
      <c r="E1315" s="219" t="s">
        <v>1</v>
      </c>
    </row>
    <row r="1316" spans="2:5">
      <c r="B1316" s="218" t="s">
        <v>1100</v>
      </c>
      <c r="C1316" s="210" t="s">
        <v>25</v>
      </c>
      <c r="D1316" s="211" t="s">
        <v>1372</v>
      </c>
      <c r="E1316" s="219" t="s">
        <v>1</v>
      </c>
    </row>
    <row r="1317" spans="2:5">
      <c r="B1317" s="218" t="s">
        <v>1100</v>
      </c>
      <c r="C1317" s="210" t="s">
        <v>25</v>
      </c>
      <c r="D1317" s="211" t="s">
        <v>1373</v>
      </c>
      <c r="E1317" s="219" t="s">
        <v>1</v>
      </c>
    </row>
    <row r="1318" spans="2:5">
      <c r="B1318" s="218" t="s">
        <v>1100</v>
      </c>
      <c r="C1318" s="210" t="s">
        <v>25</v>
      </c>
      <c r="D1318" s="211" t="s">
        <v>1374</v>
      </c>
      <c r="E1318" s="219" t="s">
        <v>1</v>
      </c>
    </row>
    <row r="1319" spans="2:5">
      <c r="B1319" s="218" t="s">
        <v>1100</v>
      </c>
      <c r="C1319" s="210" t="s">
        <v>25</v>
      </c>
      <c r="D1319" s="211" t="s">
        <v>1375</v>
      </c>
      <c r="E1319" s="219" t="s">
        <v>1738</v>
      </c>
    </row>
    <row r="1320" spans="2:5">
      <c r="B1320" s="218" t="s">
        <v>1100</v>
      </c>
      <c r="C1320" s="210" t="s">
        <v>25</v>
      </c>
      <c r="D1320" s="211" t="s">
        <v>1376</v>
      </c>
      <c r="E1320" s="219" t="s">
        <v>1</v>
      </c>
    </row>
    <row r="1321" spans="2:5">
      <c r="B1321" s="218" t="s">
        <v>1100</v>
      </c>
      <c r="C1321" s="210" t="s">
        <v>25</v>
      </c>
      <c r="D1321" s="211" t="s">
        <v>1377</v>
      </c>
      <c r="E1321" s="219" t="s">
        <v>1738</v>
      </c>
    </row>
    <row r="1322" spans="2:5">
      <c r="B1322" s="218" t="s">
        <v>1100</v>
      </c>
      <c r="C1322" s="210" t="s">
        <v>25</v>
      </c>
      <c r="D1322" s="211" t="s">
        <v>1378</v>
      </c>
      <c r="E1322" s="219" t="s">
        <v>1</v>
      </c>
    </row>
    <row r="1323" spans="2:5">
      <c r="B1323" s="218" t="s">
        <v>1100</v>
      </c>
      <c r="C1323" s="210" t="s">
        <v>25</v>
      </c>
      <c r="D1323" s="211" t="s">
        <v>1379</v>
      </c>
      <c r="E1323" s="219" t="s">
        <v>1738</v>
      </c>
    </row>
    <row r="1324" spans="2:5">
      <c r="B1324" s="218" t="s">
        <v>1100</v>
      </c>
      <c r="C1324" s="210" t="s">
        <v>25</v>
      </c>
      <c r="D1324" s="211" t="s">
        <v>1380</v>
      </c>
      <c r="E1324" s="219" t="s">
        <v>1738</v>
      </c>
    </row>
    <row r="1325" spans="2:5">
      <c r="B1325" s="218" t="s">
        <v>1100</v>
      </c>
      <c r="C1325" s="210" t="s">
        <v>25</v>
      </c>
      <c r="D1325" s="211" t="s">
        <v>1381</v>
      </c>
      <c r="E1325" s="219" t="s">
        <v>1738</v>
      </c>
    </row>
    <row r="1326" spans="2:5">
      <c r="B1326" s="218" t="s">
        <v>1100</v>
      </c>
      <c r="C1326" s="210" t="s">
        <v>25</v>
      </c>
      <c r="D1326" s="211" t="s">
        <v>1382</v>
      </c>
      <c r="E1326" s="219" t="s">
        <v>1</v>
      </c>
    </row>
    <row r="1327" spans="2:5">
      <c r="B1327" s="218" t="s">
        <v>1100</v>
      </c>
      <c r="C1327" s="210" t="s">
        <v>25</v>
      </c>
      <c r="D1327" s="211" t="s">
        <v>1383</v>
      </c>
      <c r="E1327" s="219" t="s">
        <v>1</v>
      </c>
    </row>
    <row r="1328" spans="2:5">
      <c r="B1328" s="218" t="s">
        <v>1100</v>
      </c>
      <c r="C1328" s="210" t="s">
        <v>25</v>
      </c>
      <c r="D1328" s="211" t="s">
        <v>1384</v>
      </c>
      <c r="E1328" s="219" t="s">
        <v>1738</v>
      </c>
    </row>
    <row r="1329" spans="2:5">
      <c r="B1329" s="218" t="s">
        <v>1100</v>
      </c>
      <c r="C1329" s="210" t="s">
        <v>25</v>
      </c>
      <c r="D1329" s="211" t="s">
        <v>1385</v>
      </c>
      <c r="E1329" s="219" t="s">
        <v>1</v>
      </c>
    </row>
    <row r="1330" spans="2:5">
      <c r="B1330" s="218" t="s">
        <v>1100</v>
      </c>
      <c r="C1330" s="210" t="s">
        <v>25</v>
      </c>
      <c r="D1330" s="211" t="s">
        <v>1386</v>
      </c>
      <c r="E1330" s="219" t="s">
        <v>1738</v>
      </c>
    </row>
    <row r="1331" spans="2:5">
      <c r="B1331" s="218" t="s">
        <v>1100</v>
      </c>
      <c r="C1331" s="210" t="s">
        <v>25</v>
      </c>
      <c r="D1331" s="211" t="s">
        <v>1387</v>
      </c>
      <c r="E1331" s="219" t="s">
        <v>1</v>
      </c>
    </row>
    <row r="1332" spans="2:5">
      <c r="B1332" s="218" t="s">
        <v>1100</v>
      </c>
      <c r="C1332" s="210" t="s">
        <v>25</v>
      </c>
      <c r="D1332" s="211" t="s">
        <v>1388</v>
      </c>
      <c r="E1332" s="219" t="s">
        <v>1</v>
      </c>
    </row>
    <row r="1333" spans="2:5">
      <c r="B1333" s="218" t="s">
        <v>1100</v>
      </c>
      <c r="C1333" s="210" t="s">
        <v>25</v>
      </c>
      <c r="D1333" s="211" t="s">
        <v>1389</v>
      </c>
      <c r="E1333" s="219" t="s">
        <v>1738</v>
      </c>
    </row>
    <row r="1334" spans="2:5">
      <c r="B1334" s="218" t="s">
        <v>1100</v>
      </c>
      <c r="C1334" s="210" t="s">
        <v>25</v>
      </c>
      <c r="D1334" s="211" t="s">
        <v>1390</v>
      </c>
      <c r="E1334" s="219" t="s">
        <v>1738</v>
      </c>
    </row>
    <row r="1335" spans="2:5">
      <c r="B1335" s="218" t="s">
        <v>1100</v>
      </c>
      <c r="C1335" s="210" t="s">
        <v>25</v>
      </c>
      <c r="D1335" s="211" t="s">
        <v>1391</v>
      </c>
      <c r="E1335" s="219" t="s">
        <v>1</v>
      </c>
    </row>
    <row r="1336" spans="2:5">
      <c r="B1336" s="218" t="s">
        <v>1100</v>
      </c>
      <c r="C1336" s="210" t="s">
        <v>25</v>
      </c>
      <c r="D1336" s="211" t="s">
        <v>1392</v>
      </c>
      <c r="E1336" s="219" t="s">
        <v>1738</v>
      </c>
    </row>
    <row r="1337" spans="2:5">
      <c r="B1337" s="218" t="s">
        <v>1100</v>
      </c>
      <c r="C1337" s="210" t="s">
        <v>25</v>
      </c>
      <c r="D1337" s="211" t="s">
        <v>1393</v>
      </c>
      <c r="E1337" s="219" t="s">
        <v>1738</v>
      </c>
    </row>
    <row r="1338" spans="2:5">
      <c r="B1338" s="218" t="s">
        <v>1100</v>
      </c>
      <c r="C1338" s="210" t="s">
        <v>25</v>
      </c>
      <c r="D1338" s="211" t="s">
        <v>1394</v>
      </c>
      <c r="E1338" s="219" t="s">
        <v>1738</v>
      </c>
    </row>
    <row r="1339" spans="2:5">
      <c r="B1339" s="218" t="s">
        <v>1100</v>
      </c>
      <c r="C1339" s="210" t="s">
        <v>25</v>
      </c>
      <c r="D1339" s="211" t="s">
        <v>1395</v>
      </c>
      <c r="E1339" s="219" t="s">
        <v>1</v>
      </c>
    </row>
    <row r="1340" spans="2:5">
      <c r="B1340" s="218" t="s">
        <v>1100</v>
      </c>
      <c r="C1340" s="210" t="s">
        <v>25</v>
      </c>
      <c r="D1340" s="211" t="s">
        <v>1396</v>
      </c>
      <c r="E1340" s="219" t="s">
        <v>1</v>
      </c>
    </row>
    <row r="1341" spans="2:5">
      <c r="B1341" s="218" t="s">
        <v>1100</v>
      </c>
      <c r="C1341" s="210" t="s">
        <v>25</v>
      </c>
      <c r="D1341" s="211" t="s">
        <v>1397</v>
      </c>
      <c r="E1341" s="219" t="s">
        <v>1</v>
      </c>
    </row>
    <row r="1342" spans="2:5">
      <c r="B1342" s="218" t="s">
        <v>1100</v>
      </c>
      <c r="C1342" s="210" t="s">
        <v>25</v>
      </c>
      <c r="D1342" s="211" t="s">
        <v>1398</v>
      </c>
      <c r="E1342" s="219" t="s">
        <v>1</v>
      </c>
    </row>
    <row r="1343" spans="2:5">
      <c r="B1343" s="218" t="s">
        <v>1100</v>
      </c>
      <c r="C1343" s="210" t="s">
        <v>25</v>
      </c>
      <c r="D1343" s="211" t="s">
        <v>1399</v>
      </c>
      <c r="E1343" s="219" t="s">
        <v>1</v>
      </c>
    </row>
    <row r="1344" spans="2:5">
      <c r="B1344" s="218" t="s">
        <v>1100</v>
      </c>
      <c r="C1344" s="210" t="s">
        <v>25</v>
      </c>
      <c r="D1344" s="211" t="s">
        <v>1400</v>
      </c>
      <c r="E1344" s="219" t="s">
        <v>1</v>
      </c>
    </row>
    <row r="1345" spans="2:5">
      <c r="B1345" s="218" t="s">
        <v>1100</v>
      </c>
      <c r="C1345" s="210" t="s">
        <v>25</v>
      </c>
      <c r="D1345" s="211" t="s">
        <v>1401</v>
      </c>
      <c r="E1345" s="219" t="s">
        <v>1</v>
      </c>
    </row>
    <row r="1346" spans="2:5">
      <c r="B1346" s="218" t="s">
        <v>1100</v>
      </c>
      <c r="C1346" s="210" t="s">
        <v>25</v>
      </c>
      <c r="D1346" s="211" t="s">
        <v>1402</v>
      </c>
      <c r="E1346" s="219" t="s">
        <v>1</v>
      </c>
    </row>
    <row r="1347" spans="2:5">
      <c r="B1347" s="218" t="s">
        <v>1100</v>
      </c>
      <c r="C1347" s="210" t="s">
        <v>25</v>
      </c>
      <c r="D1347" s="211" t="s">
        <v>1403</v>
      </c>
      <c r="E1347" s="219" t="s">
        <v>1</v>
      </c>
    </row>
    <row r="1348" spans="2:5">
      <c r="B1348" s="218" t="s">
        <v>1100</v>
      </c>
      <c r="C1348" s="210" t="s">
        <v>25</v>
      </c>
      <c r="D1348" s="211" t="s">
        <v>1404</v>
      </c>
      <c r="E1348" s="219" t="s">
        <v>1</v>
      </c>
    </row>
    <row r="1349" spans="2:5">
      <c r="B1349" s="218" t="s">
        <v>1100</v>
      </c>
      <c r="C1349" s="210" t="s">
        <v>25</v>
      </c>
      <c r="D1349" s="211" t="s">
        <v>1405</v>
      </c>
      <c r="E1349" s="219" t="s">
        <v>1</v>
      </c>
    </row>
    <row r="1350" spans="2:5">
      <c r="B1350" s="218" t="s">
        <v>1100</v>
      </c>
      <c r="C1350" s="210" t="s">
        <v>25</v>
      </c>
      <c r="D1350" s="211" t="s">
        <v>1406</v>
      </c>
      <c r="E1350" s="219" t="s">
        <v>1738</v>
      </c>
    </row>
    <row r="1351" spans="2:5">
      <c r="B1351" s="218" t="s">
        <v>1100</v>
      </c>
      <c r="C1351" s="210" t="s">
        <v>25</v>
      </c>
      <c r="D1351" s="211" t="s">
        <v>1407</v>
      </c>
      <c r="E1351" s="219" t="s">
        <v>1</v>
      </c>
    </row>
    <row r="1352" spans="2:5">
      <c r="B1352" s="218" t="s">
        <v>1100</v>
      </c>
      <c r="C1352" s="210" t="s">
        <v>25</v>
      </c>
      <c r="D1352" s="211" t="s">
        <v>1408</v>
      </c>
      <c r="E1352" s="219" t="s">
        <v>1738</v>
      </c>
    </row>
    <row r="1353" spans="2:5">
      <c r="B1353" s="218" t="s">
        <v>1100</v>
      </c>
      <c r="C1353" s="210" t="s">
        <v>25</v>
      </c>
      <c r="D1353" s="211" t="s">
        <v>1409</v>
      </c>
      <c r="E1353" s="219" t="s">
        <v>1738</v>
      </c>
    </row>
    <row r="1354" spans="2:5">
      <c r="B1354" s="218" t="s">
        <v>1100</v>
      </c>
      <c r="C1354" s="210" t="s">
        <v>25</v>
      </c>
      <c r="D1354" s="211" t="s">
        <v>1410</v>
      </c>
      <c r="E1354" s="219" t="s">
        <v>1738</v>
      </c>
    </row>
    <row r="1355" spans="2:5">
      <c r="B1355" s="218" t="s">
        <v>1100</v>
      </c>
      <c r="C1355" s="210" t="s">
        <v>25</v>
      </c>
      <c r="D1355" s="211" t="s">
        <v>1411</v>
      </c>
      <c r="E1355" s="219" t="s">
        <v>1738</v>
      </c>
    </row>
    <row r="1356" spans="2:5">
      <c r="B1356" s="218" t="s">
        <v>1100</v>
      </c>
      <c r="C1356" s="210" t="s">
        <v>25</v>
      </c>
      <c r="D1356" s="211" t="s">
        <v>1412</v>
      </c>
      <c r="E1356" s="219" t="s">
        <v>1</v>
      </c>
    </row>
    <row r="1357" spans="2:5">
      <c r="B1357" s="218" t="s">
        <v>1100</v>
      </c>
      <c r="C1357" s="210" t="s">
        <v>25</v>
      </c>
      <c r="D1357" s="211" t="s">
        <v>1413</v>
      </c>
      <c r="E1357" s="219" t="s">
        <v>1738</v>
      </c>
    </row>
    <row r="1358" spans="2:5">
      <c r="B1358" s="218" t="s">
        <v>1100</v>
      </c>
      <c r="C1358" s="210" t="s">
        <v>25</v>
      </c>
      <c r="D1358" s="211" t="s">
        <v>1414</v>
      </c>
      <c r="E1358" s="219" t="s">
        <v>1</v>
      </c>
    </row>
    <row r="1359" spans="2:5">
      <c r="B1359" s="218" t="s">
        <v>1100</v>
      </c>
      <c r="C1359" s="210" t="s">
        <v>25</v>
      </c>
      <c r="D1359" s="211" t="s">
        <v>1415</v>
      </c>
      <c r="E1359" s="219" t="s">
        <v>1738</v>
      </c>
    </row>
    <row r="1360" spans="2:5">
      <c r="B1360" s="218" t="s">
        <v>1100</v>
      </c>
      <c r="C1360" s="210" t="s">
        <v>25</v>
      </c>
      <c r="D1360" s="211" t="s">
        <v>1416</v>
      </c>
      <c r="E1360" s="219" t="s">
        <v>1</v>
      </c>
    </row>
    <row r="1361" spans="2:5">
      <c r="B1361" s="218" t="s">
        <v>1100</v>
      </c>
      <c r="C1361" s="210" t="s">
        <v>25</v>
      </c>
      <c r="D1361" s="211" t="s">
        <v>1417</v>
      </c>
      <c r="E1361" s="219" t="s">
        <v>1738</v>
      </c>
    </row>
    <row r="1362" spans="2:5">
      <c r="B1362" s="218" t="s">
        <v>1100</v>
      </c>
      <c r="C1362" s="210" t="s">
        <v>25</v>
      </c>
      <c r="D1362" s="211" t="s">
        <v>1418</v>
      </c>
      <c r="E1362" s="219" t="s">
        <v>1738</v>
      </c>
    </row>
    <row r="1363" spans="2:5">
      <c r="B1363" s="218" t="s">
        <v>1100</v>
      </c>
      <c r="C1363" s="210" t="s">
        <v>25</v>
      </c>
      <c r="D1363" s="211" t="s">
        <v>1419</v>
      </c>
      <c r="E1363" s="219" t="s">
        <v>1738</v>
      </c>
    </row>
    <row r="1364" spans="2:5">
      <c r="B1364" s="218" t="s">
        <v>1100</v>
      </c>
      <c r="C1364" s="210" t="s">
        <v>25</v>
      </c>
      <c r="D1364" s="211" t="s">
        <v>1420</v>
      </c>
      <c r="E1364" s="219" t="s">
        <v>1738</v>
      </c>
    </row>
    <row r="1365" spans="2:5">
      <c r="B1365" s="218" t="s">
        <v>1100</v>
      </c>
      <c r="C1365" s="210" t="s">
        <v>25</v>
      </c>
      <c r="D1365" s="211" t="s">
        <v>1421</v>
      </c>
      <c r="E1365" s="219" t="s">
        <v>1738</v>
      </c>
    </row>
    <row r="1366" spans="2:5">
      <c r="B1366" s="218" t="s">
        <v>1100</v>
      </c>
      <c r="C1366" s="210" t="s">
        <v>25</v>
      </c>
      <c r="D1366" s="211" t="s">
        <v>1422</v>
      </c>
      <c r="E1366" s="219" t="s">
        <v>1</v>
      </c>
    </row>
    <row r="1367" spans="2:5">
      <c r="B1367" s="218" t="s">
        <v>1100</v>
      </c>
      <c r="C1367" s="210" t="s">
        <v>25</v>
      </c>
      <c r="D1367" s="211" t="s">
        <v>1423</v>
      </c>
      <c r="E1367" s="219" t="s">
        <v>1</v>
      </c>
    </row>
    <row r="1368" spans="2:5">
      <c r="B1368" s="218" t="s">
        <v>1100</v>
      </c>
      <c r="C1368" s="210" t="s">
        <v>25</v>
      </c>
      <c r="D1368" s="211" t="s">
        <v>1424</v>
      </c>
      <c r="E1368" s="219" t="s">
        <v>1738</v>
      </c>
    </row>
    <row r="1369" spans="2:5">
      <c r="B1369" s="218" t="s">
        <v>1100</v>
      </c>
      <c r="C1369" s="210" t="s">
        <v>25</v>
      </c>
      <c r="D1369" s="211" t="s">
        <v>1425</v>
      </c>
      <c r="E1369" s="219" t="s">
        <v>1</v>
      </c>
    </row>
    <row r="1370" spans="2:5">
      <c r="B1370" s="218" t="s">
        <v>1100</v>
      </c>
      <c r="C1370" s="210" t="s">
        <v>25</v>
      </c>
      <c r="D1370" s="211" t="s">
        <v>1426</v>
      </c>
      <c r="E1370" s="219" t="s">
        <v>1</v>
      </c>
    </row>
    <row r="1371" spans="2:5">
      <c r="B1371" s="218" t="s">
        <v>1100</v>
      </c>
      <c r="C1371" s="210" t="s">
        <v>25</v>
      </c>
      <c r="D1371" s="211" t="s">
        <v>1427</v>
      </c>
      <c r="E1371" s="219" t="s">
        <v>1738</v>
      </c>
    </row>
    <row r="1372" spans="2:5">
      <c r="B1372" s="218" t="s">
        <v>1100</v>
      </c>
      <c r="C1372" s="210" t="s">
        <v>25</v>
      </c>
      <c r="D1372" s="211" t="s">
        <v>1428</v>
      </c>
      <c r="E1372" s="219" t="s">
        <v>1</v>
      </c>
    </row>
    <row r="1373" spans="2:5">
      <c r="B1373" s="218" t="s">
        <v>1100</v>
      </c>
      <c r="C1373" s="210" t="s">
        <v>25</v>
      </c>
      <c r="D1373" s="211" t="s">
        <v>1429</v>
      </c>
      <c r="E1373" s="219" t="s">
        <v>1738</v>
      </c>
    </row>
    <row r="1374" spans="2:5">
      <c r="B1374" s="218" t="s">
        <v>1100</v>
      </c>
      <c r="C1374" s="210" t="s">
        <v>25</v>
      </c>
      <c r="D1374" s="211" t="s">
        <v>1430</v>
      </c>
      <c r="E1374" s="219" t="s">
        <v>1</v>
      </c>
    </row>
    <row r="1375" spans="2:5">
      <c r="B1375" s="218" t="s">
        <v>1100</v>
      </c>
      <c r="C1375" s="210" t="s">
        <v>25</v>
      </c>
      <c r="D1375" s="211" t="s">
        <v>1431</v>
      </c>
      <c r="E1375" s="219" t="s">
        <v>1</v>
      </c>
    </row>
    <row r="1376" spans="2:5">
      <c r="B1376" s="218" t="s">
        <v>1100</v>
      </c>
      <c r="C1376" s="210" t="s">
        <v>25</v>
      </c>
      <c r="D1376" s="211" t="s">
        <v>1432</v>
      </c>
      <c r="E1376" s="219" t="s">
        <v>1</v>
      </c>
    </row>
    <row r="1377" spans="2:5">
      <c r="B1377" s="218" t="s">
        <v>1100</v>
      </c>
      <c r="C1377" s="210" t="s">
        <v>25</v>
      </c>
      <c r="D1377" s="211" t="s">
        <v>1433</v>
      </c>
      <c r="E1377" s="219" t="s">
        <v>1</v>
      </c>
    </row>
    <row r="1378" spans="2:5">
      <c r="B1378" s="218" t="s">
        <v>1100</v>
      </c>
      <c r="C1378" s="210" t="s">
        <v>25</v>
      </c>
      <c r="D1378" s="211" t="s">
        <v>1434</v>
      </c>
      <c r="E1378" s="219" t="s">
        <v>1</v>
      </c>
    </row>
    <row r="1379" spans="2:5">
      <c r="B1379" s="218" t="s">
        <v>1100</v>
      </c>
      <c r="C1379" s="210" t="s">
        <v>25</v>
      </c>
      <c r="D1379" s="211" t="s">
        <v>1435</v>
      </c>
      <c r="E1379" s="219" t="s">
        <v>1</v>
      </c>
    </row>
    <row r="1380" spans="2:5">
      <c r="B1380" s="218" t="s">
        <v>1100</v>
      </c>
      <c r="C1380" s="210" t="s">
        <v>25</v>
      </c>
      <c r="D1380" s="211" t="s">
        <v>1436</v>
      </c>
      <c r="E1380" s="219" t="s">
        <v>1</v>
      </c>
    </row>
    <row r="1381" spans="2:5">
      <c r="B1381" s="218" t="s">
        <v>1100</v>
      </c>
      <c r="C1381" s="210" t="s">
        <v>25</v>
      </c>
      <c r="D1381" s="211" t="s">
        <v>1437</v>
      </c>
      <c r="E1381" s="219" t="s">
        <v>1</v>
      </c>
    </row>
    <row r="1382" spans="2:5">
      <c r="B1382" s="218" t="s">
        <v>1100</v>
      </c>
      <c r="C1382" s="210" t="s">
        <v>25</v>
      </c>
      <c r="D1382" s="211" t="s">
        <v>1438</v>
      </c>
      <c r="E1382" s="219" t="s">
        <v>1</v>
      </c>
    </row>
    <row r="1383" spans="2:5">
      <c r="B1383" s="218" t="s">
        <v>1100</v>
      </c>
      <c r="C1383" s="210" t="s">
        <v>25</v>
      </c>
      <c r="D1383" s="211" t="s">
        <v>1439</v>
      </c>
      <c r="E1383" s="219" t="s">
        <v>1</v>
      </c>
    </row>
    <row r="1384" spans="2:5">
      <c r="B1384" s="218" t="s">
        <v>1100</v>
      </c>
      <c r="C1384" s="210" t="s">
        <v>25</v>
      </c>
      <c r="D1384" s="211" t="s">
        <v>1440</v>
      </c>
      <c r="E1384" s="219" t="s">
        <v>1</v>
      </c>
    </row>
    <row r="1385" spans="2:5">
      <c r="B1385" s="218" t="s">
        <v>1100</v>
      </c>
      <c r="C1385" s="210" t="s">
        <v>25</v>
      </c>
      <c r="D1385" s="211" t="s">
        <v>1441</v>
      </c>
      <c r="E1385" s="219" t="s">
        <v>1</v>
      </c>
    </row>
    <row r="1386" spans="2:5">
      <c r="B1386" s="218" t="s">
        <v>1100</v>
      </c>
      <c r="C1386" s="210" t="s">
        <v>25</v>
      </c>
      <c r="D1386" s="211" t="s">
        <v>1442</v>
      </c>
      <c r="E1386" s="219" t="s">
        <v>1</v>
      </c>
    </row>
    <row r="1387" spans="2:5">
      <c r="B1387" s="218" t="s">
        <v>1100</v>
      </c>
      <c r="C1387" s="210" t="s">
        <v>25</v>
      </c>
      <c r="D1387" s="211" t="s">
        <v>1443</v>
      </c>
      <c r="E1387" s="219" t="s">
        <v>1</v>
      </c>
    </row>
    <row r="1388" spans="2:5">
      <c r="B1388" s="218" t="s">
        <v>1100</v>
      </c>
      <c r="C1388" s="210" t="s">
        <v>25</v>
      </c>
      <c r="D1388" s="211" t="s">
        <v>1444</v>
      </c>
      <c r="E1388" s="219" t="s">
        <v>1</v>
      </c>
    </row>
    <row r="1389" spans="2:5">
      <c r="B1389" s="218" t="s">
        <v>1100</v>
      </c>
      <c r="C1389" s="210" t="s">
        <v>25</v>
      </c>
      <c r="D1389" s="211" t="s">
        <v>1445</v>
      </c>
      <c r="E1389" s="219" t="s">
        <v>1</v>
      </c>
    </row>
    <row r="1390" spans="2:5">
      <c r="B1390" s="218" t="s">
        <v>1100</v>
      </c>
      <c r="C1390" s="210" t="s">
        <v>25</v>
      </c>
      <c r="D1390" s="211" t="s">
        <v>1446</v>
      </c>
      <c r="E1390" s="219" t="s">
        <v>1</v>
      </c>
    </row>
    <row r="1391" spans="2:5">
      <c r="B1391" s="218" t="s">
        <v>1100</v>
      </c>
      <c r="C1391" s="210" t="s">
        <v>25</v>
      </c>
      <c r="D1391" s="211" t="s">
        <v>1447</v>
      </c>
      <c r="E1391" s="219" t="s">
        <v>1</v>
      </c>
    </row>
    <row r="1392" spans="2:5">
      <c r="B1392" s="218" t="s">
        <v>1100</v>
      </c>
      <c r="C1392" s="210" t="s">
        <v>25</v>
      </c>
      <c r="D1392" s="211" t="s">
        <v>1448</v>
      </c>
      <c r="E1392" s="219" t="s">
        <v>1</v>
      </c>
    </row>
    <row r="1393" spans="2:5">
      <c r="B1393" s="218" t="s">
        <v>1100</v>
      </c>
      <c r="C1393" s="210" t="s">
        <v>25</v>
      </c>
      <c r="D1393" s="211" t="s">
        <v>1449</v>
      </c>
      <c r="E1393" s="219" t="s">
        <v>1</v>
      </c>
    </row>
    <row r="1394" spans="2:5">
      <c r="B1394" s="218" t="s">
        <v>1100</v>
      </c>
      <c r="C1394" s="210" t="s">
        <v>25</v>
      </c>
      <c r="D1394" s="211" t="s">
        <v>1450</v>
      </c>
      <c r="E1394" s="219" t="s">
        <v>1</v>
      </c>
    </row>
    <row r="1395" spans="2:5">
      <c r="B1395" s="218" t="s">
        <v>1100</v>
      </c>
      <c r="C1395" s="210" t="s">
        <v>25</v>
      </c>
      <c r="D1395" s="211" t="s">
        <v>1451</v>
      </c>
      <c r="E1395" s="219" t="s">
        <v>1</v>
      </c>
    </row>
    <row r="1396" spans="2:5">
      <c r="B1396" s="218" t="s">
        <v>1100</v>
      </c>
      <c r="C1396" s="210" t="s">
        <v>25</v>
      </c>
      <c r="D1396" s="211" t="s">
        <v>1452</v>
      </c>
      <c r="E1396" s="219" t="s">
        <v>1</v>
      </c>
    </row>
    <row r="1397" spans="2:5">
      <c r="B1397" s="218" t="s">
        <v>1100</v>
      </c>
      <c r="C1397" s="210" t="s">
        <v>25</v>
      </c>
      <c r="D1397" s="211" t="s">
        <v>1453</v>
      </c>
      <c r="E1397" s="219" t="s">
        <v>1</v>
      </c>
    </row>
    <row r="1398" spans="2:5">
      <c r="B1398" s="218" t="s">
        <v>1100</v>
      </c>
      <c r="C1398" s="210" t="s">
        <v>25</v>
      </c>
      <c r="D1398" s="211" t="s">
        <v>1454</v>
      </c>
      <c r="E1398" s="219" t="s">
        <v>1</v>
      </c>
    </row>
    <row r="1399" spans="2:5">
      <c r="B1399" s="218" t="s">
        <v>1100</v>
      </c>
      <c r="C1399" s="210" t="s">
        <v>25</v>
      </c>
      <c r="D1399" s="211" t="s">
        <v>1455</v>
      </c>
      <c r="E1399" s="219" t="s">
        <v>1</v>
      </c>
    </row>
    <row r="1400" spans="2:5">
      <c r="B1400" s="218" t="s">
        <v>1100</v>
      </c>
      <c r="C1400" s="210" t="s">
        <v>25</v>
      </c>
      <c r="D1400" s="211" t="s">
        <v>1456</v>
      </c>
      <c r="E1400" s="219" t="s">
        <v>1</v>
      </c>
    </row>
    <row r="1401" spans="2:5">
      <c r="B1401" s="218" t="s">
        <v>1100</v>
      </c>
      <c r="C1401" s="210" t="s">
        <v>25</v>
      </c>
      <c r="D1401" s="211" t="s">
        <v>1457</v>
      </c>
      <c r="E1401" s="219" t="s">
        <v>1</v>
      </c>
    </row>
    <row r="1402" spans="2:5">
      <c r="B1402" s="218" t="s">
        <v>1100</v>
      </c>
      <c r="C1402" s="210" t="s">
        <v>25</v>
      </c>
      <c r="D1402" s="211" t="s">
        <v>1458</v>
      </c>
      <c r="E1402" s="219" t="s">
        <v>1</v>
      </c>
    </row>
    <row r="1403" spans="2:5">
      <c r="B1403" s="218" t="s">
        <v>1100</v>
      </c>
      <c r="C1403" s="210" t="s">
        <v>25</v>
      </c>
      <c r="D1403" s="211" t="s">
        <v>1459</v>
      </c>
      <c r="E1403" s="219" t="s">
        <v>1</v>
      </c>
    </row>
    <row r="1404" spans="2:5">
      <c r="B1404" s="218" t="s">
        <v>1100</v>
      </c>
      <c r="C1404" s="210" t="s">
        <v>25</v>
      </c>
      <c r="D1404" s="211" t="s">
        <v>1460</v>
      </c>
      <c r="E1404" s="219" t="s">
        <v>1738</v>
      </c>
    </row>
    <row r="1405" spans="2:5">
      <c r="B1405" s="218" t="s">
        <v>1100</v>
      </c>
      <c r="C1405" s="210" t="s">
        <v>25</v>
      </c>
      <c r="D1405" s="211" t="s">
        <v>1461</v>
      </c>
      <c r="E1405" s="219" t="s">
        <v>1738</v>
      </c>
    </row>
    <row r="1406" spans="2:5">
      <c r="B1406" s="218" t="s">
        <v>1100</v>
      </c>
      <c r="C1406" s="210" t="s">
        <v>25</v>
      </c>
      <c r="D1406" s="211" t="s">
        <v>1462</v>
      </c>
      <c r="E1406" s="219" t="s">
        <v>1738</v>
      </c>
    </row>
    <row r="1407" spans="2:5">
      <c r="B1407" s="218" t="s">
        <v>1100</v>
      </c>
      <c r="C1407" s="210" t="s">
        <v>25</v>
      </c>
      <c r="D1407" s="211" t="s">
        <v>1463</v>
      </c>
      <c r="E1407" s="219" t="s">
        <v>1738</v>
      </c>
    </row>
    <row r="1408" spans="2:5">
      <c r="B1408" s="218" t="s">
        <v>1100</v>
      </c>
      <c r="C1408" s="210" t="s">
        <v>25</v>
      </c>
      <c r="D1408" s="211" t="s">
        <v>1464</v>
      </c>
      <c r="E1408" s="219" t="s">
        <v>1</v>
      </c>
    </row>
    <row r="1409" spans="2:5">
      <c r="B1409" s="218" t="s">
        <v>1100</v>
      </c>
      <c r="C1409" s="210" t="s">
        <v>25</v>
      </c>
      <c r="D1409" s="211" t="s">
        <v>1465</v>
      </c>
      <c r="E1409" s="219" t="s">
        <v>1738</v>
      </c>
    </row>
    <row r="1410" spans="2:5">
      <c r="B1410" s="218" t="s">
        <v>1100</v>
      </c>
      <c r="C1410" s="210" t="s">
        <v>25</v>
      </c>
      <c r="D1410" s="211" t="s">
        <v>1466</v>
      </c>
      <c r="E1410" s="219" t="s">
        <v>1</v>
      </c>
    </row>
    <row r="1411" spans="2:5">
      <c r="B1411" s="218" t="s">
        <v>1100</v>
      </c>
      <c r="C1411" s="210" t="s">
        <v>25</v>
      </c>
      <c r="D1411" s="211" t="s">
        <v>1467</v>
      </c>
      <c r="E1411" s="219" t="s">
        <v>1</v>
      </c>
    </row>
    <row r="1412" spans="2:5">
      <c r="B1412" s="218" t="s">
        <v>1468</v>
      </c>
      <c r="C1412" s="210" t="s">
        <v>27</v>
      </c>
      <c r="D1412" s="211" t="s">
        <v>1469</v>
      </c>
      <c r="E1412" s="219" t="s">
        <v>1738</v>
      </c>
    </row>
    <row r="1413" spans="2:5">
      <c r="B1413" s="218" t="s">
        <v>1468</v>
      </c>
      <c r="C1413" s="210" t="s">
        <v>27</v>
      </c>
      <c r="D1413" s="211" t="s">
        <v>1470</v>
      </c>
      <c r="E1413" s="219" t="s">
        <v>1738</v>
      </c>
    </row>
    <row r="1414" spans="2:5">
      <c r="B1414" s="218" t="s">
        <v>1468</v>
      </c>
      <c r="C1414" s="210" t="s">
        <v>27</v>
      </c>
      <c r="D1414" s="211" t="s">
        <v>1471</v>
      </c>
      <c r="E1414" s="219" t="s">
        <v>1738</v>
      </c>
    </row>
    <row r="1415" spans="2:5">
      <c r="B1415" s="218" t="s">
        <v>1468</v>
      </c>
      <c r="C1415" s="210" t="s">
        <v>27</v>
      </c>
      <c r="D1415" s="211" t="s">
        <v>1472</v>
      </c>
      <c r="E1415" s="219" t="s">
        <v>1738</v>
      </c>
    </row>
    <row r="1416" spans="2:5">
      <c r="B1416" s="218" t="s">
        <v>1468</v>
      </c>
      <c r="C1416" s="210" t="s">
        <v>27</v>
      </c>
      <c r="D1416" s="211" t="s">
        <v>1473</v>
      </c>
      <c r="E1416" s="219" t="s">
        <v>1738</v>
      </c>
    </row>
    <row r="1417" spans="2:5">
      <c r="B1417" s="218" t="s">
        <v>1468</v>
      </c>
      <c r="C1417" s="210" t="s">
        <v>27</v>
      </c>
      <c r="D1417" s="211" t="s">
        <v>1474</v>
      </c>
      <c r="E1417" s="219" t="s">
        <v>1738</v>
      </c>
    </row>
    <row r="1418" spans="2:5">
      <c r="B1418" s="218" t="s">
        <v>1468</v>
      </c>
      <c r="C1418" s="210" t="s">
        <v>27</v>
      </c>
      <c r="D1418" s="211" t="s">
        <v>1475</v>
      </c>
      <c r="E1418" s="219" t="s">
        <v>1738</v>
      </c>
    </row>
    <row r="1419" spans="2:5">
      <c r="B1419" s="218" t="s">
        <v>1468</v>
      </c>
      <c r="C1419" s="210" t="s">
        <v>27</v>
      </c>
      <c r="D1419" s="211" t="s">
        <v>1476</v>
      </c>
      <c r="E1419" s="219" t="s">
        <v>1738</v>
      </c>
    </row>
    <row r="1420" spans="2:5">
      <c r="B1420" s="218" t="s">
        <v>1468</v>
      </c>
      <c r="C1420" s="210" t="s">
        <v>27</v>
      </c>
      <c r="D1420" s="211" t="s">
        <v>1477</v>
      </c>
      <c r="E1420" s="219" t="s">
        <v>1738</v>
      </c>
    </row>
    <row r="1421" spans="2:5">
      <c r="B1421" s="218" t="s">
        <v>1468</v>
      </c>
      <c r="C1421" s="210" t="s">
        <v>27</v>
      </c>
      <c r="D1421" s="211" t="s">
        <v>1478</v>
      </c>
      <c r="E1421" s="219" t="s">
        <v>1738</v>
      </c>
    </row>
    <row r="1422" spans="2:5">
      <c r="B1422" s="218" t="s">
        <v>1468</v>
      </c>
      <c r="C1422" s="210" t="s">
        <v>27</v>
      </c>
      <c r="D1422" s="211" t="s">
        <v>1479</v>
      </c>
      <c r="E1422" s="219" t="s">
        <v>1738</v>
      </c>
    </row>
    <row r="1423" spans="2:5">
      <c r="B1423" s="218" t="s">
        <v>1468</v>
      </c>
      <c r="C1423" s="210" t="s">
        <v>27</v>
      </c>
      <c r="D1423" s="211" t="s">
        <v>1480</v>
      </c>
      <c r="E1423" s="219" t="s">
        <v>1738</v>
      </c>
    </row>
    <row r="1424" spans="2:5">
      <c r="B1424" s="218" t="s">
        <v>1468</v>
      </c>
      <c r="C1424" s="210" t="s">
        <v>27</v>
      </c>
      <c r="D1424" s="211" t="s">
        <v>1481</v>
      </c>
      <c r="E1424" s="219" t="s">
        <v>1738</v>
      </c>
    </row>
    <row r="1425" spans="2:5">
      <c r="B1425" s="218" t="s">
        <v>1468</v>
      </c>
      <c r="C1425" s="210" t="s">
        <v>27</v>
      </c>
      <c r="D1425" s="211" t="s">
        <v>1482</v>
      </c>
      <c r="E1425" s="219" t="s">
        <v>1738</v>
      </c>
    </row>
    <row r="1426" spans="2:5">
      <c r="B1426" s="218" t="s">
        <v>1468</v>
      </c>
      <c r="C1426" s="210" t="s">
        <v>27</v>
      </c>
      <c r="D1426" s="211" t="s">
        <v>1483</v>
      </c>
      <c r="E1426" s="219" t="s">
        <v>1738</v>
      </c>
    </row>
    <row r="1427" spans="2:5">
      <c r="B1427" s="218" t="s">
        <v>1468</v>
      </c>
      <c r="C1427" s="210" t="s">
        <v>27</v>
      </c>
      <c r="D1427" s="211" t="s">
        <v>1484</v>
      </c>
      <c r="E1427" s="219" t="s">
        <v>1738</v>
      </c>
    </row>
    <row r="1428" spans="2:5">
      <c r="B1428" s="218" t="s">
        <v>1468</v>
      </c>
      <c r="C1428" s="210" t="s">
        <v>27</v>
      </c>
      <c r="D1428" s="211" t="s">
        <v>1485</v>
      </c>
      <c r="E1428" s="219" t="s">
        <v>1738</v>
      </c>
    </row>
    <row r="1429" spans="2:5">
      <c r="B1429" s="218" t="s">
        <v>1468</v>
      </c>
      <c r="C1429" s="210" t="s">
        <v>27</v>
      </c>
      <c r="D1429" s="211" t="s">
        <v>1486</v>
      </c>
      <c r="E1429" s="219" t="s">
        <v>1738</v>
      </c>
    </row>
    <row r="1430" spans="2:5">
      <c r="B1430" s="218" t="s">
        <v>1468</v>
      </c>
      <c r="C1430" s="210" t="s">
        <v>27</v>
      </c>
      <c r="D1430" s="211" t="s">
        <v>1487</v>
      </c>
      <c r="E1430" s="219" t="s">
        <v>1738</v>
      </c>
    </row>
    <row r="1431" spans="2:5">
      <c r="B1431" s="218" t="s">
        <v>1468</v>
      </c>
      <c r="C1431" s="210" t="s">
        <v>27</v>
      </c>
      <c r="D1431" s="211" t="s">
        <v>1488</v>
      </c>
      <c r="E1431" s="219" t="s">
        <v>1738</v>
      </c>
    </row>
    <row r="1432" spans="2:5">
      <c r="B1432" s="218" t="s">
        <v>1468</v>
      </c>
      <c r="C1432" s="210" t="s">
        <v>27</v>
      </c>
      <c r="D1432" s="211" t="s">
        <v>1489</v>
      </c>
      <c r="E1432" s="219" t="s">
        <v>1738</v>
      </c>
    </row>
    <row r="1433" spans="2:5">
      <c r="B1433" s="218" t="s">
        <v>1468</v>
      </c>
      <c r="C1433" s="210" t="s">
        <v>27</v>
      </c>
      <c r="D1433" s="211" t="s">
        <v>1490</v>
      </c>
      <c r="E1433" s="219" t="s">
        <v>1738</v>
      </c>
    </row>
    <row r="1434" spans="2:5">
      <c r="B1434" s="218" t="s">
        <v>1468</v>
      </c>
      <c r="C1434" s="210" t="s">
        <v>27</v>
      </c>
      <c r="D1434" s="211" t="s">
        <v>1491</v>
      </c>
      <c r="E1434" s="219" t="s">
        <v>1738</v>
      </c>
    </row>
    <row r="1435" spans="2:5">
      <c r="B1435" s="218" t="s">
        <v>1468</v>
      </c>
      <c r="C1435" s="210" t="s">
        <v>27</v>
      </c>
      <c r="D1435" s="211" t="s">
        <v>1492</v>
      </c>
      <c r="E1435" s="219" t="s">
        <v>1738</v>
      </c>
    </row>
    <row r="1436" spans="2:5">
      <c r="B1436" s="218" t="s">
        <v>1468</v>
      </c>
      <c r="C1436" s="210" t="s">
        <v>27</v>
      </c>
      <c r="D1436" s="211" t="s">
        <v>1493</v>
      </c>
      <c r="E1436" s="219" t="s">
        <v>1738</v>
      </c>
    </row>
    <row r="1437" spans="2:5">
      <c r="B1437" s="218" t="s">
        <v>1468</v>
      </c>
      <c r="C1437" s="210" t="s">
        <v>27</v>
      </c>
      <c r="D1437" s="211" t="s">
        <v>1494</v>
      </c>
      <c r="E1437" s="219" t="s">
        <v>1738</v>
      </c>
    </row>
    <row r="1438" spans="2:5">
      <c r="B1438" s="218" t="s">
        <v>1468</v>
      </c>
      <c r="C1438" s="210" t="s">
        <v>27</v>
      </c>
      <c r="D1438" s="211" t="s">
        <v>1495</v>
      </c>
      <c r="E1438" s="219" t="s">
        <v>1738</v>
      </c>
    </row>
    <row r="1439" spans="2:5">
      <c r="B1439" s="218" t="s">
        <v>1468</v>
      </c>
      <c r="C1439" s="210" t="s">
        <v>27</v>
      </c>
      <c r="D1439" s="211" t="s">
        <v>1496</v>
      </c>
      <c r="E1439" s="219" t="s">
        <v>1738</v>
      </c>
    </row>
    <row r="1440" spans="2:5">
      <c r="B1440" s="218" t="s">
        <v>1468</v>
      </c>
      <c r="C1440" s="210" t="s">
        <v>27</v>
      </c>
      <c r="D1440" s="211" t="s">
        <v>1497</v>
      </c>
      <c r="E1440" s="219" t="s">
        <v>1738</v>
      </c>
    </row>
    <row r="1441" spans="2:5">
      <c r="B1441" s="218" t="s">
        <v>1468</v>
      </c>
      <c r="C1441" s="210" t="s">
        <v>27</v>
      </c>
      <c r="D1441" s="211" t="s">
        <v>1498</v>
      </c>
      <c r="E1441" s="219" t="s">
        <v>1738</v>
      </c>
    </row>
    <row r="1442" spans="2:5">
      <c r="B1442" s="218" t="s">
        <v>1468</v>
      </c>
      <c r="C1442" s="210" t="s">
        <v>27</v>
      </c>
      <c r="D1442" s="211" t="s">
        <v>1499</v>
      </c>
      <c r="E1442" s="219" t="s">
        <v>1738</v>
      </c>
    </row>
    <row r="1443" spans="2:5">
      <c r="B1443" s="218" t="s">
        <v>1468</v>
      </c>
      <c r="C1443" s="210" t="s">
        <v>27</v>
      </c>
      <c r="D1443" s="211" t="s">
        <v>1500</v>
      </c>
      <c r="E1443" s="219" t="s">
        <v>1738</v>
      </c>
    </row>
    <row r="1444" spans="2:5">
      <c r="B1444" s="218" t="s">
        <v>1468</v>
      </c>
      <c r="C1444" s="210" t="s">
        <v>27</v>
      </c>
      <c r="D1444" s="211" t="s">
        <v>1501</v>
      </c>
      <c r="E1444" s="219" t="s">
        <v>1738</v>
      </c>
    </row>
    <row r="1445" spans="2:5">
      <c r="B1445" s="218" t="s">
        <v>1468</v>
      </c>
      <c r="C1445" s="210" t="s">
        <v>27</v>
      </c>
      <c r="D1445" s="211" t="s">
        <v>1502</v>
      </c>
      <c r="E1445" s="219" t="s">
        <v>1738</v>
      </c>
    </row>
    <row r="1446" spans="2:5">
      <c r="B1446" s="218" t="s">
        <v>1468</v>
      </c>
      <c r="C1446" s="210" t="s">
        <v>27</v>
      </c>
      <c r="D1446" s="211" t="s">
        <v>1503</v>
      </c>
      <c r="E1446" s="219" t="s">
        <v>1738</v>
      </c>
    </row>
    <row r="1447" spans="2:5">
      <c r="B1447" s="218" t="s">
        <v>1468</v>
      </c>
      <c r="C1447" s="210" t="s">
        <v>27</v>
      </c>
      <c r="D1447" s="211" t="s">
        <v>1504</v>
      </c>
      <c r="E1447" s="219" t="s">
        <v>1</v>
      </c>
    </row>
    <row r="1448" spans="2:5">
      <c r="B1448" s="218" t="s">
        <v>1468</v>
      </c>
      <c r="C1448" s="210" t="s">
        <v>27</v>
      </c>
      <c r="D1448" s="211" t="s">
        <v>1505</v>
      </c>
      <c r="E1448" s="219" t="s">
        <v>1</v>
      </c>
    </row>
    <row r="1449" spans="2:5">
      <c r="B1449" s="218" t="s">
        <v>1468</v>
      </c>
      <c r="C1449" s="210" t="s">
        <v>27</v>
      </c>
      <c r="D1449" s="211" t="s">
        <v>1506</v>
      </c>
      <c r="E1449" s="219" t="s">
        <v>1</v>
      </c>
    </row>
    <row r="1450" spans="2:5">
      <c r="B1450" s="218" t="s">
        <v>1468</v>
      </c>
      <c r="C1450" s="210" t="s">
        <v>27</v>
      </c>
      <c r="D1450" s="211" t="s">
        <v>1507</v>
      </c>
      <c r="E1450" s="219" t="s">
        <v>1</v>
      </c>
    </row>
    <row r="1451" spans="2:5">
      <c r="B1451" s="218" t="s">
        <v>1468</v>
      </c>
      <c r="C1451" s="210" t="s">
        <v>27</v>
      </c>
      <c r="D1451" s="211" t="s">
        <v>1508</v>
      </c>
      <c r="E1451" s="219" t="s">
        <v>1</v>
      </c>
    </row>
    <row r="1452" spans="2:5">
      <c r="B1452" s="218" t="s">
        <v>1468</v>
      </c>
      <c r="C1452" s="210" t="s">
        <v>27</v>
      </c>
      <c r="D1452" s="211" t="s">
        <v>1509</v>
      </c>
      <c r="E1452" s="219" t="s">
        <v>1</v>
      </c>
    </row>
    <row r="1453" spans="2:5">
      <c r="B1453" s="218" t="s">
        <v>1468</v>
      </c>
      <c r="C1453" s="210" t="s">
        <v>27</v>
      </c>
      <c r="D1453" s="211" t="s">
        <v>1510</v>
      </c>
      <c r="E1453" s="219" t="s">
        <v>1</v>
      </c>
    </row>
    <row r="1454" spans="2:5">
      <c r="B1454" s="218" t="s">
        <v>1468</v>
      </c>
      <c r="C1454" s="210" t="s">
        <v>27</v>
      </c>
      <c r="D1454" s="211" t="s">
        <v>1511</v>
      </c>
      <c r="E1454" s="219" t="s">
        <v>1</v>
      </c>
    </row>
    <row r="1455" spans="2:5">
      <c r="B1455" s="218" t="s">
        <v>1468</v>
      </c>
      <c r="C1455" s="210" t="s">
        <v>27</v>
      </c>
      <c r="D1455" s="211" t="s">
        <v>1512</v>
      </c>
      <c r="E1455" s="219" t="s">
        <v>1</v>
      </c>
    </row>
    <row r="1456" spans="2:5">
      <c r="B1456" s="218" t="s">
        <v>1468</v>
      </c>
      <c r="C1456" s="210" t="s">
        <v>27</v>
      </c>
      <c r="D1456" s="211" t="s">
        <v>1513</v>
      </c>
      <c r="E1456" s="219" t="s">
        <v>1</v>
      </c>
    </row>
    <row r="1457" spans="2:5">
      <c r="B1457" s="218" t="s">
        <v>1468</v>
      </c>
      <c r="C1457" s="210" t="s">
        <v>27</v>
      </c>
      <c r="D1457" s="211" t="s">
        <v>1514</v>
      </c>
      <c r="E1457" s="219" t="s">
        <v>1</v>
      </c>
    </row>
    <row r="1458" spans="2:5">
      <c r="B1458" s="218" t="s">
        <v>1468</v>
      </c>
      <c r="C1458" s="210" t="s">
        <v>27</v>
      </c>
      <c r="D1458" s="211" t="s">
        <v>1515</v>
      </c>
      <c r="E1458" s="219" t="s">
        <v>1</v>
      </c>
    </row>
    <row r="1459" spans="2:5">
      <c r="B1459" s="218" t="s">
        <v>1468</v>
      </c>
      <c r="C1459" s="210" t="s">
        <v>27</v>
      </c>
      <c r="D1459" s="211" t="s">
        <v>1516</v>
      </c>
      <c r="E1459" s="219" t="s">
        <v>1</v>
      </c>
    </row>
    <row r="1460" spans="2:5">
      <c r="B1460" s="218" t="s">
        <v>1468</v>
      </c>
      <c r="C1460" s="210" t="s">
        <v>27</v>
      </c>
      <c r="D1460" s="211" t="s">
        <v>1517</v>
      </c>
      <c r="E1460" s="219" t="s">
        <v>1</v>
      </c>
    </row>
    <row r="1461" spans="2:5">
      <c r="B1461" s="218" t="s">
        <v>1468</v>
      </c>
      <c r="C1461" s="210" t="s">
        <v>27</v>
      </c>
      <c r="D1461" s="211" t="s">
        <v>1518</v>
      </c>
      <c r="E1461" s="219" t="s">
        <v>1</v>
      </c>
    </row>
    <row r="1462" spans="2:5">
      <c r="B1462" s="218" t="s">
        <v>1468</v>
      </c>
      <c r="C1462" s="210" t="s">
        <v>27</v>
      </c>
      <c r="D1462" s="211" t="s">
        <v>1519</v>
      </c>
      <c r="E1462" s="219" t="s">
        <v>1</v>
      </c>
    </row>
    <row r="1463" spans="2:5">
      <c r="B1463" s="218" t="s">
        <v>1468</v>
      </c>
      <c r="C1463" s="210" t="s">
        <v>27</v>
      </c>
      <c r="D1463" s="211" t="s">
        <v>1520</v>
      </c>
      <c r="E1463" s="219" t="s">
        <v>1</v>
      </c>
    </row>
    <row r="1464" spans="2:5">
      <c r="B1464" s="218" t="s">
        <v>1468</v>
      </c>
      <c r="C1464" s="210" t="s">
        <v>27</v>
      </c>
      <c r="D1464" s="211" t="s">
        <v>1521</v>
      </c>
      <c r="E1464" s="219" t="s">
        <v>1</v>
      </c>
    </row>
    <row r="1465" spans="2:5">
      <c r="B1465" s="218" t="s">
        <v>1468</v>
      </c>
      <c r="C1465" s="210" t="s">
        <v>27</v>
      </c>
      <c r="D1465" s="211" t="s">
        <v>1522</v>
      </c>
      <c r="E1465" s="219" t="s">
        <v>1</v>
      </c>
    </row>
    <row r="1466" spans="2:5">
      <c r="B1466" s="218" t="s">
        <v>1468</v>
      </c>
      <c r="C1466" s="210" t="s">
        <v>27</v>
      </c>
      <c r="D1466" s="211" t="s">
        <v>1523</v>
      </c>
      <c r="E1466" s="219" t="s">
        <v>1</v>
      </c>
    </row>
    <row r="1467" spans="2:5">
      <c r="B1467" s="218" t="s">
        <v>1468</v>
      </c>
      <c r="C1467" s="210" t="s">
        <v>27</v>
      </c>
      <c r="D1467" s="211" t="s">
        <v>1524</v>
      </c>
      <c r="E1467" s="219" t="s">
        <v>1</v>
      </c>
    </row>
    <row r="1468" spans="2:5">
      <c r="B1468" s="218" t="s">
        <v>1468</v>
      </c>
      <c r="C1468" s="210" t="s">
        <v>27</v>
      </c>
      <c r="D1468" s="211" t="s">
        <v>1525</v>
      </c>
      <c r="E1468" s="219" t="s">
        <v>1</v>
      </c>
    </row>
    <row r="1469" spans="2:5">
      <c r="B1469" s="218" t="s">
        <v>1468</v>
      </c>
      <c r="C1469" s="210" t="s">
        <v>27</v>
      </c>
      <c r="D1469" s="211" t="s">
        <v>1526</v>
      </c>
      <c r="E1469" s="219" t="s">
        <v>1</v>
      </c>
    </row>
    <row r="1470" spans="2:5">
      <c r="B1470" s="218" t="s">
        <v>1468</v>
      </c>
      <c r="C1470" s="210" t="s">
        <v>27</v>
      </c>
      <c r="D1470" s="211" t="s">
        <v>1527</v>
      </c>
      <c r="E1470" s="219" t="s">
        <v>1</v>
      </c>
    </row>
    <row r="1471" spans="2:5">
      <c r="B1471" s="218" t="s">
        <v>1468</v>
      </c>
      <c r="C1471" s="210" t="s">
        <v>27</v>
      </c>
      <c r="D1471" s="211" t="s">
        <v>1528</v>
      </c>
      <c r="E1471" s="219" t="s">
        <v>1</v>
      </c>
    </row>
    <row r="1472" spans="2:5">
      <c r="B1472" s="218" t="s">
        <v>1468</v>
      </c>
      <c r="C1472" s="210" t="s">
        <v>27</v>
      </c>
      <c r="D1472" s="211" t="s">
        <v>1529</v>
      </c>
      <c r="E1472" s="219" t="s">
        <v>1</v>
      </c>
    </row>
    <row r="1473" spans="2:5">
      <c r="B1473" s="218" t="s">
        <v>1468</v>
      </c>
      <c r="C1473" s="210" t="s">
        <v>27</v>
      </c>
      <c r="D1473" s="211" t="s">
        <v>1530</v>
      </c>
      <c r="E1473" s="219" t="s">
        <v>1</v>
      </c>
    </row>
    <row r="1474" spans="2:5">
      <c r="B1474" s="218" t="s">
        <v>1468</v>
      </c>
      <c r="C1474" s="210" t="s">
        <v>27</v>
      </c>
      <c r="D1474" s="211" t="s">
        <v>1531</v>
      </c>
      <c r="E1474" s="219" t="s">
        <v>1</v>
      </c>
    </row>
    <row r="1475" spans="2:5">
      <c r="B1475" s="218" t="s">
        <v>1468</v>
      </c>
      <c r="C1475" s="210" t="s">
        <v>27</v>
      </c>
      <c r="D1475" s="211" t="s">
        <v>1532</v>
      </c>
      <c r="E1475" s="219" t="s">
        <v>1</v>
      </c>
    </row>
    <row r="1476" spans="2:5">
      <c r="B1476" s="218" t="s">
        <v>1468</v>
      </c>
      <c r="C1476" s="210" t="s">
        <v>27</v>
      </c>
      <c r="D1476" s="211" t="s">
        <v>1533</v>
      </c>
      <c r="E1476" s="219" t="s">
        <v>1</v>
      </c>
    </row>
    <row r="1477" spans="2:5">
      <c r="B1477" s="218" t="s">
        <v>1468</v>
      </c>
      <c r="C1477" s="210" t="s">
        <v>27</v>
      </c>
      <c r="D1477" s="211" t="s">
        <v>1534</v>
      </c>
      <c r="E1477" s="219" t="s">
        <v>1</v>
      </c>
    </row>
    <row r="1478" spans="2:5">
      <c r="B1478" s="218" t="s">
        <v>1468</v>
      </c>
      <c r="C1478" s="210" t="s">
        <v>27</v>
      </c>
      <c r="D1478" s="211" t="s">
        <v>1535</v>
      </c>
      <c r="E1478" s="219" t="s">
        <v>1</v>
      </c>
    </row>
    <row r="1479" spans="2:5">
      <c r="B1479" s="218" t="s">
        <v>1468</v>
      </c>
      <c r="C1479" s="210" t="s">
        <v>27</v>
      </c>
      <c r="D1479" s="211" t="s">
        <v>1536</v>
      </c>
      <c r="E1479" s="219" t="s">
        <v>1</v>
      </c>
    </row>
    <row r="1480" spans="2:5">
      <c r="B1480" s="218" t="s">
        <v>1468</v>
      </c>
      <c r="C1480" s="210" t="s">
        <v>27</v>
      </c>
      <c r="D1480" s="211" t="s">
        <v>1537</v>
      </c>
      <c r="E1480" s="219" t="s">
        <v>1</v>
      </c>
    </row>
    <row r="1481" spans="2:5">
      <c r="B1481" s="218" t="s">
        <v>1468</v>
      </c>
      <c r="C1481" s="210" t="s">
        <v>27</v>
      </c>
      <c r="D1481" s="211" t="s">
        <v>1538</v>
      </c>
      <c r="E1481" s="219" t="s">
        <v>1</v>
      </c>
    </row>
    <row r="1482" spans="2:5">
      <c r="B1482" s="218" t="s">
        <v>1468</v>
      </c>
      <c r="C1482" s="210" t="s">
        <v>27</v>
      </c>
      <c r="D1482" s="211" t="s">
        <v>1539</v>
      </c>
      <c r="E1482" s="219" t="s">
        <v>1</v>
      </c>
    </row>
    <row r="1483" spans="2:5">
      <c r="B1483" s="218" t="s">
        <v>1468</v>
      </c>
      <c r="C1483" s="210" t="s">
        <v>27</v>
      </c>
      <c r="D1483" s="211" t="s">
        <v>1540</v>
      </c>
      <c r="E1483" s="219" t="s">
        <v>1</v>
      </c>
    </row>
    <row r="1484" spans="2:5">
      <c r="B1484" s="218" t="s">
        <v>1468</v>
      </c>
      <c r="C1484" s="210" t="s">
        <v>27</v>
      </c>
      <c r="D1484" s="211" t="s">
        <v>1541</v>
      </c>
      <c r="E1484" s="219" t="s">
        <v>1</v>
      </c>
    </row>
    <row r="1485" spans="2:5">
      <c r="B1485" s="218" t="s">
        <v>1468</v>
      </c>
      <c r="C1485" s="210" t="s">
        <v>27</v>
      </c>
      <c r="D1485" s="211" t="s">
        <v>1542</v>
      </c>
      <c r="E1485" s="219" t="s">
        <v>1</v>
      </c>
    </row>
    <row r="1486" spans="2:5">
      <c r="B1486" s="218" t="s">
        <v>1468</v>
      </c>
      <c r="C1486" s="210" t="s">
        <v>27</v>
      </c>
      <c r="D1486" s="211" t="s">
        <v>1543</v>
      </c>
      <c r="E1486" s="219" t="s">
        <v>1</v>
      </c>
    </row>
    <row r="1487" spans="2:5">
      <c r="B1487" s="218" t="s">
        <v>1468</v>
      </c>
      <c r="C1487" s="210" t="s">
        <v>27</v>
      </c>
      <c r="D1487" s="211" t="s">
        <v>1544</v>
      </c>
      <c r="E1487" s="219" t="s">
        <v>1</v>
      </c>
    </row>
    <row r="1488" spans="2:5">
      <c r="B1488" s="218" t="s">
        <v>1468</v>
      </c>
      <c r="C1488" s="210" t="s">
        <v>27</v>
      </c>
      <c r="D1488" s="211" t="s">
        <v>1545</v>
      </c>
      <c r="E1488" s="219" t="s">
        <v>1</v>
      </c>
    </row>
    <row r="1489" spans="2:5">
      <c r="B1489" s="218" t="s">
        <v>1468</v>
      </c>
      <c r="C1489" s="210" t="s">
        <v>27</v>
      </c>
      <c r="D1489" s="211" t="s">
        <v>1546</v>
      </c>
      <c r="E1489" s="219" t="s">
        <v>1</v>
      </c>
    </row>
    <row r="1490" spans="2:5">
      <c r="B1490" s="218" t="s">
        <v>1468</v>
      </c>
      <c r="C1490" s="210" t="s">
        <v>27</v>
      </c>
      <c r="D1490" s="211" t="s">
        <v>1547</v>
      </c>
      <c r="E1490" s="219" t="s">
        <v>1</v>
      </c>
    </row>
    <row r="1491" spans="2:5">
      <c r="B1491" s="218" t="s">
        <v>1468</v>
      </c>
      <c r="C1491" s="210" t="s">
        <v>27</v>
      </c>
      <c r="D1491" s="211" t="s">
        <v>1548</v>
      </c>
      <c r="E1491" s="219" t="s">
        <v>1</v>
      </c>
    </row>
    <row r="1492" spans="2:5">
      <c r="B1492" s="218" t="s">
        <v>1468</v>
      </c>
      <c r="C1492" s="210" t="s">
        <v>27</v>
      </c>
      <c r="D1492" s="211" t="s">
        <v>1549</v>
      </c>
      <c r="E1492" s="219" t="s">
        <v>1</v>
      </c>
    </row>
    <row r="1493" spans="2:5">
      <c r="B1493" s="218" t="s">
        <v>1468</v>
      </c>
      <c r="C1493" s="210" t="s">
        <v>27</v>
      </c>
      <c r="D1493" s="211" t="s">
        <v>1550</v>
      </c>
      <c r="E1493" s="219" t="s">
        <v>1</v>
      </c>
    </row>
    <row r="1494" spans="2:5">
      <c r="B1494" s="218" t="s">
        <v>1468</v>
      </c>
      <c r="C1494" s="210" t="s">
        <v>27</v>
      </c>
      <c r="D1494" s="211" t="s">
        <v>1551</v>
      </c>
      <c r="E1494" s="219" t="s">
        <v>1</v>
      </c>
    </row>
    <row r="1495" spans="2:5">
      <c r="B1495" s="218" t="s">
        <v>1468</v>
      </c>
      <c r="C1495" s="210" t="s">
        <v>27</v>
      </c>
      <c r="D1495" s="211" t="s">
        <v>1552</v>
      </c>
      <c r="E1495" s="219" t="s">
        <v>1</v>
      </c>
    </row>
    <row r="1496" spans="2:5">
      <c r="B1496" s="218" t="s">
        <v>1468</v>
      </c>
      <c r="C1496" s="210" t="s">
        <v>27</v>
      </c>
      <c r="D1496" s="211" t="s">
        <v>1553</v>
      </c>
      <c r="E1496" s="219" t="s">
        <v>1</v>
      </c>
    </row>
    <row r="1497" spans="2:5">
      <c r="B1497" s="218" t="s">
        <v>1468</v>
      </c>
      <c r="C1497" s="210" t="s">
        <v>27</v>
      </c>
      <c r="D1497" s="211" t="s">
        <v>1554</v>
      </c>
      <c r="E1497" s="219" t="s">
        <v>1</v>
      </c>
    </row>
    <row r="1498" spans="2:5">
      <c r="B1498" s="218" t="s">
        <v>1468</v>
      </c>
      <c r="C1498" s="210" t="s">
        <v>27</v>
      </c>
      <c r="D1498" s="211" t="s">
        <v>1555</v>
      </c>
      <c r="E1498" s="219" t="s">
        <v>1</v>
      </c>
    </row>
    <row r="1499" spans="2:5">
      <c r="B1499" s="218" t="s">
        <v>1468</v>
      </c>
      <c r="C1499" s="210" t="s">
        <v>27</v>
      </c>
      <c r="D1499" s="211" t="s">
        <v>1556</v>
      </c>
      <c r="E1499" s="219" t="s">
        <v>1</v>
      </c>
    </row>
    <row r="1500" spans="2:5">
      <c r="B1500" s="218" t="s">
        <v>1468</v>
      </c>
      <c r="C1500" s="210" t="s">
        <v>27</v>
      </c>
      <c r="D1500" s="211" t="s">
        <v>1557</v>
      </c>
      <c r="E1500" s="219" t="s">
        <v>1</v>
      </c>
    </row>
    <row r="1501" spans="2:5">
      <c r="B1501" s="218" t="s">
        <v>1468</v>
      </c>
      <c r="C1501" s="210" t="s">
        <v>27</v>
      </c>
      <c r="D1501" s="211" t="s">
        <v>1558</v>
      </c>
      <c r="E1501" s="219" t="s">
        <v>1</v>
      </c>
    </row>
    <row r="1502" spans="2:5">
      <c r="B1502" s="218" t="s">
        <v>1468</v>
      </c>
      <c r="C1502" s="210" t="s">
        <v>27</v>
      </c>
      <c r="D1502" s="211" t="s">
        <v>1559</v>
      </c>
      <c r="E1502" s="219" t="s">
        <v>1</v>
      </c>
    </row>
    <row r="1503" spans="2:5">
      <c r="B1503" s="218" t="s">
        <v>1468</v>
      </c>
      <c r="C1503" s="210" t="s">
        <v>27</v>
      </c>
      <c r="D1503" s="211" t="s">
        <v>1560</v>
      </c>
      <c r="E1503" s="219" t="s">
        <v>1</v>
      </c>
    </row>
    <row r="1504" spans="2:5">
      <c r="B1504" s="218" t="s">
        <v>1468</v>
      </c>
      <c r="C1504" s="210" t="s">
        <v>27</v>
      </c>
      <c r="D1504" s="211" t="s">
        <v>1561</v>
      </c>
      <c r="E1504" s="219" t="s">
        <v>1</v>
      </c>
    </row>
    <row r="1505" spans="2:5">
      <c r="B1505" s="218" t="s">
        <v>1468</v>
      </c>
      <c r="C1505" s="210" t="s">
        <v>27</v>
      </c>
      <c r="D1505" s="211" t="s">
        <v>1562</v>
      </c>
      <c r="E1505" s="219" t="s">
        <v>1</v>
      </c>
    </row>
    <row r="1506" spans="2:5">
      <c r="B1506" s="218" t="s">
        <v>1468</v>
      </c>
      <c r="C1506" s="210" t="s">
        <v>27</v>
      </c>
      <c r="D1506" s="211" t="s">
        <v>1563</v>
      </c>
      <c r="E1506" s="219" t="s">
        <v>1</v>
      </c>
    </row>
    <row r="1507" spans="2:5">
      <c r="B1507" s="218" t="s">
        <v>1468</v>
      </c>
      <c r="C1507" s="210" t="s">
        <v>27</v>
      </c>
      <c r="D1507" s="211" t="s">
        <v>1564</v>
      </c>
      <c r="E1507" s="219" t="s">
        <v>1</v>
      </c>
    </row>
    <row r="1508" spans="2:5">
      <c r="B1508" s="218" t="s">
        <v>1468</v>
      </c>
      <c r="C1508" s="210" t="s">
        <v>27</v>
      </c>
      <c r="D1508" s="211" t="s">
        <v>1565</v>
      </c>
      <c r="E1508" s="219" t="s">
        <v>1</v>
      </c>
    </row>
    <row r="1509" spans="2:5">
      <c r="B1509" s="218" t="s">
        <v>1468</v>
      </c>
      <c r="C1509" s="210" t="s">
        <v>27</v>
      </c>
      <c r="D1509" s="211" t="s">
        <v>1566</v>
      </c>
      <c r="E1509" s="219" t="s">
        <v>1</v>
      </c>
    </row>
    <row r="1510" spans="2:5">
      <c r="B1510" s="218" t="s">
        <v>1468</v>
      </c>
      <c r="C1510" s="210" t="s">
        <v>27</v>
      </c>
      <c r="D1510" s="211" t="s">
        <v>1567</v>
      </c>
      <c r="E1510" s="219" t="s">
        <v>1</v>
      </c>
    </row>
    <row r="1511" spans="2:5">
      <c r="B1511" s="218" t="s">
        <v>1468</v>
      </c>
      <c r="C1511" s="210" t="s">
        <v>27</v>
      </c>
      <c r="D1511" s="211" t="s">
        <v>1568</v>
      </c>
      <c r="E1511" s="219" t="s">
        <v>1</v>
      </c>
    </row>
    <row r="1512" spans="2:5">
      <c r="B1512" s="218" t="s">
        <v>1468</v>
      </c>
      <c r="C1512" s="210" t="s">
        <v>27</v>
      </c>
      <c r="D1512" s="211" t="s">
        <v>1569</v>
      </c>
      <c r="E1512" s="219" t="s">
        <v>1</v>
      </c>
    </row>
    <row r="1513" spans="2:5">
      <c r="B1513" s="218" t="s">
        <v>1468</v>
      </c>
      <c r="C1513" s="210" t="s">
        <v>27</v>
      </c>
      <c r="D1513" s="211" t="s">
        <v>1570</v>
      </c>
      <c r="E1513" s="219" t="s">
        <v>1</v>
      </c>
    </row>
    <row r="1514" spans="2:5">
      <c r="B1514" s="218" t="s">
        <v>1468</v>
      </c>
      <c r="C1514" s="210" t="s">
        <v>27</v>
      </c>
      <c r="D1514" s="211" t="s">
        <v>1571</v>
      </c>
      <c r="E1514" s="219" t="s">
        <v>1</v>
      </c>
    </row>
    <row r="1515" spans="2:5">
      <c r="B1515" s="218" t="s">
        <v>1468</v>
      </c>
      <c r="C1515" s="210" t="s">
        <v>27</v>
      </c>
      <c r="D1515" s="211" t="s">
        <v>1572</v>
      </c>
      <c r="E1515" s="219" t="s">
        <v>1</v>
      </c>
    </row>
    <row r="1516" spans="2:5">
      <c r="B1516" s="218" t="s">
        <v>1468</v>
      </c>
      <c r="C1516" s="210" t="s">
        <v>27</v>
      </c>
      <c r="D1516" s="211" t="s">
        <v>1573</v>
      </c>
      <c r="E1516" s="219" t="s">
        <v>1</v>
      </c>
    </row>
    <row r="1517" spans="2:5">
      <c r="B1517" s="218" t="s">
        <v>1468</v>
      </c>
      <c r="C1517" s="210" t="s">
        <v>27</v>
      </c>
      <c r="D1517" s="211" t="s">
        <v>1574</v>
      </c>
      <c r="E1517" s="219" t="s">
        <v>1</v>
      </c>
    </row>
    <row r="1518" spans="2:5">
      <c r="B1518" s="218" t="s">
        <v>1468</v>
      </c>
      <c r="C1518" s="210" t="s">
        <v>27</v>
      </c>
      <c r="D1518" s="211" t="s">
        <v>1575</v>
      </c>
      <c r="E1518" s="219" t="s">
        <v>1</v>
      </c>
    </row>
    <row r="1519" spans="2:5">
      <c r="B1519" s="218" t="s">
        <v>1468</v>
      </c>
      <c r="C1519" s="210" t="s">
        <v>27</v>
      </c>
      <c r="D1519" s="211" t="s">
        <v>1576</v>
      </c>
      <c r="E1519" s="219" t="s">
        <v>1</v>
      </c>
    </row>
    <row r="1520" spans="2:5">
      <c r="B1520" s="218" t="s">
        <v>1468</v>
      </c>
      <c r="C1520" s="210" t="s">
        <v>27</v>
      </c>
      <c r="D1520" s="211" t="s">
        <v>1577</v>
      </c>
      <c r="E1520" s="219" t="s">
        <v>1</v>
      </c>
    </row>
    <row r="1521" spans="2:5">
      <c r="B1521" s="218" t="s">
        <v>1468</v>
      </c>
      <c r="C1521" s="210" t="s">
        <v>27</v>
      </c>
      <c r="D1521" s="211" t="s">
        <v>1578</v>
      </c>
      <c r="E1521" s="219" t="s">
        <v>1</v>
      </c>
    </row>
    <row r="1522" spans="2:5">
      <c r="B1522" s="218" t="s">
        <v>1468</v>
      </c>
      <c r="C1522" s="210" t="s">
        <v>27</v>
      </c>
      <c r="D1522" s="211" t="s">
        <v>1579</v>
      </c>
      <c r="E1522" s="219" t="s">
        <v>1</v>
      </c>
    </row>
    <row r="1523" spans="2:5">
      <c r="B1523" s="218" t="s">
        <v>1468</v>
      </c>
      <c r="C1523" s="210" t="s">
        <v>27</v>
      </c>
      <c r="D1523" s="211" t="s">
        <v>1580</v>
      </c>
      <c r="E1523" s="219" t="s">
        <v>1</v>
      </c>
    </row>
    <row r="1524" spans="2:5">
      <c r="B1524" s="218" t="s">
        <v>1468</v>
      </c>
      <c r="C1524" s="210" t="s">
        <v>27</v>
      </c>
      <c r="D1524" s="211" t="s">
        <v>1581</v>
      </c>
      <c r="E1524" s="219" t="s">
        <v>1</v>
      </c>
    </row>
    <row r="1525" spans="2:5">
      <c r="B1525" s="218" t="s">
        <v>1468</v>
      </c>
      <c r="C1525" s="210" t="s">
        <v>27</v>
      </c>
      <c r="D1525" s="211" t="s">
        <v>1582</v>
      </c>
      <c r="E1525" s="219" t="s">
        <v>1</v>
      </c>
    </row>
    <row r="1526" spans="2:5">
      <c r="B1526" s="218" t="s">
        <v>1468</v>
      </c>
      <c r="C1526" s="210" t="s">
        <v>27</v>
      </c>
      <c r="D1526" s="211" t="s">
        <v>1583</v>
      </c>
      <c r="E1526" s="219" t="s">
        <v>1</v>
      </c>
    </row>
    <row r="1527" spans="2:5">
      <c r="B1527" s="218" t="s">
        <v>1468</v>
      </c>
      <c r="C1527" s="210" t="s">
        <v>27</v>
      </c>
      <c r="D1527" s="211" t="s">
        <v>1584</v>
      </c>
      <c r="E1527" s="219" t="s">
        <v>1</v>
      </c>
    </row>
    <row r="1528" spans="2:5">
      <c r="B1528" s="218" t="s">
        <v>1468</v>
      </c>
      <c r="C1528" s="210" t="s">
        <v>27</v>
      </c>
      <c r="D1528" s="211" t="s">
        <v>1585</v>
      </c>
      <c r="E1528" s="219" t="s">
        <v>1</v>
      </c>
    </row>
    <row r="1529" spans="2:5">
      <c r="B1529" s="218" t="s">
        <v>1468</v>
      </c>
      <c r="C1529" s="210" t="s">
        <v>27</v>
      </c>
      <c r="D1529" s="211" t="s">
        <v>1586</v>
      </c>
      <c r="E1529" s="219" t="s">
        <v>1</v>
      </c>
    </row>
    <row r="1530" spans="2:5">
      <c r="B1530" s="218" t="s">
        <v>1468</v>
      </c>
      <c r="C1530" s="210" t="s">
        <v>27</v>
      </c>
      <c r="D1530" s="211" t="s">
        <v>1587</v>
      </c>
      <c r="E1530" s="219" t="s">
        <v>1</v>
      </c>
    </row>
    <row r="1531" spans="2:5">
      <c r="B1531" s="218" t="s">
        <v>1468</v>
      </c>
      <c r="C1531" s="210" t="s">
        <v>27</v>
      </c>
      <c r="D1531" s="211" t="s">
        <v>1588</v>
      </c>
      <c r="E1531" s="219" t="s">
        <v>1</v>
      </c>
    </row>
    <row r="1532" spans="2:5">
      <c r="B1532" s="218" t="s">
        <v>1468</v>
      </c>
      <c r="C1532" s="210" t="s">
        <v>27</v>
      </c>
      <c r="D1532" s="211" t="s">
        <v>1589</v>
      </c>
      <c r="E1532" s="219" t="s">
        <v>1</v>
      </c>
    </row>
    <row r="1533" spans="2:5">
      <c r="B1533" s="218" t="s">
        <v>1468</v>
      </c>
      <c r="C1533" s="210" t="s">
        <v>27</v>
      </c>
      <c r="D1533" s="211" t="s">
        <v>1590</v>
      </c>
      <c r="E1533" s="219" t="s">
        <v>1</v>
      </c>
    </row>
    <row r="1534" spans="2:5">
      <c r="B1534" s="218" t="s">
        <v>1468</v>
      </c>
      <c r="C1534" s="210" t="s">
        <v>27</v>
      </c>
      <c r="D1534" s="211" t="s">
        <v>1591</v>
      </c>
      <c r="E1534" s="219" t="s">
        <v>1</v>
      </c>
    </row>
    <row r="1535" spans="2:5">
      <c r="B1535" s="218" t="s">
        <v>1468</v>
      </c>
      <c r="C1535" s="210" t="s">
        <v>27</v>
      </c>
      <c r="D1535" s="211" t="s">
        <v>1592</v>
      </c>
      <c r="E1535" s="219" t="s">
        <v>1</v>
      </c>
    </row>
    <row r="1536" spans="2:5">
      <c r="B1536" s="218" t="s">
        <v>1468</v>
      </c>
      <c r="C1536" s="210" t="s">
        <v>27</v>
      </c>
      <c r="D1536" s="211" t="s">
        <v>1593</v>
      </c>
      <c r="E1536" s="219" t="s">
        <v>1</v>
      </c>
    </row>
    <row r="1537" spans="2:5">
      <c r="B1537" s="218" t="s">
        <v>1468</v>
      </c>
      <c r="C1537" s="210" t="s">
        <v>27</v>
      </c>
      <c r="D1537" s="211" t="s">
        <v>1594</v>
      </c>
      <c r="E1537" s="219" t="s">
        <v>1</v>
      </c>
    </row>
    <row r="1538" spans="2:5">
      <c r="B1538" s="218" t="s">
        <v>1468</v>
      </c>
      <c r="C1538" s="210" t="s">
        <v>27</v>
      </c>
      <c r="D1538" s="211" t="s">
        <v>1595</v>
      </c>
      <c r="E1538" s="219" t="s">
        <v>1</v>
      </c>
    </row>
    <row r="1539" spans="2:5">
      <c r="B1539" s="218" t="s">
        <v>1468</v>
      </c>
      <c r="C1539" s="210" t="s">
        <v>27</v>
      </c>
      <c r="D1539" s="211" t="s">
        <v>1596</v>
      </c>
      <c r="E1539" s="219" t="s">
        <v>1</v>
      </c>
    </row>
    <row r="1540" spans="2:5">
      <c r="B1540" s="218" t="s">
        <v>1468</v>
      </c>
      <c r="C1540" s="210" t="s">
        <v>27</v>
      </c>
      <c r="D1540" s="211" t="s">
        <v>1597</v>
      </c>
      <c r="E1540" s="219" t="e">
        <v>#N/A</v>
      </c>
    </row>
    <row r="1541" spans="2:5">
      <c r="B1541" s="218" t="s">
        <v>1468</v>
      </c>
      <c r="C1541" s="210" t="s">
        <v>27</v>
      </c>
      <c r="D1541" s="211" t="s">
        <v>1598</v>
      </c>
      <c r="E1541" s="219" t="s">
        <v>1</v>
      </c>
    </row>
    <row r="1542" spans="2:5">
      <c r="B1542" s="218" t="s">
        <v>1468</v>
      </c>
      <c r="C1542" s="210" t="s">
        <v>27</v>
      </c>
      <c r="D1542" s="211" t="s">
        <v>1599</v>
      </c>
      <c r="E1542" s="219" t="s">
        <v>1</v>
      </c>
    </row>
    <row r="1543" spans="2:5">
      <c r="B1543" s="218" t="s">
        <v>1468</v>
      </c>
      <c r="C1543" s="210" t="s">
        <v>27</v>
      </c>
      <c r="D1543" s="211" t="s">
        <v>1600</v>
      </c>
      <c r="E1543" s="219" t="s">
        <v>1</v>
      </c>
    </row>
    <row r="1544" spans="2:5">
      <c r="B1544" s="218" t="s">
        <v>1468</v>
      </c>
      <c r="C1544" s="210" t="s">
        <v>27</v>
      </c>
      <c r="D1544" s="211" t="s">
        <v>1601</v>
      </c>
      <c r="E1544" s="219" t="s">
        <v>1</v>
      </c>
    </row>
    <row r="1545" spans="2:5">
      <c r="B1545" s="218" t="s">
        <v>1468</v>
      </c>
      <c r="C1545" s="210" t="s">
        <v>27</v>
      </c>
      <c r="D1545" s="211" t="s">
        <v>1602</v>
      </c>
      <c r="E1545" s="219" t="s">
        <v>1</v>
      </c>
    </row>
    <row r="1546" spans="2:5">
      <c r="B1546" s="218" t="s">
        <v>1468</v>
      </c>
      <c r="C1546" s="210" t="s">
        <v>27</v>
      </c>
      <c r="D1546" s="211" t="s">
        <v>1603</v>
      </c>
      <c r="E1546" s="219" t="s">
        <v>1</v>
      </c>
    </row>
    <row r="1547" spans="2:5">
      <c r="B1547" s="218" t="s">
        <v>1468</v>
      </c>
      <c r="C1547" s="210" t="s">
        <v>27</v>
      </c>
      <c r="D1547" s="211" t="s">
        <v>1604</v>
      </c>
      <c r="E1547" s="219" t="s">
        <v>1</v>
      </c>
    </row>
    <row r="1548" spans="2:5">
      <c r="B1548" s="218" t="s">
        <v>1468</v>
      </c>
      <c r="C1548" s="210" t="s">
        <v>27</v>
      </c>
      <c r="D1548" s="211" t="s">
        <v>1605</v>
      </c>
      <c r="E1548" s="219" t="s">
        <v>1</v>
      </c>
    </row>
    <row r="1549" spans="2:5">
      <c r="B1549" s="218" t="s">
        <v>1468</v>
      </c>
      <c r="C1549" s="210" t="s">
        <v>27</v>
      </c>
      <c r="D1549" s="211" t="s">
        <v>1606</v>
      </c>
      <c r="E1549" s="219" t="s">
        <v>1</v>
      </c>
    </row>
    <row r="1550" spans="2:5">
      <c r="B1550" s="218" t="s">
        <v>1468</v>
      </c>
      <c r="C1550" s="210" t="s">
        <v>27</v>
      </c>
      <c r="D1550" s="211" t="s">
        <v>1607</v>
      </c>
      <c r="E1550" s="219" t="s">
        <v>1</v>
      </c>
    </row>
    <row r="1551" spans="2:5">
      <c r="B1551" s="218" t="s">
        <v>1468</v>
      </c>
      <c r="C1551" s="210" t="s">
        <v>27</v>
      </c>
      <c r="D1551" s="211" t="s">
        <v>1608</v>
      </c>
      <c r="E1551" s="219" t="s">
        <v>1</v>
      </c>
    </row>
    <row r="1552" spans="2:5">
      <c r="B1552" s="218" t="s">
        <v>1468</v>
      </c>
      <c r="C1552" s="210" t="s">
        <v>27</v>
      </c>
      <c r="D1552" s="211" t="s">
        <v>1609</v>
      </c>
      <c r="E1552" s="219" t="s">
        <v>1</v>
      </c>
    </row>
    <row r="1553" spans="2:5">
      <c r="B1553" s="218" t="s">
        <v>1468</v>
      </c>
      <c r="C1553" s="210" t="s">
        <v>27</v>
      </c>
      <c r="D1553" s="211" t="s">
        <v>1610</v>
      </c>
      <c r="E1553" s="219" t="s">
        <v>1</v>
      </c>
    </row>
    <row r="1554" spans="2:5">
      <c r="B1554" s="218" t="s">
        <v>1468</v>
      </c>
      <c r="C1554" s="210" t="s">
        <v>27</v>
      </c>
      <c r="D1554" s="211" t="s">
        <v>1611</v>
      </c>
      <c r="E1554" s="219" t="s">
        <v>1</v>
      </c>
    </row>
    <row r="1555" spans="2:5">
      <c r="B1555" s="218" t="s">
        <v>1468</v>
      </c>
      <c r="C1555" s="210" t="s">
        <v>27</v>
      </c>
      <c r="D1555" s="211" t="s">
        <v>1612</v>
      </c>
      <c r="E1555" s="219" t="s">
        <v>1</v>
      </c>
    </row>
    <row r="1556" spans="2:5">
      <c r="B1556" s="218" t="s">
        <v>1468</v>
      </c>
      <c r="C1556" s="210" t="s">
        <v>27</v>
      </c>
      <c r="D1556" s="211" t="s">
        <v>1613</v>
      </c>
      <c r="E1556" s="219" t="s">
        <v>1</v>
      </c>
    </row>
    <row r="1557" spans="2:5">
      <c r="B1557" s="218" t="s">
        <v>1468</v>
      </c>
      <c r="C1557" s="210" t="s">
        <v>27</v>
      </c>
      <c r="D1557" s="211" t="s">
        <v>1614</v>
      </c>
      <c r="E1557" s="219" t="s">
        <v>1</v>
      </c>
    </row>
    <row r="1558" spans="2:5">
      <c r="B1558" s="218" t="s">
        <v>1468</v>
      </c>
      <c r="C1558" s="210" t="s">
        <v>27</v>
      </c>
      <c r="D1558" s="211" t="s">
        <v>1615</v>
      </c>
      <c r="E1558" s="219" t="s">
        <v>1</v>
      </c>
    </row>
    <row r="1559" spans="2:5">
      <c r="B1559" s="218" t="s">
        <v>1468</v>
      </c>
      <c r="C1559" s="210" t="s">
        <v>27</v>
      </c>
      <c r="D1559" s="211" t="s">
        <v>1616</v>
      </c>
      <c r="E1559" s="219" t="s">
        <v>1</v>
      </c>
    </row>
    <row r="1560" spans="2:5">
      <c r="B1560" s="218" t="s">
        <v>1468</v>
      </c>
      <c r="C1560" s="210" t="s">
        <v>27</v>
      </c>
      <c r="D1560" s="211" t="s">
        <v>1617</v>
      </c>
      <c r="E1560" s="219" t="s">
        <v>1</v>
      </c>
    </row>
    <row r="1561" spans="2:5">
      <c r="B1561" s="218" t="s">
        <v>1468</v>
      </c>
      <c r="C1561" s="210" t="s">
        <v>27</v>
      </c>
      <c r="D1561" s="211" t="s">
        <v>1618</v>
      </c>
      <c r="E1561" s="219" t="s">
        <v>1</v>
      </c>
    </row>
    <row r="1562" spans="2:5">
      <c r="B1562" s="218" t="s">
        <v>1468</v>
      </c>
      <c r="C1562" s="210" t="s">
        <v>27</v>
      </c>
      <c r="D1562" s="211" t="s">
        <v>1619</v>
      </c>
      <c r="E1562" s="219" t="s">
        <v>1</v>
      </c>
    </row>
    <row r="1563" spans="2:5">
      <c r="B1563" s="218" t="s">
        <v>1468</v>
      </c>
      <c r="C1563" s="210" t="s">
        <v>27</v>
      </c>
      <c r="D1563" s="211" t="s">
        <v>1620</v>
      </c>
      <c r="E1563" s="219" t="s">
        <v>1</v>
      </c>
    </row>
    <row r="1564" spans="2:5">
      <c r="B1564" s="218" t="s">
        <v>1468</v>
      </c>
      <c r="C1564" s="210" t="s">
        <v>27</v>
      </c>
      <c r="D1564" s="211" t="s">
        <v>1621</v>
      </c>
      <c r="E1564" s="219" t="s">
        <v>1</v>
      </c>
    </row>
    <row r="1565" spans="2:5">
      <c r="B1565" s="218" t="s">
        <v>1468</v>
      </c>
      <c r="C1565" s="210" t="s">
        <v>27</v>
      </c>
      <c r="D1565" s="211" t="s">
        <v>1622</v>
      </c>
      <c r="E1565" s="219" t="s">
        <v>1</v>
      </c>
    </row>
    <row r="1566" spans="2:5">
      <c r="B1566" s="218" t="s">
        <v>1468</v>
      </c>
      <c r="C1566" s="210" t="s">
        <v>27</v>
      </c>
      <c r="D1566" s="211" t="s">
        <v>1623</v>
      </c>
      <c r="E1566" s="219" t="s">
        <v>1</v>
      </c>
    </row>
    <row r="1567" spans="2:5">
      <c r="B1567" s="218" t="s">
        <v>1468</v>
      </c>
      <c r="C1567" s="210" t="s">
        <v>27</v>
      </c>
      <c r="D1567" s="211" t="s">
        <v>1624</v>
      </c>
      <c r="E1567" s="219" t="s">
        <v>1</v>
      </c>
    </row>
    <row r="1568" spans="2:5">
      <c r="B1568" s="218" t="s">
        <v>1468</v>
      </c>
      <c r="C1568" s="210" t="s">
        <v>27</v>
      </c>
      <c r="D1568" s="211" t="s">
        <v>1625</v>
      </c>
      <c r="E1568" s="219" t="s">
        <v>1</v>
      </c>
    </row>
    <row r="1569" spans="2:5">
      <c r="B1569" s="218" t="s">
        <v>1468</v>
      </c>
      <c r="C1569" s="210" t="s">
        <v>27</v>
      </c>
      <c r="D1569" s="211" t="s">
        <v>1626</v>
      </c>
      <c r="E1569" s="219" t="s">
        <v>1</v>
      </c>
    </row>
    <row r="1570" spans="2:5">
      <c r="B1570" s="218" t="s">
        <v>1468</v>
      </c>
      <c r="C1570" s="210" t="s">
        <v>27</v>
      </c>
      <c r="D1570" s="211" t="s">
        <v>1627</v>
      </c>
      <c r="E1570" s="219" t="s">
        <v>1</v>
      </c>
    </row>
    <row r="1571" spans="2:5">
      <c r="B1571" s="218" t="s">
        <v>1468</v>
      </c>
      <c r="C1571" s="210" t="s">
        <v>27</v>
      </c>
      <c r="D1571" s="211" t="s">
        <v>1628</v>
      </c>
      <c r="E1571" s="219" t="s">
        <v>1</v>
      </c>
    </row>
    <row r="1572" spans="2:5">
      <c r="B1572" s="218" t="s">
        <v>1468</v>
      </c>
      <c r="C1572" s="210" t="s">
        <v>27</v>
      </c>
      <c r="D1572" s="211" t="s">
        <v>1629</v>
      </c>
      <c r="E1572" s="219" t="s">
        <v>1</v>
      </c>
    </row>
    <row r="1573" spans="2:5">
      <c r="B1573" s="218" t="s">
        <v>1468</v>
      </c>
      <c r="C1573" s="210" t="s">
        <v>27</v>
      </c>
      <c r="D1573" s="211" t="s">
        <v>1630</v>
      </c>
      <c r="E1573" s="219" t="s">
        <v>1</v>
      </c>
    </row>
    <row r="1574" spans="2:5">
      <c r="B1574" s="218" t="s">
        <v>1468</v>
      </c>
      <c r="C1574" s="210" t="s">
        <v>27</v>
      </c>
      <c r="D1574" s="211" t="s">
        <v>1631</v>
      </c>
      <c r="E1574" s="219" t="s">
        <v>1</v>
      </c>
    </row>
    <row r="1575" spans="2:5">
      <c r="B1575" s="218" t="s">
        <v>1468</v>
      </c>
      <c r="C1575" s="210" t="s">
        <v>27</v>
      </c>
      <c r="D1575" s="211" t="s">
        <v>1632</v>
      </c>
      <c r="E1575" s="219" t="s">
        <v>1</v>
      </c>
    </row>
    <row r="1576" spans="2:5">
      <c r="B1576" s="218" t="s">
        <v>1468</v>
      </c>
      <c r="C1576" s="210" t="s">
        <v>27</v>
      </c>
      <c r="D1576" s="211" t="s">
        <v>1633</v>
      </c>
      <c r="E1576" s="219" t="s">
        <v>1</v>
      </c>
    </row>
    <row r="1577" spans="2:5">
      <c r="B1577" s="218" t="s">
        <v>1468</v>
      </c>
      <c r="C1577" s="210" t="s">
        <v>27</v>
      </c>
      <c r="D1577" s="211" t="s">
        <v>1634</v>
      </c>
      <c r="E1577" s="219" t="s">
        <v>1</v>
      </c>
    </row>
    <row r="1578" spans="2:5">
      <c r="B1578" s="218" t="s">
        <v>1468</v>
      </c>
      <c r="C1578" s="210" t="s">
        <v>27</v>
      </c>
      <c r="D1578" s="211" t="s">
        <v>1635</v>
      </c>
      <c r="E1578" s="219" t="s">
        <v>1</v>
      </c>
    </row>
    <row r="1579" spans="2:5">
      <c r="B1579" s="218" t="s">
        <v>1468</v>
      </c>
      <c r="C1579" s="210" t="s">
        <v>27</v>
      </c>
      <c r="D1579" s="211" t="s">
        <v>1636</v>
      </c>
      <c r="E1579" s="219" t="s">
        <v>1</v>
      </c>
    </row>
    <row r="1580" spans="2:5">
      <c r="B1580" s="218" t="s">
        <v>1468</v>
      </c>
      <c r="C1580" s="210" t="s">
        <v>27</v>
      </c>
      <c r="D1580" s="211" t="s">
        <v>1637</v>
      </c>
      <c r="E1580" s="219" t="s">
        <v>1</v>
      </c>
    </row>
    <row r="1581" spans="2:5">
      <c r="B1581" s="218" t="s">
        <v>1468</v>
      </c>
      <c r="C1581" s="210" t="s">
        <v>27</v>
      </c>
      <c r="D1581" s="211" t="s">
        <v>1638</v>
      </c>
      <c r="E1581" s="219" t="s">
        <v>1</v>
      </c>
    </row>
    <row r="1582" spans="2:5">
      <c r="B1582" s="218" t="s">
        <v>1468</v>
      </c>
      <c r="C1582" s="210" t="s">
        <v>27</v>
      </c>
      <c r="D1582" s="211" t="s">
        <v>1639</v>
      </c>
      <c r="E1582" s="219" t="s">
        <v>1</v>
      </c>
    </row>
    <row r="1583" spans="2:5">
      <c r="B1583" s="218" t="s">
        <v>1468</v>
      </c>
      <c r="C1583" s="210" t="s">
        <v>27</v>
      </c>
      <c r="D1583" s="211" t="s">
        <v>1640</v>
      </c>
      <c r="E1583" s="219" t="s">
        <v>1</v>
      </c>
    </row>
    <row r="1584" spans="2:5">
      <c r="B1584" s="218" t="s">
        <v>1468</v>
      </c>
      <c r="C1584" s="210" t="s">
        <v>27</v>
      </c>
      <c r="D1584" s="211" t="s">
        <v>1641</v>
      </c>
      <c r="E1584" s="219" t="s">
        <v>1</v>
      </c>
    </row>
    <row r="1585" spans="2:5">
      <c r="B1585" s="218" t="s">
        <v>1468</v>
      </c>
      <c r="C1585" s="210" t="s">
        <v>27</v>
      </c>
      <c r="D1585" s="211" t="s">
        <v>1642</v>
      </c>
      <c r="E1585" s="219" t="s">
        <v>1</v>
      </c>
    </row>
    <row r="1586" spans="2:5">
      <c r="B1586" s="218" t="s">
        <v>1468</v>
      </c>
      <c r="C1586" s="210" t="s">
        <v>27</v>
      </c>
      <c r="D1586" s="211" t="s">
        <v>1643</v>
      </c>
      <c r="E1586" s="219" t="s">
        <v>1</v>
      </c>
    </row>
    <row r="1587" spans="2:5">
      <c r="B1587" s="218" t="s">
        <v>1468</v>
      </c>
      <c r="C1587" s="210" t="s">
        <v>27</v>
      </c>
      <c r="D1587" s="211" t="s">
        <v>1644</v>
      </c>
      <c r="E1587" s="219" t="s">
        <v>1</v>
      </c>
    </row>
    <row r="1588" spans="2:5">
      <c r="B1588" s="218" t="s">
        <v>1468</v>
      </c>
      <c r="C1588" s="210" t="s">
        <v>27</v>
      </c>
      <c r="D1588" s="211" t="s">
        <v>1645</v>
      </c>
      <c r="E1588" s="219" t="s">
        <v>1</v>
      </c>
    </row>
    <row r="1589" spans="2:5">
      <c r="B1589" s="218" t="s">
        <v>1468</v>
      </c>
      <c r="C1589" s="210" t="s">
        <v>27</v>
      </c>
      <c r="D1589" s="211" t="s">
        <v>1646</v>
      </c>
      <c r="E1589" s="219" t="s">
        <v>1</v>
      </c>
    </row>
    <row r="1590" spans="2:5">
      <c r="B1590" s="218" t="s">
        <v>1468</v>
      </c>
      <c r="C1590" s="210" t="s">
        <v>27</v>
      </c>
      <c r="D1590" s="211" t="s">
        <v>1647</v>
      </c>
      <c r="E1590" s="219" t="s">
        <v>1</v>
      </c>
    </row>
    <row r="1591" spans="2:5">
      <c r="B1591" s="218" t="s">
        <v>1468</v>
      </c>
      <c r="C1591" s="210" t="s">
        <v>27</v>
      </c>
      <c r="D1591" s="211" t="s">
        <v>1648</v>
      </c>
      <c r="E1591" s="219" t="s">
        <v>1</v>
      </c>
    </row>
    <row r="1592" spans="2:5">
      <c r="B1592" s="218" t="s">
        <v>1468</v>
      </c>
      <c r="C1592" s="210" t="s">
        <v>27</v>
      </c>
      <c r="D1592" s="211" t="s">
        <v>1649</v>
      </c>
      <c r="E1592" s="219" t="s">
        <v>1</v>
      </c>
    </row>
    <row r="1593" spans="2:5">
      <c r="B1593" s="218" t="s">
        <v>1468</v>
      </c>
      <c r="C1593" s="210" t="s">
        <v>27</v>
      </c>
      <c r="D1593" s="211" t="s">
        <v>1650</v>
      </c>
      <c r="E1593" s="219" t="s">
        <v>1</v>
      </c>
    </row>
    <row r="1594" spans="2:5">
      <c r="B1594" s="218" t="s">
        <v>1468</v>
      </c>
      <c r="C1594" s="210" t="s">
        <v>27</v>
      </c>
      <c r="D1594" s="211" t="s">
        <v>1651</v>
      </c>
      <c r="E1594" s="219" t="s">
        <v>1</v>
      </c>
    </row>
    <row r="1595" spans="2:5">
      <c r="B1595" s="218" t="s">
        <v>1468</v>
      </c>
      <c r="C1595" s="210" t="s">
        <v>27</v>
      </c>
      <c r="D1595" s="211" t="s">
        <v>1652</v>
      </c>
      <c r="E1595" s="219" t="s">
        <v>1</v>
      </c>
    </row>
    <row r="1596" spans="2:5">
      <c r="B1596" s="218" t="s">
        <v>1468</v>
      </c>
      <c r="C1596" s="210" t="s">
        <v>27</v>
      </c>
      <c r="D1596" s="211" t="s">
        <v>1653</v>
      </c>
      <c r="E1596" s="219" t="s">
        <v>1</v>
      </c>
    </row>
    <row r="1597" spans="2:5">
      <c r="B1597" s="218" t="s">
        <v>1468</v>
      </c>
      <c r="C1597" s="210" t="s">
        <v>27</v>
      </c>
      <c r="D1597" s="211" t="s">
        <v>1654</v>
      </c>
      <c r="E1597" s="219" t="s">
        <v>1</v>
      </c>
    </row>
    <row r="1598" spans="2:5">
      <c r="B1598" s="218" t="s">
        <v>1468</v>
      </c>
      <c r="C1598" s="210" t="s">
        <v>27</v>
      </c>
      <c r="D1598" s="211" t="s">
        <v>1655</v>
      </c>
      <c r="E1598" s="219" t="s">
        <v>1</v>
      </c>
    </row>
    <row r="1599" spans="2:5">
      <c r="B1599" s="218" t="s">
        <v>1468</v>
      </c>
      <c r="C1599" s="210" t="s">
        <v>27</v>
      </c>
      <c r="D1599" s="211" t="s">
        <v>1656</v>
      </c>
      <c r="E1599" s="219" t="s">
        <v>1</v>
      </c>
    </row>
    <row r="1600" spans="2:5">
      <c r="B1600" s="218" t="s">
        <v>1468</v>
      </c>
      <c r="C1600" s="210" t="s">
        <v>27</v>
      </c>
      <c r="D1600" s="211" t="s">
        <v>1657</v>
      </c>
      <c r="E1600" s="219" t="s">
        <v>1</v>
      </c>
    </row>
    <row r="1601" spans="2:5">
      <c r="B1601" s="218" t="s">
        <v>1468</v>
      </c>
      <c r="C1601" s="210" t="s">
        <v>27</v>
      </c>
      <c r="D1601" s="211" t="s">
        <v>1658</v>
      </c>
      <c r="E1601" s="219" t="s">
        <v>1</v>
      </c>
    </row>
    <row r="1602" spans="2:5">
      <c r="B1602" s="218" t="s">
        <v>1468</v>
      </c>
      <c r="C1602" s="210" t="s">
        <v>27</v>
      </c>
      <c r="D1602" s="211" t="s">
        <v>1659</v>
      </c>
      <c r="E1602" s="219" t="s">
        <v>1</v>
      </c>
    </row>
    <row r="1603" spans="2:5">
      <c r="B1603" s="218" t="s">
        <v>1468</v>
      </c>
      <c r="C1603" s="210" t="s">
        <v>27</v>
      </c>
      <c r="D1603" s="211" t="s">
        <v>1660</v>
      </c>
      <c r="E1603" s="219" t="s">
        <v>1</v>
      </c>
    </row>
    <row r="1604" spans="2:5">
      <c r="B1604" s="218" t="s">
        <v>1468</v>
      </c>
      <c r="C1604" s="210" t="s">
        <v>27</v>
      </c>
      <c r="D1604" s="211" t="s">
        <v>1661</v>
      </c>
      <c r="E1604" s="219" t="s">
        <v>1</v>
      </c>
    </row>
    <row r="1605" spans="2:5">
      <c r="B1605" s="218" t="s">
        <v>1468</v>
      </c>
      <c r="C1605" s="210" t="s">
        <v>27</v>
      </c>
      <c r="D1605" s="211" t="s">
        <v>1662</v>
      </c>
      <c r="E1605" s="219" t="s">
        <v>1</v>
      </c>
    </row>
    <row r="1606" spans="2:5">
      <c r="B1606" s="218" t="s">
        <v>1468</v>
      </c>
      <c r="C1606" s="210" t="s">
        <v>27</v>
      </c>
      <c r="D1606" s="211" t="s">
        <v>1663</v>
      </c>
      <c r="E1606" s="219" t="s">
        <v>1</v>
      </c>
    </row>
    <row r="1607" spans="2:5">
      <c r="B1607" s="218" t="s">
        <v>1468</v>
      </c>
      <c r="C1607" s="210" t="s">
        <v>27</v>
      </c>
      <c r="D1607" s="211" t="s">
        <v>1664</v>
      </c>
      <c r="E1607" s="219" t="s">
        <v>1</v>
      </c>
    </row>
    <row r="1608" spans="2:5">
      <c r="B1608" s="218" t="s">
        <v>1468</v>
      </c>
      <c r="C1608" s="210" t="s">
        <v>27</v>
      </c>
      <c r="D1608" s="211" t="s">
        <v>1665</v>
      </c>
      <c r="E1608" s="219" t="s">
        <v>1</v>
      </c>
    </row>
    <row r="1609" spans="2:5">
      <c r="B1609" s="218" t="s">
        <v>1468</v>
      </c>
      <c r="C1609" s="210" t="s">
        <v>27</v>
      </c>
      <c r="D1609" s="211" t="s">
        <v>1666</v>
      </c>
      <c r="E1609" s="219" t="s">
        <v>1</v>
      </c>
    </row>
    <row r="1610" spans="2:5">
      <c r="B1610" s="218" t="s">
        <v>1468</v>
      </c>
      <c r="C1610" s="210" t="s">
        <v>27</v>
      </c>
      <c r="D1610" s="211" t="s">
        <v>1667</v>
      </c>
      <c r="E1610" s="219" t="s">
        <v>1</v>
      </c>
    </row>
    <row r="1611" spans="2:5">
      <c r="B1611" s="218" t="s">
        <v>1468</v>
      </c>
      <c r="C1611" s="210" t="s">
        <v>27</v>
      </c>
      <c r="D1611" s="211" t="s">
        <v>1668</v>
      </c>
      <c r="E1611" s="219" t="s">
        <v>1</v>
      </c>
    </row>
    <row r="1612" spans="2:5">
      <c r="B1612" s="218" t="s">
        <v>1468</v>
      </c>
      <c r="C1612" s="210" t="s">
        <v>27</v>
      </c>
      <c r="D1612" s="211" t="s">
        <v>1669</v>
      </c>
      <c r="E1612" s="219" t="s">
        <v>1</v>
      </c>
    </row>
    <row r="1613" spans="2:5">
      <c r="B1613" s="218" t="s">
        <v>1468</v>
      </c>
      <c r="C1613" s="210" t="s">
        <v>27</v>
      </c>
      <c r="D1613" s="211" t="s">
        <v>1670</v>
      </c>
      <c r="E1613" s="219" t="s">
        <v>1</v>
      </c>
    </row>
    <row r="1614" spans="2:5">
      <c r="B1614" s="218" t="s">
        <v>1468</v>
      </c>
      <c r="C1614" s="210" t="s">
        <v>27</v>
      </c>
      <c r="D1614" s="211" t="s">
        <v>1671</v>
      </c>
      <c r="E1614" s="219" t="s">
        <v>1</v>
      </c>
    </row>
    <row r="1615" spans="2:5">
      <c r="B1615" s="218" t="s">
        <v>1468</v>
      </c>
      <c r="C1615" s="210" t="s">
        <v>27</v>
      </c>
      <c r="D1615" s="211" t="s">
        <v>1672</v>
      </c>
      <c r="E1615" s="219" t="s">
        <v>1</v>
      </c>
    </row>
    <row r="1616" spans="2:5">
      <c r="B1616" s="218" t="s">
        <v>1468</v>
      </c>
      <c r="C1616" s="210" t="s">
        <v>27</v>
      </c>
      <c r="D1616" s="211" t="s">
        <v>1673</v>
      </c>
      <c r="E1616" s="219" t="s">
        <v>1</v>
      </c>
    </row>
    <row r="1617" spans="2:5">
      <c r="B1617" s="218" t="s">
        <v>1468</v>
      </c>
      <c r="C1617" s="210" t="s">
        <v>27</v>
      </c>
      <c r="D1617" s="211" t="s">
        <v>1674</v>
      </c>
      <c r="E1617" s="219" t="s">
        <v>1</v>
      </c>
    </row>
    <row r="1618" spans="2:5">
      <c r="B1618" s="218" t="s">
        <v>1468</v>
      </c>
      <c r="C1618" s="210" t="s">
        <v>27</v>
      </c>
      <c r="D1618" s="211" t="s">
        <v>1675</v>
      </c>
      <c r="E1618" s="219" t="s">
        <v>1</v>
      </c>
    </row>
    <row r="1619" spans="2:5">
      <c r="B1619" s="218" t="s">
        <v>1468</v>
      </c>
      <c r="C1619" s="210" t="s">
        <v>27</v>
      </c>
      <c r="D1619" s="211" t="s">
        <v>1676</v>
      </c>
      <c r="E1619" s="219" t="s">
        <v>1</v>
      </c>
    </row>
    <row r="1620" spans="2:5">
      <c r="B1620" s="218" t="s">
        <v>1468</v>
      </c>
      <c r="C1620" s="210" t="s">
        <v>27</v>
      </c>
      <c r="D1620" s="211" t="s">
        <v>1677</v>
      </c>
      <c r="E1620" s="219" t="s">
        <v>1</v>
      </c>
    </row>
    <row r="1621" spans="2:5">
      <c r="B1621" s="218" t="s">
        <v>1468</v>
      </c>
      <c r="C1621" s="210" t="s">
        <v>27</v>
      </c>
      <c r="D1621" s="211" t="s">
        <v>1678</v>
      </c>
      <c r="E1621" s="219" t="s">
        <v>1</v>
      </c>
    </row>
    <row r="1622" spans="2:5">
      <c r="B1622" s="218" t="s">
        <v>1468</v>
      </c>
      <c r="C1622" s="210" t="s">
        <v>27</v>
      </c>
      <c r="D1622" s="211" t="s">
        <v>1679</v>
      </c>
      <c r="E1622" s="219" t="s">
        <v>1</v>
      </c>
    </row>
    <row r="1623" spans="2:5">
      <c r="B1623" s="218" t="s">
        <v>1468</v>
      </c>
      <c r="C1623" s="210" t="s">
        <v>27</v>
      </c>
      <c r="D1623" s="211" t="s">
        <v>1680</v>
      </c>
      <c r="E1623" s="219" t="s">
        <v>1</v>
      </c>
    </row>
    <row r="1624" spans="2:5">
      <c r="B1624" s="218" t="s">
        <v>1468</v>
      </c>
      <c r="C1624" s="210" t="s">
        <v>27</v>
      </c>
      <c r="D1624" s="211" t="s">
        <v>1681</v>
      </c>
      <c r="E1624" s="219" t="s">
        <v>1</v>
      </c>
    </row>
    <row r="1625" spans="2:5">
      <c r="B1625" s="218" t="s">
        <v>1468</v>
      </c>
      <c r="C1625" s="210" t="s">
        <v>27</v>
      </c>
      <c r="D1625" s="211" t="s">
        <v>1682</v>
      </c>
      <c r="E1625" s="219" t="s">
        <v>1</v>
      </c>
    </row>
    <row r="1626" spans="2:5">
      <c r="B1626" s="218" t="s">
        <v>1468</v>
      </c>
      <c r="C1626" s="210" t="s">
        <v>27</v>
      </c>
      <c r="D1626" s="211" t="s">
        <v>1683</v>
      </c>
      <c r="E1626" s="219" t="s">
        <v>1</v>
      </c>
    </row>
    <row r="1627" spans="2:5">
      <c r="B1627" s="218" t="s">
        <v>1468</v>
      </c>
      <c r="C1627" s="210" t="s">
        <v>27</v>
      </c>
      <c r="D1627" s="211" t="s">
        <v>1684</v>
      </c>
      <c r="E1627" s="219" t="s">
        <v>1</v>
      </c>
    </row>
    <row r="1628" spans="2:5">
      <c r="B1628" s="218" t="s">
        <v>1468</v>
      </c>
      <c r="C1628" s="210" t="s">
        <v>27</v>
      </c>
      <c r="D1628" s="211" t="s">
        <v>1685</v>
      </c>
      <c r="E1628" s="219" t="s">
        <v>1</v>
      </c>
    </row>
    <row r="1629" spans="2:5">
      <c r="B1629" s="218" t="s">
        <v>1468</v>
      </c>
      <c r="C1629" s="210" t="s">
        <v>27</v>
      </c>
      <c r="D1629" s="211" t="s">
        <v>1686</v>
      </c>
      <c r="E1629" s="219" t="s">
        <v>1</v>
      </c>
    </row>
    <row r="1630" spans="2:5">
      <c r="B1630" s="218" t="s">
        <v>1468</v>
      </c>
      <c r="C1630" s="210" t="s">
        <v>27</v>
      </c>
      <c r="D1630" s="211" t="s">
        <v>1687</v>
      </c>
      <c r="E1630" s="219" t="s">
        <v>1</v>
      </c>
    </row>
    <row r="1631" spans="2:5">
      <c r="B1631" s="218" t="s">
        <v>1468</v>
      </c>
      <c r="C1631" s="210" t="s">
        <v>27</v>
      </c>
      <c r="D1631" s="211" t="s">
        <v>1688</v>
      </c>
      <c r="E1631" s="219" t="s">
        <v>1</v>
      </c>
    </row>
    <row r="1632" spans="2:5">
      <c r="B1632" s="218" t="s">
        <v>1468</v>
      </c>
      <c r="C1632" s="210" t="s">
        <v>27</v>
      </c>
      <c r="D1632" s="211" t="s">
        <v>1689</v>
      </c>
      <c r="E1632" s="219" t="s">
        <v>1</v>
      </c>
    </row>
    <row r="1633" spans="2:5">
      <c r="B1633" s="218" t="s">
        <v>1468</v>
      </c>
      <c r="C1633" s="210" t="s">
        <v>27</v>
      </c>
      <c r="D1633" s="211" t="s">
        <v>1690</v>
      </c>
      <c r="E1633" s="219" t="s">
        <v>1</v>
      </c>
    </row>
    <row r="1634" spans="2:5">
      <c r="B1634" s="218" t="s">
        <v>1468</v>
      </c>
      <c r="C1634" s="210" t="s">
        <v>27</v>
      </c>
      <c r="D1634" s="211" t="s">
        <v>1691</v>
      </c>
      <c r="E1634" s="219" t="s">
        <v>1</v>
      </c>
    </row>
    <row r="1635" spans="2:5">
      <c r="B1635" s="218" t="s">
        <v>1468</v>
      </c>
      <c r="C1635" s="210" t="s">
        <v>27</v>
      </c>
      <c r="D1635" s="211" t="s">
        <v>1692</v>
      </c>
      <c r="E1635" s="219" t="s">
        <v>1</v>
      </c>
    </row>
    <row r="1636" spans="2:5">
      <c r="B1636" s="218" t="s">
        <v>1468</v>
      </c>
      <c r="C1636" s="210" t="s">
        <v>27</v>
      </c>
      <c r="D1636" s="211" t="s">
        <v>1693</v>
      </c>
      <c r="E1636" s="219" t="s">
        <v>1</v>
      </c>
    </row>
    <row r="1637" spans="2:5">
      <c r="B1637" s="218" t="s">
        <v>1468</v>
      </c>
      <c r="C1637" s="210" t="s">
        <v>27</v>
      </c>
      <c r="D1637" s="211" t="s">
        <v>1694</v>
      </c>
      <c r="E1637" s="219" t="s">
        <v>1</v>
      </c>
    </row>
    <row r="1638" spans="2:5">
      <c r="B1638" s="218" t="s">
        <v>1468</v>
      </c>
      <c r="C1638" s="210" t="s">
        <v>27</v>
      </c>
      <c r="D1638" s="211" t="s">
        <v>1695</v>
      </c>
      <c r="E1638" s="219" t="s">
        <v>1</v>
      </c>
    </row>
    <row r="1639" spans="2:5">
      <c r="B1639" s="218" t="s">
        <v>1468</v>
      </c>
      <c r="C1639" s="210" t="s">
        <v>27</v>
      </c>
      <c r="D1639" s="211" t="s">
        <v>1696</v>
      </c>
      <c r="E1639" s="219" t="s">
        <v>1</v>
      </c>
    </row>
    <row r="1640" spans="2:5">
      <c r="B1640" s="218" t="s">
        <v>1468</v>
      </c>
      <c r="C1640" s="210" t="s">
        <v>27</v>
      </c>
      <c r="D1640" s="211" t="s">
        <v>1697</v>
      </c>
      <c r="E1640" s="219" t="s">
        <v>1</v>
      </c>
    </row>
    <row r="1641" spans="2:5">
      <c r="B1641" s="218" t="s">
        <v>1468</v>
      </c>
      <c r="C1641" s="210" t="s">
        <v>27</v>
      </c>
      <c r="D1641" s="211" t="s">
        <v>1698</v>
      </c>
      <c r="E1641" s="219" t="e">
        <v>#N/A</v>
      </c>
    </row>
    <row r="1642" spans="2:5">
      <c r="B1642" s="218" t="s">
        <v>1468</v>
      </c>
      <c r="C1642" s="210" t="s">
        <v>27</v>
      </c>
      <c r="D1642" s="211" t="s">
        <v>1699</v>
      </c>
      <c r="E1642" s="219" t="e">
        <v>#N/A</v>
      </c>
    </row>
    <row r="1643" spans="2:5">
      <c r="B1643" s="218" t="s">
        <v>1468</v>
      </c>
      <c r="C1643" s="210" t="s">
        <v>27</v>
      </c>
      <c r="D1643" s="211" t="s">
        <v>1700</v>
      </c>
      <c r="E1643" s="219" t="s">
        <v>1738</v>
      </c>
    </row>
    <row r="1644" spans="2:5">
      <c r="B1644" s="218" t="s">
        <v>1468</v>
      </c>
      <c r="C1644" s="210" t="s">
        <v>27</v>
      </c>
      <c r="D1644" s="211" t="s">
        <v>1701</v>
      </c>
      <c r="E1644" s="219" t="s">
        <v>1</v>
      </c>
    </row>
    <row r="1645" spans="2:5">
      <c r="B1645" s="218" t="s">
        <v>1468</v>
      </c>
      <c r="C1645" s="210" t="s">
        <v>27</v>
      </c>
      <c r="D1645" s="211" t="s">
        <v>1702</v>
      </c>
      <c r="E1645" s="219" t="s">
        <v>1</v>
      </c>
    </row>
    <row r="1646" spans="2:5">
      <c r="B1646" s="218" t="s">
        <v>1468</v>
      </c>
      <c r="C1646" s="210" t="s">
        <v>27</v>
      </c>
      <c r="D1646" s="211" t="s">
        <v>1703</v>
      </c>
      <c r="E1646" s="219" t="s">
        <v>1</v>
      </c>
    </row>
    <row r="1647" spans="2:5">
      <c r="B1647" s="218" t="s">
        <v>1468</v>
      </c>
      <c r="C1647" s="210" t="s">
        <v>27</v>
      </c>
      <c r="D1647" s="211" t="s">
        <v>1704</v>
      </c>
      <c r="E1647" s="219" t="s">
        <v>1</v>
      </c>
    </row>
    <row r="1648" spans="2:5">
      <c r="B1648" s="218" t="s">
        <v>1468</v>
      </c>
      <c r="C1648" s="210" t="s">
        <v>27</v>
      </c>
      <c r="D1648" s="211" t="s">
        <v>1705</v>
      </c>
      <c r="E1648" s="219" t="s">
        <v>1</v>
      </c>
    </row>
    <row r="1649" spans="2:5">
      <c r="B1649" s="218" t="s">
        <v>1468</v>
      </c>
      <c r="C1649" s="210" t="s">
        <v>27</v>
      </c>
      <c r="D1649" s="211" t="s">
        <v>1706</v>
      </c>
      <c r="E1649" s="219" t="s">
        <v>1</v>
      </c>
    </row>
    <row r="1650" spans="2:5">
      <c r="B1650" s="218" t="s">
        <v>1468</v>
      </c>
      <c r="C1650" s="210" t="s">
        <v>27</v>
      </c>
      <c r="D1650" s="211" t="s">
        <v>1707</v>
      </c>
      <c r="E1650" s="219" t="s">
        <v>1</v>
      </c>
    </row>
    <row r="1651" spans="2:5">
      <c r="B1651" s="218" t="s">
        <v>1468</v>
      </c>
      <c r="C1651" s="210" t="s">
        <v>27</v>
      </c>
      <c r="D1651" s="211" t="s">
        <v>1708</v>
      </c>
      <c r="E1651" s="219" t="s">
        <v>1</v>
      </c>
    </row>
    <row r="1652" spans="2:5">
      <c r="B1652" s="218" t="s">
        <v>1468</v>
      </c>
      <c r="C1652" s="210" t="s">
        <v>27</v>
      </c>
      <c r="D1652" s="211" t="s">
        <v>1709</v>
      </c>
      <c r="E1652" s="219" t="s">
        <v>1</v>
      </c>
    </row>
    <row r="1653" spans="2:5">
      <c r="B1653" s="218" t="s">
        <v>1468</v>
      </c>
      <c r="C1653" s="210" t="s">
        <v>27</v>
      </c>
      <c r="D1653" s="211" t="s">
        <v>1710</v>
      </c>
      <c r="E1653" s="219" t="s">
        <v>1</v>
      </c>
    </row>
    <row r="1654" spans="2:5">
      <c r="B1654" s="218" t="s">
        <v>1468</v>
      </c>
      <c r="C1654" s="210" t="s">
        <v>27</v>
      </c>
      <c r="D1654" s="211" t="s">
        <v>1711</v>
      </c>
      <c r="E1654" s="219" t="s">
        <v>1</v>
      </c>
    </row>
    <row r="1655" spans="2:5">
      <c r="B1655" s="218" t="s">
        <v>1468</v>
      </c>
      <c r="C1655" s="210" t="s">
        <v>27</v>
      </c>
      <c r="D1655" s="211" t="s">
        <v>1712</v>
      </c>
      <c r="E1655" s="219" t="s">
        <v>1</v>
      </c>
    </row>
    <row r="1656" spans="2:5">
      <c r="B1656" s="218" t="s">
        <v>1468</v>
      </c>
      <c r="C1656" s="210" t="s">
        <v>27</v>
      </c>
      <c r="D1656" s="211" t="s">
        <v>1713</v>
      </c>
      <c r="E1656" s="219" t="s">
        <v>1</v>
      </c>
    </row>
    <row r="1657" spans="2:5">
      <c r="B1657" s="218" t="s">
        <v>1468</v>
      </c>
      <c r="C1657" s="210" t="s">
        <v>27</v>
      </c>
      <c r="D1657" s="211" t="s">
        <v>1714</v>
      </c>
      <c r="E1657" s="219" t="s">
        <v>1</v>
      </c>
    </row>
    <row r="1658" spans="2:5">
      <c r="B1658" s="218" t="s">
        <v>1468</v>
      </c>
      <c r="C1658" s="210" t="s">
        <v>27</v>
      </c>
      <c r="D1658" s="211" t="s">
        <v>1715</v>
      </c>
      <c r="E1658" s="219" t="s">
        <v>1</v>
      </c>
    </row>
    <row r="1659" spans="2:5">
      <c r="B1659" s="218" t="s">
        <v>1468</v>
      </c>
      <c r="C1659" s="210" t="s">
        <v>27</v>
      </c>
      <c r="D1659" s="211" t="s">
        <v>1716</v>
      </c>
      <c r="E1659" s="219" t="s">
        <v>1</v>
      </c>
    </row>
    <row r="1660" spans="2:5">
      <c r="B1660" s="218" t="s">
        <v>1468</v>
      </c>
      <c r="C1660" s="210" t="s">
        <v>27</v>
      </c>
      <c r="D1660" s="211" t="s">
        <v>1717</v>
      </c>
      <c r="E1660" s="219" t="s">
        <v>1</v>
      </c>
    </row>
    <row r="1661" spans="2:5">
      <c r="B1661" s="218" t="s">
        <v>1468</v>
      </c>
      <c r="C1661" s="210" t="s">
        <v>27</v>
      </c>
      <c r="D1661" s="211" t="s">
        <v>1718</v>
      </c>
      <c r="E1661" s="219" t="s">
        <v>1</v>
      </c>
    </row>
    <row r="1662" spans="2:5">
      <c r="B1662" s="218" t="s">
        <v>1468</v>
      </c>
      <c r="C1662" s="210" t="s">
        <v>27</v>
      </c>
      <c r="D1662" s="211" t="s">
        <v>1719</v>
      </c>
      <c r="E1662" s="219" t="s">
        <v>1</v>
      </c>
    </row>
    <row r="1663" spans="2:5">
      <c r="B1663" s="218" t="s">
        <v>1468</v>
      </c>
      <c r="C1663" s="210" t="s">
        <v>27</v>
      </c>
      <c r="D1663" s="211" t="s">
        <v>1720</v>
      </c>
      <c r="E1663" s="219" t="s">
        <v>1</v>
      </c>
    </row>
    <row r="1664" spans="2:5">
      <c r="B1664" s="218" t="s">
        <v>1468</v>
      </c>
      <c r="C1664" s="210" t="s">
        <v>27</v>
      </c>
      <c r="D1664" s="211" t="s">
        <v>1721</v>
      </c>
      <c r="E1664" s="219" t="s">
        <v>1</v>
      </c>
    </row>
    <row r="1665" spans="2:5">
      <c r="B1665" s="218" t="s">
        <v>1468</v>
      </c>
      <c r="C1665" s="210" t="s">
        <v>27</v>
      </c>
      <c r="D1665" s="211" t="s">
        <v>1722</v>
      </c>
      <c r="E1665" s="219" t="s">
        <v>1</v>
      </c>
    </row>
    <row r="1666" spans="2:5">
      <c r="B1666" s="218" t="s">
        <v>1468</v>
      </c>
      <c r="C1666" s="210" t="s">
        <v>27</v>
      </c>
      <c r="D1666" s="211" t="s">
        <v>1723</v>
      </c>
      <c r="E1666" s="219" t="s">
        <v>1</v>
      </c>
    </row>
    <row r="1667" spans="2:5">
      <c r="B1667" s="218" t="s">
        <v>1468</v>
      </c>
      <c r="C1667" s="210" t="s">
        <v>27</v>
      </c>
      <c r="D1667" s="211" t="s">
        <v>1724</v>
      </c>
      <c r="E1667" s="219" t="s">
        <v>1</v>
      </c>
    </row>
    <row r="1668" spans="2:5">
      <c r="B1668" s="218" t="s">
        <v>1468</v>
      </c>
      <c r="C1668" s="210" t="s">
        <v>27</v>
      </c>
      <c r="D1668" s="211" t="s">
        <v>1725</v>
      </c>
      <c r="E1668" s="219" t="s">
        <v>1</v>
      </c>
    </row>
    <row r="1669" spans="2:5">
      <c r="B1669" s="218" t="s">
        <v>1468</v>
      </c>
      <c r="C1669" s="210" t="s">
        <v>27</v>
      </c>
      <c r="D1669" s="211" t="s">
        <v>1726</v>
      </c>
      <c r="E1669" s="219" t="s">
        <v>1</v>
      </c>
    </row>
    <row r="1670" spans="2:5" ht="15" thickBot="1">
      <c r="B1670" s="220" t="s">
        <v>1468</v>
      </c>
      <c r="C1670" s="221" t="s">
        <v>27</v>
      </c>
      <c r="D1670" s="222" t="s">
        <v>1727</v>
      </c>
      <c r="E1670" s="223" t="s">
        <v>1</v>
      </c>
    </row>
  </sheetData>
  <mergeCells count="4">
    <mergeCell ref="B2:B4"/>
    <mergeCell ref="C2:C4"/>
    <mergeCell ref="D2:D4"/>
    <mergeCell ref="E2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06.30, 07.30, &amp; 12.00</vt:lpstr>
      <vt:lpstr>R-2, TPTW, Persentase TTD</vt:lpstr>
      <vt:lpstr>Pickup &amp; Retur Non Ecom</vt:lpstr>
      <vt:lpstr>ALL DP DATA</vt:lpstr>
      <vt:lpstr>Fr&amp;Ag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dennis.huang</dc:creator>
  <cp:lastModifiedBy>Dennis Huang</cp:lastModifiedBy>
  <dcterms:created xsi:type="dcterms:W3CDTF">2026-07-24T09:48:00Z</dcterms:created>
  <dcterms:modified xsi:type="dcterms:W3CDTF">2026-08-08T19:06:11Z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1194BD22EF5F4AC0862E63ECE80D29E3_13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